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eman S Chippa\Downloads\"/>
    </mc:Choice>
  </mc:AlternateContent>
  <xr:revisionPtr revIDLastSave="0" documentId="13_ncr:1_{00144226-4D3C-4F3A-B9B0-0E780A8E27B0}" xr6:coauthVersionLast="47" xr6:coauthVersionMax="47" xr10:uidLastSave="{00000000-0000-0000-0000-000000000000}"/>
  <bookViews>
    <workbookView xWindow="-110" yWindow="-110" windowWidth="19420" windowHeight="11500" xr2:uid="{62A0F25A-D20E-47AC-87F5-EF14CBB35FDD}"/>
  </bookViews>
  <sheets>
    <sheet name="Sheet1" sheetId="1" r:id="rId1"/>
    <sheet name="Sorted_GST_IEC_SBDate" sheetId="9" r:id="rId2"/>
    <sheet name="Sorted_Gateway_Extracted" sheetId="8" r:id="rId3"/>
    <sheet name=" Sorted_PORT_Status" sheetId="7" r:id="rId4"/>
    <sheet name="Status_Analysis" sheetId="6" r:id="rId5"/>
    <sheet name="Pivot_PORT_Gateway" sheetId="5" r:id="rId6"/>
    <sheet name="Pivot_IEC_PORT" sheetId="4" r:id="rId7"/>
    <sheet name="Pivot_Gateway_GST" sheetId="3" r:id="rId8"/>
    <sheet name="Pivot_PORT_Status" sheetId="2" r:id="rId9"/>
  </sheet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7" i="9" l="1"/>
  <c r="O167" i="9" s="1"/>
  <c r="J167" i="9" s="1"/>
  <c r="I167" i="9"/>
  <c r="H167" i="9"/>
  <c r="G167" i="9"/>
  <c r="F167" i="9"/>
  <c r="D167" i="9"/>
  <c r="P169" i="9"/>
  <c r="O169" i="9"/>
  <c r="J169" i="9"/>
  <c r="I169" i="9"/>
  <c r="H169" i="9"/>
  <c r="G169" i="9"/>
  <c r="F169" i="9"/>
  <c r="D169" i="9"/>
  <c r="P123" i="9"/>
  <c r="O123" i="9" s="1"/>
  <c r="J123" i="9" s="1"/>
  <c r="I123" i="9"/>
  <c r="H123" i="9"/>
  <c r="G123" i="9"/>
  <c r="F123" i="9"/>
  <c r="D123" i="9"/>
  <c r="P236" i="9"/>
  <c r="O236" i="9" s="1"/>
  <c r="J236" i="9" s="1"/>
  <c r="I236" i="9"/>
  <c r="H236" i="9"/>
  <c r="G236" i="9"/>
  <c r="F236" i="9"/>
  <c r="D236" i="9"/>
  <c r="P316" i="9"/>
  <c r="O316" i="9"/>
  <c r="J316" i="9" s="1"/>
  <c r="I316" i="9"/>
  <c r="H316" i="9"/>
  <c r="G316" i="9"/>
  <c r="F316" i="9"/>
  <c r="D316" i="9"/>
  <c r="P5" i="9"/>
  <c r="O5" i="9" s="1"/>
  <c r="J5" i="9" s="1"/>
  <c r="I5" i="9"/>
  <c r="H5" i="9"/>
  <c r="G5" i="9"/>
  <c r="F5" i="9"/>
  <c r="D5" i="9"/>
  <c r="P30" i="9"/>
  <c r="O30" i="9" s="1"/>
  <c r="J30" i="9" s="1"/>
  <c r="I30" i="9"/>
  <c r="H30" i="9"/>
  <c r="G30" i="9"/>
  <c r="F30" i="9"/>
  <c r="D30" i="9"/>
  <c r="P315" i="9"/>
  <c r="O315" i="9" s="1"/>
  <c r="J315" i="9" s="1"/>
  <c r="I315" i="9"/>
  <c r="H315" i="9"/>
  <c r="G315" i="9"/>
  <c r="F315" i="9"/>
  <c r="D315" i="9"/>
  <c r="P216" i="9"/>
  <c r="O216" i="9"/>
  <c r="J216" i="9" s="1"/>
  <c r="I216" i="9"/>
  <c r="H216" i="9"/>
  <c r="G216" i="9"/>
  <c r="F216" i="9"/>
  <c r="D216" i="9"/>
  <c r="P29" i="9"/>
  <c r="O29" i="9" s="1"/>
  <c r="J29" i="9" s="1"/>
  <c r="I29" i="9"/>
  <c r="H29" i="9"/>
  <c r="G29" i="9"/>
  <c r="F29" i="9"/>
  <c r="D29" i="9"/>
  <c r="P166" i="9"/>
  <c r="O166" i="9" s="1"/>
  <c r="J166" i="9" s="1"/>
  <c r="I166" i="9"/>
  <c r="H166" i="9"/>
  <c r="G166" i="9"/>
  <c r="F166" i="9"/>
  <c r="D166" i="9"/>
  <c r="P168" i="9"/>
  <c r="O168" i="9" s="1"/>
  <c r="J168" i="9" s="1"/>
  <c r="I168" i="9"/>
  <c r="H168" i="9"/>
  <c r="G168" i="9"/>
  <c r="F168" i="9"/>
  <c r="D168" i="9"/>
  <c r="P12" i="9"/>
  <c r="O12" i="9" s="1"/>
  <c r="J12" i="9" s="1"/>
  <c r="I12" i="9"/>
  <c r="H12" i="9"/>
  <c r="G12" i="9"/>
  <c r="F12" i="9"/>
  <c r="D12" i="9"/>
  <c r="P274" i="9"/>
  <c r="O274" i="9"/>
  <c r="J274" i="9" s="1"/>
  <c r="I274" i="9"/>
  <c r="H274" i="9"/>
  <c r="G274" i="9"/>
  <c r="F274" i="9"/>
  <c r="D274" i="9"/>
  <c r="P28" i="9"/>
  <c r="O28" i="9"/>
  <c r="J28" i="9"/>
  <c r="I28" i="9"/>
  <c r="H28" i="9"/>
  <c r="G28" i="9"/>
  <c r="F28" i="9"/>
  <c r="D28" i="9"/>
  <c r="P311" i="9"/>
  <c r="O311" i="9" s="1"/>
  <c r="J311" i="9" s="1"/>
  <c r="I311" i="9"/>
  <c r="H311" i="9"/>
  <c r="G311" i="9"/>
  <c r="F311" i="9"/>
  <c r="D311" i="9"/>
  <c r="P240" i="9"/>
  <c r="O240" i="9"/>
  <c r="J240" i="9" s="1"/>
  <c r="I240" i="9"/>
  <c r="H240" i="9"/>
  <c r="G240" i="9"/>
  <c r="F240" i="9"/>
  <c r="D240" i="9"/>
  <c r="P4" i="9"/>
  <c r="O4" i="9"/>
  <c r="J4" i="9"/>
  <c r="I4" i="9"/>
  <c r="H4" i="9"/>
  <c r="G4" i="9"/>
  <c r="F4" i="9"/>
  <c r="D4" i="9"/>
  <c r="P165" i="9"/>
  <c r="O165" i="9" s="1"/>
  <c r="J165" i="9" s="1"/>
  <c r="I165" i="9"/>
  <c r="H165" i="9"/>
  <c r="G165" i="9"/>
  <c r="F165" i="9"/>
  <c r="D165" i="9"/>
  <c r="P247" i="9"/>
  <c r="O247" i="9"/>
  <c r="J247" i="9"/>
  <c r="I247" i="9"/>
  <c r="H247" i="9"/>
  <c r="G247" i="9"/>
  <c r="F247" i="9"/>
  <c r="D247" i="9"/>
  <c r="P27" i="9"/>
  <c r="O27" i="9" s="1"/>
  <c r="J27" i="9" s="1"/>
  <c r="I27" i="9"/>
  <c r="H27" i="9"/>
  <c r="G27" i="9"/>
  <c r="F27" i="9"/>
  <c r="D27" i="9"/>
  <c r="P111" i="9"/>
  <c r="O111" i="9" s="1"/>
  <c r="J111" i="9" s="1"/>
  <c r="I111" i="9"/>
  <c r="H111" i="9"/>
  <c r="G111" i="9"/>
  <c r="F111" i="9"/>
  <c r="D111" i="9"/>
  <c r="P65" i="9"/>
  <c r="O65" i="9" s="1"/>
  <c r="J65" i="9" s="1"/>
  <c r="I65" i="9"/>
  <c r="H65" i="9"/>
  <c r="G65" i="9"/>
  <c r="F65" i="9"/>
  <c r="D65" i="9"/>
  <c r="P314" i="9"/>
  <c r="O314" i="9" s="1"/>
  <c r="J314" i="9" s="1"/>
  <c r="I314" i="9"/>
  <c r="H314" i="9"/>
  <c r="G314" i="9"/>
  <c r="F314" i="9"/>
  <c r="D314" i="9"/>
  <c r="P3" i="9"/>
  <c r="O3" i="9" s="1"/>
  <c r="J3" i="9" s="1"/>
  <c r="I3" i="9"/>
  <c r="H3" i="9"/>
  <c r="G3" i="9"/>
  <c r="F3" i="9"/>
  <c r="D3" i="9"/>
  <c r="P164" i="9"/>
  <c r="O164" i="9" s="1"/>
  <c r="J164" i="9" s="1"/>
  <c r="I164" i="9"/>
  <c r="H164" i="9"/>
  <c r="G164" i="9"/>
  <c r="F164" i="9"/>
  <c r="D164" i="9"/>
  <c r="P26" i="9"/>
  <c r="O26" i="9"/>
  <c r="J26" i="9" s="1"/>
  <c r="I26" i="9"/>
  <c r="H26" i="9"/>
  <c r="G26" i="9"/>
  <c r="F26" i="9"/>
  <c r="D26" i="9"/>
  <c r="P313" i="9"/>
  <c r="O313" i="9" s="1"/>
  <c r="J313" i="9"/>
  <c r="I313" i="9"/>
  <c r="H313" i="9"/>
  <c r="G313" i="9"/>
  <c r="F313" i="9"/>
  <c r="D313" i="9"/>
  <c r="P81" i="9"/>
  <c r="O81" i="9"/>
  <c r="J81" i="9" s="1"/>
  <c r="I81" i="9"/>
  <c r="H81" i="9"/>
  <c r="G81" i="9"/>
  <c r="F81" i="9"/>
  <c r="D81" i="9"/>
  <c r="P80" i="9"/>
  <c r="O80" i="9" s="1"/>
  <c r="J80" i="9" s="1"/>
  <c r="I80" i="9"/>
  <c r="H80" i="9"/>
  <c r="G80" i="9"/>
  <c r="F80" i="9"/>
  <c r="D80" i="9"/>
  <c r="P38" i="9"/>
  <c r="O38" i="9" s="1"/>
  <c r="J38" i="9" s="1"/>
  <c r="I38" i="9"/>
  <c r="H38" i="9"/>
  <c r="G38" i="9"/>
  <c r="F38" i="9"/>
  <c r="D38" i="9"/>
  <c r="P151" i="9"/>
  <c r="O151" i="9" s="1"/>
  <c r="J151" i="9" s="1"/>
  <c r="I151" i="9"/>
  <c r="H151" i="9"/>
  <c r="G151" i="9"/>
  <c r="F151" i="9"/>
  <c r="D151" i="9"/>
  <c r="P25" i="9"/>
  <c r="O25" i="9" s="1"/>
  <c r="J25" i="9" s="1"/>
  <c r="I25" i="9"/>
  <c r="H25" i="9"/>
  <c r="G25" i="9"/>
  <c r="F25" i="9"/>
  <c r="D25" i="9"/>
  <c r="P215" i="9"/>
  <c r="O215" i="9" s="1"/>
  <c r="J215" i="9" s="1"/>
  <c r="I215" i="9"/>
  <c r="H215" i="9"/>
  <c r="G215" i="9"/>
  <c r="F215" i="9"/>
  <c r="D215" i="9"/>
  <c r="P2" i="9"/>
  <c r="O2" i="9" s="1"/>
  <c r="J2" i="9" s="1"/>
  <c r="I2" i="9"/>
  <c r="H2" i="9"/>
  <c r="G2" i="9"/>
  <c r="F2" i="9"/>
  <c r="D2" i="9"/>
  <c r="P176" i="9"/>
  <c r="O176" i="9" s="1"/>
  <c r="J176" i="9" s="1"/>
  <c r="I176" i="9"/>
  <c r="H176" i="9"/>
  <c r="G176" i="9"/>
  <c r="F176" i="9"/>
  <c r="D176" i="9"/>
  <c r="P175" i="9"/>
  <c r="O175" i="9" s="1"/>
  <c r="J175" i="9"/>
  <c r="I175" i="9"/>
  <c r="H175" i="9"/>
  <c r="G175" i="9"/>
  <c r="F175" i="9"/>
  <c r="D175" i="9"/>
  <c r="P369" i="9"/>
  <c r="O369" i="9" s="1"/>
  <c r="J369" i="9" s="1"/>
  <c r="I369" i="9"/>
  <c r="H369" i="9"/>
  <c r="G369" i="9"/>
  <c r="F369" i="9"/>
  <c r="D369" i="9"/>
  <c r="P310" i="9"/>
  <c r="O310" i="9"/>
  <c r="J310" i="9"/>
  <c r="I310" i="9"/>
  <c r="H310" i="9"/>
  <c r="G310" i="9"/>
  <c r="F310" i="9"/>
  <c r="D310" i="9"/>
  <c r="P24" i="9"/>
  <c r="O24" i="9" s="1"/>
  <c r="J24" i="9" s="1"/>
  <c r="I24" i="9"/>
  <c r="H24" i="9"/>
  <c r="G24" i="9"/>
  <c r="F24" i="9"/>
  <c r="D24" i="9"/>
  <c r="P7" i="9"/>
  <c r="O7" i="9" s="1"/>
  <c r="J7" i="9" s="1"/>
  <c r="I7" i="9"/>
  <c r="H7" i="9"/>
  <c r="G7" i="9"/>
  <c r="F7" i="9"/>
  <c r="D7" i="9"/>
  <c r="P308" i="9"/>
  <c r="O308" i="9"/>
  <c r="J308" i="9"/>
  <c r="I308" i="9"/>
  <c r="H308" i="9"/>
  <c r="G308" i="9"/>
  <c r="F308" i="9"/>
  <c r="D308" i="9"/>
  <c r="P107" i="9"/>
  <c r="O107" i="9" s="1"/>
  <c r="J107" i="9"/>
  <c r="I107" i="9"/>
  <c r="H107" i="9"/>
  <c r="G107" i="9"/>
  <c r="F107" i="9"/>
  <c r="D107" i="9"/>
  <c r="P380" i="9"/>
  <c r="O380" i="9"/>
  <c r="J380" i="9" s="1"/>
  <c r="I380" i="9"/>
  <c r="H380" i="9"/>
  <c r="G380" i="9"/>
  <c r="F380" i="9"/>
  <c r="D380" i="9"/>
  <c r="P214" i="9"/>
  <c r="O214" i="9"/>
  <c r="J214" i="9"/>
  <c r="I214" i="9"/>
  <c r="H214" i="9"/>
  <c r="G214" i="9"/>
  <c r="F214" i="9"/>
  <c r="D214" i="9"/>
  <c r="P23" i="9"/>
  <c r="O23" i="9" s="1"/>
  <c r="J23" i="9" s="1"/>
  <c r="I23" i="9"/>
  <c r="H23" i="9"/>
  <c r="G23" i="9"/>
  <c r="F23" i="9"/>
  <c r="D23" i="9"/>
  <c r="P379" i="9"/>
  <c r="O379" i="9"/>
  <c r="J379" i="9"/>
  <c r="I379" i="9"/>
  <c r="H379" i="9"/>
  <c r="G379" i="9"/>
  <c r="F379" i="9"/>
  <c r="D379" i="9"/>
  <c r="P312" i="9"/>
  <c r="O312" i="9"/>
  <c r="J312" i="9"/>
  <c r="I312" i="9"/>
  <c r="H312" i="9"/>
  <c r="G312" i="9"/>
  <c r="F312" i="9"/>
  <c r="D312" i="9"/>
  <c r="P197" i="9"/>
  <c r="O197" i="9" s="1"/>
  <c r="J197" i="9" s="1"/>
  <c r="I197" i="9"/>
  <c r="H197" i="9"/>
  <c r="G197" i="9"/>
  <c r="F197" i="9"/>
  <c r="D197" i="9"/>
  <c r="P41" i="9"/>
  <c r="O41" i="9"/>
  <c r="J41" i="9"/>
  <c r="I41" i="9"/>
  <c r="H41" i="9"/>
  <c r="G41" i="9"/>
  <c r="F41" i="9"/>
  <c r="D41" i="9"/>
  <c r="P265" i="9"/>
  <c r="O265" i="9" s="1"/>
  <c r="J265" i="9" s="1"/>
  <c r="I265" i="9"/>
  <c r="H265" i="9"/>
  <c r="G265" i="9"/>
  <c r="F265" i="9"/>
  <c r="D265" i="9"/>
  <c r="P86" i="9"/>
  <c r="O86" i="9" s="1"/>
  <c r="J86" i="9"/>
  <c r="I86" i="9"/>
  <c r="H86" i="9"/>
  <c r="G86" i="9"/>
  <c r="F86" i="9"/>
  <c r="D86" i="9"/>
  <c r="P49" i="9"/>
  <c r="O49" i="9"/>
  <c r="J49" i="9"/>
  <c r="I49" i="9"/>
  <c r="H49" i="9"/>
  <c r="G49" i="9"/>
  <c r="F49" i="9"/>
  <c r="D49" i="9"/>
  <c r="P22" i="9"/>
  <c r="O22" i="9" s="1"/>
  <c r="J22" i="9" s="1"/>
  <c r="I22" i="9"/>
  <c r="H22" i="9"/>
  <c r="G22" i="9"/>
  <c r="F22" i="9"/>
  <c r="D22" i="9"/>
  <c r="P177" i="9"/>
  <c r="O177" i="9" s="1"/>
  <c r="J177" i="9"/>
  <c r="I177" i="9"/>
  <c r="H177" i="9"/>
  <c r="G177" i="9"/>
  <c r="F177" i="9"/>
  <c r="D177" i="9"/>
  <c r="P213" i="9"/>
  <c r="O213" i="9"/>
  <c r="J213" i="9" s="1"/>
  <c r="I213" i="9"/>
  <c r="H213" i="9"/>
  <c r="G213" i="9"/>
  <c r="F213" i="9"/>
  <c r="D213" i="9"/>
  <c r="P261" i="9"/>
  <c r="O261" i="9" s="1"/>
  <c r="J261" i="9" s="1"/>
  <c r="I261" i="9"/>
  <c r="H261" i="9"/>
  <c r="G261" i="9"/>
  <c r="F261" i="9"/>
  <c r="D261" i="9"/>
  <c r="P211" i="9"/>
  <c r="O211" i="9" s="1"/>
  <c r="J211" i="9"/>
  <c r="I211" i="9"/>
  <c r="H211" i="9"/>
  <c r="G211" i="9"/>
  <c r="F211" i="9"/>
  <c r="D211" i="9"/>
  <c r="P208" i="9"/>
  <c r="O208" i="9"/>
  <c r="J208" i="9"/>
  <c r="I208" i="9"/>
  <c r="H208" i="9"/>
  <c r="G208" i="9"/>
  <c r="F208" i="9"/>
  <c r="D208" i="9"/>
  <c r="P21" i="9"/>
  <c r="O21" i="9" s="1"/>
  <c r="J21" i="9" s="1"/>
  <c r="I21" i="9"/>
  <c r="H21" i="9"/>
  <c r="G21" i="9"/>
  <c r="F21" i="9"/>
  <c r="D21" i="9"/>
  <c r="P20" i="9"/>
  <c r="O20" i="9" s="1"/>
  <c r="J20" i="9" s="1"/>
  <c r="I20" i="9"/>
  <c r="H20" i="9"/>
  <c r="G20" i="9"/>
  <c r="F20" i="9"/>
  <c r="D20" i="9"/>
  <c r="P212" i="9"/>
  <c r="O212" i="9" s="1"/>
  <c r="J212" i="9" s="1"/>
  <c r="I212" i="9"/>
  <c r="H212" i="9"/>
  <c r="G212" i="9"/>
  <c r="F212" i="9"/>
  <c r="D212" i="9"/>
  <c r="P326" i="9"/>
  <c r="O326" i="9" s="1"/>
  <c r="J326" i="9" s="1"/>
  <c r="I326" i="9"/>
  <c r="H326" i="9"/>
  <c r="G326" i="9"/>
  <c r="F326" i="9"/>
  <c r="D326" i="9"/>
  <c r="P19" i="9"/>
  <c r="O19" i="9" s="1"/>
  <c r="J19" i="9"/>
  <c r="I19" i="9"/>
  <c r="H19" i="9"/>
  <c r="G19" i="9"/>
  <c r="F19" i="9"/>
  <c r="D19" i="9"/>
  <c r="P235" i="9"/>
  <c r="O235" i="9"/>
  <c r="J235" i="9" s="1"/>
  <c r="I235" i="9"/>
  <c r="H235" i="9"/>
  <c r="G235" i="9"/>
  <c r="F235" i="9"/>
  <c r="D235" i="9"/>
  <c r="P209" i="9"/>
  <c r="O209" i="9"/>
  <c r="J209" i="9"/>
  <c r="I209" i="9"/>
  <c r="H209" i="9"/>
  <c r="G209" i="9"/>
  <c r="F209" i="9"/>
  <c r="D209" i="9"/>
  <c r="P47" i="9"/>
  <c r="O47" i="9" s="1"/>
  <c r="J47" i="9"/>
  <c r="I47" i="9"/>
  <c r="H47" i="9"/>
  <c r="G47" i="9"/>
  <c r="F47" i="9"/>
  <c r="D47" i="9"/>
  <c r="P9" i="9"/>
  <c r="O9" i="9" s="1"/>
  <c r="J9" i="9" s="1"/>
  <c r="I9" i="9"/>
  <c r="H9" i="9"/>
  <c r="G9" i="9"/>
  <c r="F9" i="9"/>
  <c r="D9" i="9"/>
  <c r="P174" i="9"/>
  <c r="O174" i="9"/>
  <c r="J174" i="9"/>
  <c r="I174" i="9"/>
  <c r="H174" i="9"/>
  <c r="G174" i="9"/>
  <c r="F174" i="9"/>
  <c r="D174" i="9"/>
  <c r="P15" i="9"/>
  <c r="O15" i="9" s="1"/>
  <c r="J15" i="9"/>
  <c r="I15" i="9"/>
  <c r="H15" i="9"/>
  <c r="G15" i="9"/>
  <c r="F15" i="9"/>
  <c r="D15" i="9"/>
  <c r="P102" i="9"/>
  <c r="O102" i="9" s="1"/>
  <c r="J102" i="9" s="1"/>
  <c r="I102" i="9"/>
  <c r="H102" i="9"/>
  <c r="G102" i="9"/>
  <c r="F102" i="9"/>
  <c r="D102" i="9"/>
  <c r="P101" i="9"/>
  <c r="O101" i="9"/>
  <c r="J101" i="9"/>
  <c r="I101" i="9"/>
  <c r="H101" i="9"/>
  <c r="G101" i="9"/>
  <c r="F101" i="9"/>
  <c r="D101" i="9"/>
  <c r="P233" i="9"/>
  <c r="O233" i="9" s="1"/>
  <c r="J233" i="9"/>
  <c r="I233" i="9"/>
  <c r="H233" i="9"/>
  <c r="G233" i="9"/>
  <c r="F233" i="9"/>
  <c r="D233" i="9"/>
  <c r="P99" i="9"/>
  <c r="O99" i="9"/>
  <c r="J99" i="9" s="1"/>
  <c r="I99" i="9"/>
  <c r="H99" i="9"/>
  <c r="G99" i="9"/>
  <c r="F99" i="9"/>
  <c r="D99" i="9"/>
  <c r="P98" i="9"/>
  <c r="O98" i="9" s="1"/>
  <c r="J98" i="9" s="1"/>
  <c r="I98" i="9"/>
  <c r="H98" i="9"/>
  <c r="G98" i="9"/>
  <c r="F98" i="9"/>
  <c r="D98" i="9"/>
  <c r="P100" i="9"/>
  <c r="O100" i="9" s="1"/>
  <c r="J100" i="9" s="1"/>
  <c r="I100" i="9"/>
  <c r="H100" i="9"/>
  <c r="G100" i="9"/>
  <c r="F100" i="9"/>
  <c r="D100" i="9"/>
  <c r="P227" i="9"/>
  <c r="O227" i="9" s="1"/>
  <c r="J227" i="9" s="1"/>
  <c r="I227" i="9"/>
  <c r="H227" i="9"/>
  <c r="G227" i="9"/>
  <c r="F227" i="9"/>
  <c r="D227" i="9"/>
  <c r="P309" i="9"/>
  <c r="O309" i="9"/>
  <c r="J309" i="9" s="1"/>
  <c r="I309" i="9"/>
  <c r="H309" i="9"/>
  <c r="G309" i="9"/>
  <c r="F309" i="9"/>
  <c r="D309" i="9"/>
  <c r="P217" i="9"/>
  <c r="O217" i="9" s="1"/>
  <c r="J217" i="9"/>
  <c r="I217" i="9"/>
  <c r="H217" i="9"/>
  <c r="G217" i="9"/>
  <c r="F217" i="9"/>
  <c r="D217" i="9"/>
  <c r="P238" i="9"/>
  <c r="O238" i="9"/>
  <c r="J238" i="9" s="1"/>
  <c r="I238" i="9"/>
  <c r="H238" i="9"/>
  <c r="G238" i="9"/>
  <c r="F238" i="9"/>
  <c r="D238" i="9"/>
  <c r="P95" i="9"/>
  <c r="O95" i="9"/>
  <c r="J95" i="9"/>
  <c r="I95" i="9"/>
  <c r="H95" i="9"/>
  <c r="G95" i="9"/>
  <c r="F95" i="9"/>
  <c r="D95" i="9"/>
  <c r="P96" i="9"/>
  <c r="O96" i="9" s="1"/>
  <c r="J96" i="9" s="1"/>
  <c r="I96" i="9"/>
  <c r="H96" i="9"/>
  <c r="G96" i="9"/>
  <c r="F96" i="9"/>
  <c r="D96" i="9"/>
  <c r="P288" i="9"/>
  <c r="O288" i="9" s="1"/>
  <c r="J288" i="9" s="1"/>
  <c r="I288" i="9"/>
  <c r="H288" i="9"/>
  <c r="G288" i="9"/>
  <c r="F288" i="9"/>
  <c r="D288" i="9"/>
  <c r="P287" i="9"/>
  <c r="O287" i="9"/>
  <c r="J287" i="9"/>
  <c r="I287" i="9"/>
  <c r="H287" i="9"/>
  <c r="G287" i="9"/>
  <c r="F287" i="9"/>
  <c r="D287" i="9"/>
  <c r="P6" i="9"/>
  <c r="O6" i="9" s="1"/>
  <c r="J6" i="9" s="1"/>
  <c r="I6" i="9"/>
  <c r="H6" i="9"/>
  <c r="G6" i="9"/>
  <c r="F6" i="9"/>
  <c r="D6" i="9"/>
  <c r="P37" i="9"/>
  <c r="O37" i="9"/>
  <c r="J37" i="9"/>
  <c r="I37" i="9"/>
  <c r="H37" i="9"/>
  <c r="G37" i="9"/>
  <c r="F37" i="9"/>
  <c r="D37" i="9"/>
  <c r="P231" i="9"/>
  <c r="O231" i="9" s="1"/>
  <c r="J231" i="9" s="1"/>
  <c r="I231" i="9"/>
  <c r="H231" i="9"/>
  <c r="G231" i="9"/>
  <c r="F231" i="9"/>
  <c r="D231" i="9"/>
  <c r="P115" i="9"/>
  <c r="O115" i="9" s="1"/>
  <c r="J115" i="9" s="1"/>
  <c r="I115" i="9"/>
  <c r="H115" i="9"/>
  <c r="G115" i="9"/>
  <c r="F115" i="9"/>
  <c r="D115" i="9"/>
  <c r="P116" i="9"/>
  <c r="O116" i="9" s="1"/>
  <c r="J116" i="9" s="1"/>
  <c r="I116" i="9"/>
  <c r="H116" i="9"/>
  <c r="G116" i="9"/>
  <c r="F116" i="9"/>
  <c r="D116" i="9"/>
  <c r="P113" i="9"/>
  <c r="O113" i="9"/>
  <c r="J113" i="9" s="1"/>
  <c r="I113" i="9"/>
  <c r="H113" i="9"/>
  <c r="G113" i="9"/>
  <c r="F113" i="9"/>
  <c r="D113" i="9"/>
  <c r="P48" i="9"/>
  <c r="O48" i="9" s="1"/>
  <c r="J48" i="9"/>
  <c r="I48" i="9"/>
  <c r="H48" i="9"/>
  <c r="G48" i="9"/>
  <c r="F48" i="9"/>
  <c r="D48" i="9"/>
  <c r="P271" i="9"/>
  <c r="O271" i="9"/>
  <c r="J271" i="9" s="1"/>
  <c r="I271" i="9"/>
  <c r="H271" i="9"/>
  <c r="G271" i="9"/>
  <c r="F271" i="9"/>
  <c r="D271" i="9"/>
  <c r="P131" i="9"/>
  <c r="O131" i="9" s="1"/>
  <c r="J131" i="9" s="1"/>
  <c r="I131" i="9"/>
  <c r="H131" i="9"/>
  <c r="G131" i="9"/>
  <c r="F131" i="9"/>
  <c r="D131" i="9"/>
  <c r="P252" i="9"/>
  <c r="O252" i="9" s="1"/>
  <c r="J252" i="9" s="1"/>
  <c r="I252" i="9"/>
  <c r="H252" i="9"/>
  <c r="G252" i="9"/>
  <c r="F252" i="9"/>
  <c r="D252" i="9"/>
  <c r="P196" i="9"/>
  <c r="O196" i="9"/>
  <c r="J196" i="9"/>
  <c r="I196" i="9"/>
  <c r="H196" i="9"/>
  <c r="G196" i="9"/>
  <c r="F196" i="9"/>
  <c r="D196" i="9"/>
  <c r="P58" i="9"/>
  <c r="O58" i="9" s="1"/>
  <c r="J58" i="9" s="1"/>
  <c r="I58" i="9"/>
  <c r="H58" i="9"/>
  <c r="G58" i="9"/>
  <c r="F58" i="9"/>
  <c r="D58" i="9"/>
  <c r="P181" i="9"/>
  <c r="O181" i="9" s="1"/>
  <c r="J181" i="9"/>
  <c r="I181" i="9"/>
  <c r="H181" i="9"/>
  <c r="G181" i="9"/>
  <c r="F181" i="9"/>
  <c r="D181" i="9"/>
  <c r="P135" i="9"/>
  <c r="O135" i="9" s="1"/>
  <c r="J135" i="9" s="1"/>
  <c r="I135" i="9"/>
  <c r="H135" i="9"/>
  <c r="G135" i="9"/>
  <c r="F135" i="9"/>
  <c r="D135" i="9"/>
  <c r="P43" i="9"/>
  <c r="O43" i="9"/>
  <c r="J43" i="9" s="1"/>
  <c r="I43" i="9"/>
  <c r="H43" i="9"/>
  <c r="G43" i="9"/>
  <c r="F43" i="9"/>
  <c r="D43" i="9"/>
  <c r="P63" i="9"/>
  <c r="O63" i="9" s="1"/>
  <c r="J63" i="9" s="1"/>
  <c r="I63" i="9"/>
  <c r="H63" i="9"/>
  <c r="G63" i="9"/>
  <c r="F63" i="9"/>
  <c r="D63" i="9"/>
  <c r="P192" i="9"/>
  <c r="O192" i="9" s="1"/>
  <c r="J192" i="9" s="1"/>
  <c r="I192" i="9"/>
  <c r="H192" i="9"/>
  <c r="G192" i="9"/>
  <c r="F192" i="9"/>
  <c r="D192" i="9"/>
  <c r="P286" i="9"/>
  <c r="O286" i="9" s="1"/>
  <c r="J286" i="9" s="1"/>
  <c r="I286" i="9"/>
  <c r="H286" i="9"/>
  <c r="G286" i="9"/>
  <c r="F286" i="9"/>
  <c r="D286" i="9"/>
  <c r="P146" i="9"/>
  <c r="O146" i="9" s="1"/>
  <c r="J146" i="9" s="1"/>
  <c r="I146" i="9"/>
  <c r="H146" i="9"/>
  <c r="G146" i="9"/>
  <c r="F146" i="9"/>
  <c r="D146" i="9"/>
  <c r="P173" i="9"/>
  <c r="O173" i="9" s="1"/>
  <c r="J173" i="9" s="1"/>
  <c r="I173" i="9"/>
  <c r="H173" i="9"/>
  <c r="G173" i="9"/>
  <c r="F173" i="9"/>
  <c r="D173" i="9"/>
  <c r="P8" i="9"/>
  <c r="O8" i="9"/>
  <c r="J8" i="9" s="1"/>
  <c r="I8" i="9"/>
  <c r="H8" i="9"/>
  <c r="G8" i="9"/>
  <c r="F8" i="9"/>
  <c r="D8" i="9"/>
  <c r="P292" i="9"/>
  <c r="O292" i="9" s="1"/>
  <c r="J292" i="9"/>
  <c r="I292" i="9"/>
  <c r="H292" i="9"/>
  <c r="G292" i="9"/>
  <c r="F292" i="9"/>
  <c r="D292" i="9"/>
  <c r="P351" i="9"/>
  <c r="O351" i="9" s="1"/>
  <c r="J351" i="9" s="1"/>
  <c r="I351" i="9"/>
  <c r="H351" i="9"/>
  <c r="G351" i="9"/>
  <c r="F351" i="9"/>
  <c r="D351" i="9"/>
  <c r="P281" i="9"/>
  <c r="O281" i="9"/>
  <c r="J281" i="9"/>
  <c r="I281" i="9"/>
  <c r="H281" i="9"/>
  <c r="G281" i="9"/>
  <c r="F281" i="9"/>
  <c r="D281" i="9"/>
  <c r="P61" i="9"/>
  <c r="O61" i="9" s="1"/>
  <c r="J61" i="9"/>
  <c r="I61" i="9"/>
  <c r="H61" i="9"/>
  <c r="G61" i="9"/>
  <c r="F61" i="9"/>
  <c r="D61" i="9"/>
  <c r="P62" i="9"/>
  <c r="O62" i="9" s="1"/>
  <c r="J62" i="9" s="1"/>
  <c r="I62" i="9"/>
  <c r="H62" i="9"/>
  <c r="G62" i="9"/>
  <c r="F62" i="9"/>
  <c r="D62" i="9"/>
  <c r="P367" i="9"/>
  <c r="O367" i="9"/>
  <c r="J367" i="9"/>
  <c r="I367" i="9"/>
  <c r="H367" i="9"/>
  <c r="G367" i="9"/>
  <c r="F367" i="9"/>
  <c r="D367" i="9"/>
  <c r="P363" i="9"/>
  <c r="O363" i="9" s="1"/>
  <c r="J363" i="9" s="1"/>
  <c r="I363" i="9"/>
  <c r="H363" i="9"/>
  <c r="G363" i="9"/>
  <c r="F363" i="9"/>
  <c r="D363" i="9"/>
  <c r="P195" i="9"/>
  <c r="O195" i="9"/>
  <c r="J195" i="9"/>
  <c r="I195" i="9"/>
  <c r="H195" i="9"/>
  <c r="G195" i="9"/>
  <c r="F195" i="9"/>
  <c r="D195" i="9"/>
  <c r="P114" i="9"/>
  <c r="O114" i="9"/>
  <c r="J114" i="9"/>
  <c r="I114" i="9"/>
  <c r="H114" i="9"/>
  <c r="G114" i="9"/>
  <c r="F114" i="9"/>
  <c r="D114" i="9"/>
  <c r="P285" i="9"/>
  <c r="O285" i="9" s="1"/>
  <c r="J285" i="9"/>
  <c r="I285" i="9"/>
  <c r="H285" i="9"/>
  <c r="G285" i="9"/>
  <c r="F285" i="9"/>
  <c r="D285" i="9"/>
  <c r="P226" i="9"/>
  <c r="O226" i="9"/>
  <c r="J226" i="9"/>
  <c r="I226" i="9"/>
  <c r="H226" i="9"/>
  <c r="G226" i="9"/>
  <c r="F226" i="9"/>
  <c r="D226" i="9"/>
  <c r="P205" i="9"/>
  <c r="O205" i="9"/>
  <c r="J205" i="9"/>
  <c r="I205" i="9"/>
  <c r="H205" i="9"/>
  <c r="G205" i="9"/>
  <c r="F205" i="9"/>
  <c r="D205" i="9"/>
  <c r="P188" i="9"/>
  <c r="O188" i="9" s="1"/>
  <c r="J188" i="9" s="1"/>
  <c r="I188" i="9"/>
  <c r="H188" i="9"/>
  <c r="G188" i="9"/>
  <c r="F188" i="9"/>
  <c r="D188" i="9"/>
  <c r="P339" i="9"/>
  <c r="O339" i="9"/>
  <c r="J339" i="9"/>
  <c r="I339" i="9"/>
  <c r="H339" i="9"/>
  <c r="G339" i="9"/>
  <c r="F339" i="9"/>
  <c r="D339" i="9"/>
  <c r="P273" i="9"/>
  <c r="O273" i="9"/>
  <c r="J273" i="9"/>
  <c r="I273" i="9"/>
  <c r="H273" i="9"/>
  <c r="G273" i="9"/>
  <c r="F273" i="9"/>
  <c r="D273" i="9"/>
  <c r="P349" i="9"/>
  <c r="O349" i="9" s="1"/>
  <c r="J349" i="9" s="1"/>
  <c r="I349" i="9"/>
  <c r="H349" i="9"/>
  <c r="G349" i="9"/>
  <c r="F349" i="9"/>
  <c r="D349" i="9"/>
  <c r="P112" i="9"/>
  <c r="O112" i="9"/>
  <c r="J112" i="9"/>
  <c r="I112" i="9"/>
  <c r="H112" i="9"/>
  <c r="G112" i="9"/>
  <c r="F112" i="9"/>
  <c r="D112" i="9"/>
  <c r="P225" i="9"/>
  <c r="O225" i="9" s="1"/>
  <c r="J225" i="9" s="1"/>
  <c r="I225" i="9"/>
  <c r="H225" i="9"/>
  <c r="G225" i="9"/>
  <c r="F225" i="9"/>
  <c r="D225" i="9"/>
  <c r="P39" i="9"/>
  <c r="O39" i="9" s="1"/>
  <c r="J39" i="9"/>
  <c r="I39" i="9"/>
  <c r="H39" i="9"/>
  <c r="G39" i="9"/>
  <c r="F39" i="9"/>
  <c r="D39" i="9"/>
  <c r="P33" i="9"/>
  <c r="O33" i="9" s="1"/>
  <c r="J33" i="9" s="1"/>
  <c r="I33" i="9"/>
  <c r="H33" i="9"/>
  <c r="G33" i="9"/>
  <c r="F33" i="9"/>
  <c r="D33" i="9"/>
  <c r="P11" i="9"/>
  <c r="O11" i="9"/>
  <c r="J11" i="9" s="1"/>
  <c r="I11" i="9"/>
  <c r="H11" i="9"/>
  <c r="G11" i="9"/>
  <c r="F11" i="9"/>
  <c r="D11" i="9"/>
  <c r="P360" i="9"/>
  <c r="O360" i="9" s="1"/>
  <c r="J360" i="9"/>
  <c r="I360" i="9"/>
  <c r="H360" i="9"/>
  <c r="G360" i="9"/>
  <c r="F360" i="9"/>
  <c r="D360" i="9"/>
  <c r="P88" i="9"/>
  <c r="O88" i="9"/>
  <c r="J88" i="9"/>
  <c r="I88" i="9"/>
  <c r="H88" i="9"/>
  <c r="G88" i="9"/>
  <c r="F88" i="9"/>
  <c r="D88" i="9"/>
  <c r="P46" i="9"/>
  <c r="O46" i="9" s="1"/>
  <c r="J46" i="9" s="1"/>
  <c r="I46" i="9"/>
  <c r="H46" i="9"/>
  <c r="G46" i="9"/>
  <c r="F46" i="9"/>
  <c r="D46" i="9"/>
  <c r="P204" i="9"/>
  <c r="O204" i="9" s="1"/>
  <c r="J204" i="9" s="1"/>
  <c r="I204" i="9"/>
  <c r="H204" i="9"/>
  <c r="G204" i="9"/>
  <c r="F204" i="9"/>
  <c r="D204" i="9"/>
  <c r="P203" i="9"/>
  <c r="O203" i="9"/>
  <c r="J203" i="9"/>
  <c r="I203" i="9"/>
  <c r="H203" i="9"/>
  <c r="G203" i="9"/>
  <c r="F203" i="9"/>
  <c r="D203" i="9"/>
  <c r="P253" i="9"/>
  <c r="O253" i="9" s="1"/>
  <c r="J253" i="9" s="1"/>
  <c r="I253" i="9"/>
  <c r="H253" i="9"/>
  <c r="G253" i="9"/>
  <c r="F253" i="9"/>
  <c r="D253" i="9"/>
  <c r="P378" i="9"/>
  <c r="O378" i="9" s="1"/>
  <c r="J378" i="9"/>
  <c r="I378" i="9"/>
  <c r="H378" i="9"/>
  <c r="G378" i="9"/>
  <c r="F378" i="9"/>
  <c r="D378" i="9"/>
  <c r="P83" i="9"/>
  <c r="O83" i="9" s="1"/>
  <c r="J83" i="9" s="1"/>
  <c r="I83" i="9"/>
  <c r="H83" i="9"/>
  <c r="G83" i="9"/>
  <c r="F83" i="9"/>
  <c r="D83" i="9"/>
  <c r="P126" i="9"/>
  <c r="O126" i="9"/>
  <c r="J126" i="9" s="1"/>
  <c r="I126" i="9"/>
  <c r="H126" i="9"/>
  <c r="G126" i="9"/>
  <c r="F126" i="9"/>
  <c r="D126" i="9"/>
  <c r="P40" i="9"/>
  <c r="O40" i="9" s="1"/>
  <c r="J40" i="9"/>
  <c r="I40" i="9"/>
  <c r="H40" i="9"/>
  <c r="G40" i="9"/>
  <c r="F40" i="9"/>
  <c r="D40" i="9"/>
  <c r="P87" i="9"/>
  <c r="O87" i="9"/>
  <c r="J87" i="9" s="1"/>
  <c r="I87" i="9"/>
  <c r="H87" i="9"/>
  <c r="G87" i="9"/>
  <c r="F87" i="9"/>
  <c r="D87" i="9"/>
  <c r="P54" i="9"/>
  <c r="O54" i="9"/>
  <c r="J54" i="9"/>
  <c r="I54" i="9"/>
  <c r="H54" i="9"/>
  <c r="G54" i="9"/>
  <c r="F54" i="9"/>
  <c r="D54" i="9"/>
  <c r="P291" i="9"/>
  <c r="O291" i="9" s="1"/>
  <c r="J291" i="9"/>
  <c r="I291" i="9"/>
  <c r="H291" i="9"/>
  <c r="G291" i="9"/>
  <c r="F291" i="9"/>
  <c r="D291" i="9"/>
  <c r="P357" i="9"/>
  <c r="O357" i="9" s="1"/>
  <c r="J357" i="9" s="1"/>
  <c r="I357" i="9"/>
  <c r="H357" i="9"/>
  <c r="G357" i="9"/>
  <c r="F357" i="9"/>
  <c r="D357" i="9"/>
  <c r="P356" i="9"/>
  <c r="O356" i="9"/>
  <c r="J356" i="9"/>
  <c r="I356" i="9"/>
  <c r="H356" i="9"/>
  <c r="G356" i="9"/>
  <c r="F356" i="9"/>
  <c r="D356" i="9"/>
  <c r="P250" i="9"/>
  <c r="O250" i="9" s="1"/>
  <c r="J250" i="9"/>
  <c r="I250" i="9"/>
  <c r="H250" i="9"/>
  <c r="G250" i="9"/>
  <c r="F250" i="9"/>
  <c r="D250" i="9"/>
  <c r="P51" i="9"/>
  <c r="O51" i="9" s="1"/>
  <c r="J51" i="9" s="1"/>
  <c r="I51" i="9"/>
  <c r="H51" i="9"/>
  <c r="G51" i="9"/>
  <c r="F51" i="9"/>
  <c r="D51" i="9"/>
  <c r="P284" i="9"/>
  <c r="O284" i="9" s="1"/>
  <c r="J284" i="9" s="1"/>
  <c r="I284" i="9"/>
  <c r="H284" i="9"/>
  <c r="G284" i="9"/>
  <c r="F284" i="9"/>
  <c r="D284" i="9"/>
  <c r="P340" i="9"/>
  <c r="O340" i="9" s="1"/>
  <c r="J340" i="9"/>
  <c r="I340" i="9"/>
  <c r="H340" i="9"/>
  <c r="G340" i="9"/>
  <c r="F340" i="9"/>
  <c r="D340" i="9"/>
  <c r="P266" i="9"/>
  <c r="O266" i="9" s="1"/>
  <c r="J266" i="9" s="1"/>
  <c r="I266" i="9"/>
  <c r="H266" i="9"/>
  <c r="G266" i="9"/>
  <c r="F266" i="9"/>
  <c r="D266" i="9"/>
  <c r="P248" i="9"/>
  <c r="O248" i="9"/>
  <c r="J248" i="9" s="1"/>
  <c r="I248" i="9"/>
  <c r="H248" i="9"/>
  <c r="G248" i="9"/>
  <c r="F248" i="9"/>
  <c r="D248" i="9"/>
  <c r="P200" i="9"/>
  <c r="O200" i="9" s="1"/>
  <c r="J200" i="9" s="1"/>
  <c r="I200" i="9"/>
  <c r="H200" i="9"/>
  <c r="G200" i="9"/>
  <c r="F200" i="9"/>
  <c r="D200" i="9"/>
  <c r="P44" i="9"/>
  <c r="O44" i="9" s="1"/>
  <c r="J44" i="9" s="1"/>
  <c r="I44" i="9"/>
  <c r="H44" i="9"/>
  <c r="G44" i="9"/>
  <c r="F44" i="9"/>
  <c r="D44" i="9"/>
  <c r="P377" i="9"/>
  <c r="O377" i="9"/>
  <c r="J377" i="9"/>
  <c r="I377" i="9"/>
  <c r="H377" i="9"/>
  <c r="G377" i="9"/>
  <c r="F377" i="9"/>
  <c r="D377" i="9"/>
  <c r="P361" i="9"/>
  <c r="O361" i="9" s="1"/>
  <c r="J361" i="9"/>
  <c r="I361" i="9"/>
  <c r="H361" i="9"/>
  <c r="G361" i="9"/>
  <c r="F361" i="9"/>
  <c r="D361" i="9"/>
  <c r="P172" i="9"/>
  <c r="O172" i="9" s="1"/>
  <c r="J172" i="9" s="1"/>
  <c r="I172" i="9"/>
  <c r="H172" i="9"/>
  <c r="G172" i="9"/>
  <c r="F172" i="9"/>
  <c r="D172" i="9"/>
  <c r="P109" i="9"/>
  <c r="O109" i="9" s="1"/>
  <c r="J109" i="9" s="1"/>
  <c r="I109" i="9"/>
  <c r="H109" i="9"/>
  <c r="G109" i="9"/>
  <c r="F109" i="9"/>
  <c r="D109" i="9"/>
  <c r="P50" i="9"/>
  <c r="O50" i="9" s="1"/>
  <c r="J50" i="9" s="1"/>
  <c r="I50" i="9"/>
  <c r="H50" i="9"/>
  <c r="G50" i="9"/>
  <c r="F50" i="9"/>
  <c r="D50" i="9"/>
  <c r="P344" i="9"/>
  <c r="O344" i="9" s="1"/>
  <c r="J344" i="9" s="1"/>
  <c r="I344" i="9"/>
  <c r="H344" i="9"/>
  <c r="G344" i="9"/>
  <c r="F344" i="9"/>
  <c r="D344" i="9"/>
  <c r="P103" i="9"/>
  <c r="O103" i="9"/>
  <c r="J103" i="9"/>
  <c r="I103" i="9"/>
  <c r="H103" i="9"/>
  <c r="G103" i="9"/>
  <c r="F103" i="9"/>
  <c r="D103" i="9"/>
  <c r="P244" i="9"/>
  <c r="O244" i="9" s="1"/>
  <c r="J244" i="9" s="1"/>
  <c r="I244" i="9"/>
  <c r="H244" i="9"/>
  <c r="G244" i="9"/>
  <c r="F244" i="9"/>
  <c r="D244" i="9"/>
  <c r="P257" i="9"/>
  <c r="O257" i="9" s="1"/>
  <c r="J257" i="9" s="1"/>
  <c r="I257" i="9"/>
  <c r="H257" i="9"/>
  <c r="G257" i="9"/>
  <c r="F257" i="9"/>
  <c r="D257" i="9"/>
  <c r="P85" i="9"/>
  <c r="O85" i="9" s="1"/>
  <c r="J85" i="9" s="1"/>
  <c r="I85" i="9"/>
  <c r="H85" i="9"/>
  <c r="G85" i="9"/>
  <c r="F85" i="9"/>
  <c r="D85" i="9"/>
  <c r="P276" i="9"/>
  <c r="O276" i="9" s="1"/>
  <c r="J276" i="9" s="1"/>
  <c r="I276" i="9"/>
  <c r="H276" i="9"/>
  <c r="G276" i="9"/>
  <c r="F276" i="9"/>
  <c r="D276" i="9"/>
  <c r="P368" i="9"/>
  <c r="O368" i="9"/>
  <c r="J368" i="9"/>
  <c r="I368" i="9"/>
  <c r="H368" i="9"/>
  <c r="G368" i="9"/>
  <c r="F368" i="9"/>
  <c r="D368" i="9"/>
  <c r="P345" i="9"/>
  <c r="O345" i="9"/>
  <c r="J345" i="9" s="1"/>
  <c r="I345" i="9"/>
  <c r="H345" i="9"/>
  <c r="G345" i="9"/>
  <c r="F345" i="9"/>
  <c r="D345" i="9"/>
  <c r="P154" i="9"/>
  <c r="O154" i="9" s="1"/>
  <c r="J154" i="9" s="1"/>
  <c r="I154" i="9"/>
  <c r="H154" i="9"/>
  <c r="G154" i="9"/>
  <c r="F154" i="9"/>
  <c r="D154" i="9"/>
  <c r="P31" i="9"/>
  <c r="O31" i="9"/>
  <c r="J31" i="9"/>
  <c r="I31" i="9"/>
  <c r="H31" i="9"/>
  <c r="G31" i="9"/>
  <c r="F31" i="9"/>
  <c r="D31" i="9"/>
  <c r="P234" i="9"/>
  <c r="O234" i="9" s="1"/>
  <c r="J234" i="9" s="1"/>
  <c r="I234" i="9"/>
  <c r="H234" i="9"/>
  <c r="G234" i="9"/>
  <c r="F234" i="9"/>
  <c r="D234" i="9"/>
  <c r="P262" i="9"/>
  <c r="O262" i="9" s="1"/>
  <c r="J262" i="9"/>
  <c r="I262" i="9"/>
  <c r="H262" i="9"/>
  <c r="G262" i="9"/>
  <c r="F262" i="9"/>
  <c r="D262" i="9"/>
  <c r="P325" i="9"/>
  <c r="O325" i="9"/>
  <c r="J325" i="9"/>
  <c r="I325" i="9"/>
  <c r="H325" i="9"/>
  <c r="G325" i="9"/>
  <c r="F325" i="9"/>
  <c r="D325" i="9"/>
  <c r="P149" i="9"/>
  <c r="O149" i="9" s="1"/>
  <c r="J149" i="9" s="1"/>
  <c r="I149" i="9"/>
  <c r="H149" i="9"/>
  <c r="G149" i="9"/>
  <c r="F149" i="9"/>
  <c r="D149" i="9"/>
  <c r="P318" i="9"/>
  <c r="O318" i="9" s="1"/>
  <c r="J318" i="9"/>
  <c r="I318" i="9"/>
  <c r="H318" i="9"/>
  <c r="G318" i="9"/>
  <c r="F318" i="9"/>
  <c r="D318" i="9"/>
  <c r="P120" i="9"/>
  <c r="O120" i="9" s="1"/>
  <c r="J120" i="9" s="1"/>
  <c r="I120" i="9"/>
  <c r="H120" i="9"/>
  <c r="G120" i="9"/>
  <c r="F120" i="9"/>
  <c r="D120" i="9"/>
  <c r="P280" i="9"/>
  <c r="O280" i="9" s="1"/>
  <c r="J280" i="9" s="1"/>
  <c r="I280" i="9"/>
  <c r="H280" i="9"/>
  <c r="G280" i="9"/>
  <c r="F280" i="9"/>
  <c r="D280" i="9"/>
  <c r="P260" i="9"/>
  <c r="O260" i="9" s="1"/>
  <c r="J260" i="9" s="1"/>
  <c r="I260" i="9"/>
  <c r="H260" i="9"/>
  <c r="G260" i="9"/>
  <c r="F260" i="9"/>
  <c r="D260" i="9"/>
  <c r="P358" i="9"/>
  <c r="O358" i="9"/>
  <c r="J358" i="9" s="1"/>
  <c r="I358" i="9"/>
  <c r="H358" i="9"/>
  <c r="G358" i="9"/>
  <c r="F358" i="9"/>
  <c r="D358" i="9"/>
  <c r="P163" i="9"/>
  <c r="O163" i="9" s="1"/>
  <c r="J163" i="9" s="1"/>
  <c r="I163" i="9"/>
  <c r="H163" i="9"/>
  <c r="G163" i="9"/>
  <c r="F163" i="9"/>
  <c r="D163" i="9"/>
  <c r="P162" i="9"/>
  <c r="O162" i="9" s="1"/>
  <c r="J162" i="9"/>
  <c r="I162" i="9"/>
  <c r="H162" i="9"/>
  <c r="G162" i="9"/>
  <c r="F162" i="9"/>
  <c r="D162" i="9"/>
  <c r="P106" i="9"/>
  <c r="O106" i="9" s="1"/>
  <c r="J106" i="9" s="1"/>
  <c r="I106" i="9"/>
  <c r="H106" i="9"/>
  <c r="G106" i="9"/>
  <c r="F106" i="9"/>
  <c r="D106" i="9"/>
  <c r="P373" i="9"/>
  <c r="O373" i="9"/>
  <c r="J373" i="9"/>
  <c r="I373" i="9"/>
  <c r="H373" i="9"/>
  <c r="G373" i="9"/>
  <c r="F373" i="9"/>
  <c r="D373" i="9"/>
  <c r="P374" i="9"/>
  <c r="O374" i="9" s="1"/>
  <c r="J374" i="9"/>
  <c r="I374" i="9"/>
  <c r="H374" i="9"/>
  <c r="G374" i="9"/>
  <c r="F374" i="9"/>
  <c r="D374" i="9"/>
  <c r="P376" i="9"/>
  <c r="O376" i="9" s="1"/>
  <c r="J376" i="9" s="1"/>
  <c r="I376" i="9"/>
  <c r="H376" i="9"/>
  <c r="G376" i="9"/>
  <c r="F376" i="9"/>
  <c r="D376" i="9"/>
  <c r="P17" i="9"/>
  <c r="O17" i="9"/>
  <c r="J17" i="9"/>
  <c r="I17" i="9"/>
  <c r="H17" i="9"/>
  <c r="G17" i="9"/>
  <c r="F17" i="9"/>
  <c r="D17" i="9"/>
  <c r="P375" i="9"/>
  <c r="O375" i="9" s="1"/>
  <c r="J375" i="9"/>
  <c r="I375" i="9"/>
  <c r="H375" i="9"/>
  <c r="G375" i="9"/>
  <c r="F375" i="9"/>
  <c r="D375" i="9"/>
  <c r="P329" i="9"/>
  <c r="O329" i="9"/>
  <c r="J329" i="9" s="1"/>
  <c r="I329" i="9"/>
  <c r="H329" i="9"/>
  <c r="G329" i="9"/>
  <c r="F329" i="9"/>
  <c r="D329" i="9"/>
  <c r="P67" i="9"/>
  <c r="O67" i="9"/>
  <c r="J67" i="9"/>
  <c r="I67" i="9"/>
  <c r="H67" i="9"/>
  <c r="G67" i="9"/>
  <c r="F67" i="9"/>
  <c r="D67" i="9"/>
  <c r="P66" i="9"/>
  <c r="O66" i="9" s="1"/>
  <c r="J66" i="9" s="1"/>
  <c r="I66" i="9"/>
  <c r="H66" i="9"/>
  <c r="G66" i="9"/>
  <c r="F66" i="9"/>
  <c r="D66" i="9"/>
  <c r="P117" i="9"/>
  <c r="O117" i="9"/>
  <c r="J117" i="9"/>
  <c r="I117" i="9"/>
  <c r="H117" i="9"/>
  <c r="G117" i="9"/>
  <c r="F117" i="9"/>
  <c r="D117" i="9"/>
  <c r="P270" i="9"/>
  <c r="O270" i="9"/>
  <c r="J270" i="9" s="1"/>
  <c r="I270" i="9"/>
  <c r="H270" i="9"/>
  <c r="G270" i="9"/>
  <c r="F270" i="9"/>
  <c r="D270" i="9"/>
  <c r="P304" i="9"/>
  <c r="O304" i="9" s="1"/>
  <c r="J304" i="9"/>
  <c r="I304" i="9"/>
  <c r="H304" i="9"/>
  <c r="G304" i="9"/>
  <c r="F304" i="9"/>
  <c r="D304" i="9"/>
  <c r="P305" i="9"/>
  <c r="O305" i="9"/>
  <c r="J305" i="9"/>
  <c r="I305" i="9"/>
  <c r="H305" i="9"/>
  <c r="G305" i="9"/>
  <c r="F305" i="9"/>
  <c r="D305" i="9"/>
  <c r="P303" i="9"/>
  <c r="O303" i="9" s="1"/>
  <c r="J303" i="9" s="1"/>
  <c r="I303" i="9"/>
  <c r="H303" i="9"/>
  <c r="G303" i="9"/>
  <c r="F303" i="9"/>
  <c r="D303" i="9"/>
  <c r="P302" i="9"/>
  <c r="O302" i="9" s="1"/>
  <c r="J302" i="9" s="1"/>
  <c r="I302" i="9"/>
  <c r="H302" i="9"/>
  <c r="G302" i="9"/>
  <c r="F302" i="9"/>
  <c r="D302" i="9"/>
  <c r="P306" i="9"/>
  <c r="O306" i="9" s="1"/>
  <c r="J306" i="9" s="1"/>
  <c r="I306" i="9"/>
  <c r="H306" i="9"/>
  <c r="G306" i="9"/>
  <c r="F306" i="9"/>
  <c r="D306" i="9"/>
  <c r="P301" i="9"/>
  <c r="O301" i="9"/>
  <c r="J301" i="9"/>
  <c r="I301" i="9"/>
  <c r="H301" i="9"/>
  <c r="G301" i="9"/>
  <c r="F301" i="9"/>
  <c r="D301" i="9"/>
  <c r="P229" i="9"/>
  <c r="O229" i="9" s="1"/>
  <c r="J229" i="9" s="1"/>
  <c r="I229" i="9"/>
  <c r="H229" i="9"/>
  <c r="G229" i="9"/>
  <c r="F229" i="9"/>
  <c r="D229" i="9"/>
  <c r="P89" i="9"/>
  <c r="O89" i="9" s="1"/>
  <c r="J89" i="9" s="1"/>
  <c r="I89" i="9"/>
  <c r="H89" i="9"/>
  <c r="G89" i="9"/>
  <c r="F89" i="9"/>
  <c r="D89" i="9"/>
  <c r="P90" i="9"/>
  <c r="O90" i="9" s="1"/>
  <c r="J90" i="9" s="1"/>
  <c r="I90" i="9"/>
  <c r="H90" i="9"/>
  <c r="G90" i="9"/>
  <c r="F90" i="9"/>
  <c r="D90" i="9"/>
  <c r="P156" i="9"/>
  <c r="O156" i="9" s="1"/>
  <c r="J156" i="9" s="1"/>
  <c r="I156" i="9"/>
  <c r="H156" i="9"/>
  <c r="G156" i="9"/>
  <c r="F156" i="9"/>
  <c r="D156" i="9"/>
  <c r="P355" i="9"/>
  <c r="O355" i="9"/>
  <c r="J355" i="9"/>
  <c r="I355" i="9"/>
  <c r="H355" i="9"/>
  <c r="G355" i="9"/>
  <c r="F355" i="9"/>
  <c r="D355" i="9"/>
  <c r="P161" i="9"/>
  <c r="O161" i="9" s="1"/>
  <c r="J161" i="9" s="1"/>
  <c r="I161" i="9"/>
  <c r="H161" i="9"/>
  <c r="G161" i="9"/>
  <c r="F161" i="9"/>
  <c r="D161" i="9"/>
  <c r="P364" i="9"/>
  <c r="O364" i="9" s="1"/>
  <c r="J364" i="9" s="1"/>
  <c r="I364" i="9"/>
  <c r="H364" i="9"/>
  <c r="G364" i="9"/>
  <c r="F364" i="9"/>
  <c r="D364" i="9"/>
  <c r="P73" i="9"/>
  <c r="O73" i="9"/>
  <c r="J73" i="9"/>
  <c r="I73" i="9"/>
  <c r="H73" i="9"/>
  <c r="G73" i="9"/>
  <c r="F73" i="9"/>
  <c r="D73" i="9"/>
  <c r="P300" i="9"/>
  <c r="O300" i="9" s="1"/>
  <c r="J300" i="9" s="1"/>
  <c r="I300" i="9"/>
  <c r="H300" i="9"/>
  <c r="G300" i="9"/>
  <c r="F300" i="9"/>
  <c r="D300" i="9"/>
  <c r="P14" i="9"/>
  <c r="O14" i="9" s="1"/>
  <c r="J14" i="9"/>
  <c r="I14" i="9"/>
  <c r="H14" i="9"/>
  <c r="G14" i="9"/>
  <c r="F14" i="9"/>
  <c r="D14" i="9"/>
  <c r="P269" i="9"/>
  <c r="O269" i="9"/>
  <c r="J269" i="9" s="1"/>
  <c r="I269" i="9"/>
  <c r="H269" i="9"/>
  <c r="G269" i="9"/>
  <c r="F269" i="9"/>
  <c r="D269" i="9"/>
  <c r="P91" i="9"/>
  <c r="O91" i="9" s="1"/>
  <c r="J91" i="9" s="1"/>
  <c r="I91" i="9"/>
  <c r="H91" i="9"/>
  <c r="G91" i="9"/>
  <c r="F91" i="9"/>
  <c r="D91" i="9"/>
  <c r="P365" i="9"/>
  <c r="O365" i="9" s="1"/>
  <c r="J365" i="9" s="1"/>
  <c r="I365" i="9"/>
  <c r="H365" i="9"/>
  <c r="G365" i="9"/>
  <c r="F365" i="9"/>
  <c r="D365" i="9"/>
  <c r="P133" i="9"/>
  <c r="O133" i="9"/>
  <c r="J133" i="9"/>
  <c r="I133" i="9"/>
  <c r="H133" i="9"/>
  <c r="G133" i="9"/>
  <c r="F133" i="9"/>
  <c r="D133" i="9"/>
  <c r="P290" i="9"/>
  <c r="O290" i="9"/>
  <c r="J290" i="9" s="1"/>
  <c r="I290" i="9"/>
  <c r="H290" i="9"/>
  <c r="G290" i="9"/>
  <c r="F290" i="9"/>
  <c r="D290" i="9"/>
  <c r="P194" i="9"/>
  <c r="O194" i="9" s="1"/>
  <c r="J194" i="9"/>
  <c r="I194" i="9"/>
  <c r="H194" i="9"/>
  <c r="G194" i="9"/>
  <c r="F194" i="9"/>
  <c r="D194" i="9"/>
  <c r="P246" i="9"/>
  <c r="O246" i="9"/>
  <c r="J246" i="9" s="1"/>
  <c r="I246" i="9"/>
  <c r="H246" i="9"/>
  <c r="G246" i="9"/>
  <c r="F246" i="9"/>
  <c r="D246" i="9"/>
  <c r="P294" i="9"/>
  <c r="O294" i="9" s="1"/>
  <c r="J294" i="9" s="1"/>
  <c r="I294" i="9"/>
  <c r="H294" i="9"/>
  <c r="G294" i="9"/>
  <c r="F294" i="9"/>
  <c r="D294" i="9"/>
  <c r="P297" i="9"/>
  <c r="O297" i="9" s="1"/>
  <c r="J297" i="9" s="1"/>
  <c r="I297" i="9"/>
  <c r="H297" i="9"/>
  <c r="G297" i="9"/>
  <c r="F297" i="9"/>
  <c r="D297" i="9"/>
  <c r="P64" i="9"/>
  <c r="O64" i="9" s="1"/>
  <c r="J64" i="9" s="1"/>
  <c r="I64" i="9"/>
  <c r="H64" i="9"/>
  <c r="G64" i="9"/>
  <c r="F64" i="9"/>
  <c r="D64" i="9"/>
  <c r="P16" i="9"/>
  <c r="O16" i="9"/>
  <c r="J16" i="9"/>
  <c r="I16" i="9"/>
  <c r="H16" i="9"/>
  <c r="G16" i="9"/>
  <c r="F16" i="9"/>
  <c r="D16" i="9"/>
  <c r="P210" i="9"/>
  <c r="O210" i="9" s="1"/>
  <c r="J210" i="9"/>
  <c r="I210" i="9"/>
  <c r="H210" i="9"/>
  <c r="G210" i="9"/>
  <c r="F210" i="9"/>
  <c r="D210" i="9"/>
  <c r="P259" i="9"/>
  <c r="O259" i="9" s="1"/>
  <c r="J259" i="9" s="1"/>
  <c r="I259" i="9"/>
  <c r="H259" i="9"/>
  <c r="G259" i="9"/>
  <c r="F259" i="9"/>
  <c r="D259" i="9"/>
  <c r="P32" i="9"/>
  <c r="O32" i="9" s="1"/>
  <c r="J32" i="9" s="1"/>
  <c r="I32" i="9"/>
  <c r="H32" i="9"/>
  <c r="G32" i="9"/>
  <c r="F32" i="9"/>
  <c r="D32" i="9"/>
  <c r="P160" i="9"/>
  <c r="O160" i="9" s="1"/>
  <c r="J160" i="9" s="1"/>
  <c r="I160" i="9"/>
  <c r="H160" i="9"/>
  <c r="G160" i="9"/>
  <c r="F160" i="9"/>
  <c r="D160" i="9"/>
  <c r="P187" i="9"/>
  <c r="O187" i="9"/>
  <c r="J187" i="9" s="1"/>
  <c r="I187" i="9"/>
  <c r="H187" i="9"/>
  <c r="G187" i="9"/>
  <c r="F187" i="9"/>
  <c r="D187" i="9"/>
  <c r="P184" i="9"/>
  <c r="O184" i="9"/>
  <c r="J184" i="9" s="1"/>
  <c r="I184" i="9"/>
  <c r="H184" i="9"/>
  <c r="G184" i="9"/>
  <c r="F184" i="9"/>
  <c r="D184" i="9"/>
  <c r="P186" i="9"/>
  <c r="O186" i="9" s="1"/>
  <c r="J186" i="9" s="1"/>
  <c r="I186" i="9"/>
  <c r="H186" i="9"/>
  <c r="G186" i="9"/>
  <c r="F186" i="9"/>
  <c r="D186" i="9"/>
  <c r="P183" i="9"/>
  <c r="O183" i="9" s="1"/>
  <c r="J183" i="9" s="1"/>
  <c r="I183" i="9"/>
  <c r="H183" i="9"/>
  <c r="G183" i="9"/>
  <c r="F183" i="9"/>
  <c r="D183" i="9"/>
  <c r="P185" i="9"/>
  <c r="O185" i="9"/>
  <c r="J185" i="9"/>
  <c r="I185" i="9"/>
  <c r="H185" i="9"/>
  <c r="G185" i="9"/>
  <c r="F185" i="9"/>
  <c r="D185" i="9"/>
  <c r="P42" i="9"/>
  <c r="O42" i="9" s="1"/>
  <c r="J42" i="9"/>
  <c r="I42" i="9"/>
  <c r="H42" i="9"/>
  <c r="G42" i="9"/>
  <c r="F42" i="9"/>
  <c r="D42" i="9"/>
  <c r="P327" i="9"/>
  <c r="O327" i="9" s="1"/>
  <c r="J327" i="9" s="1"/>
  <c r="I327" i="9"/>
  <c r="H327" i="9"/>
  <c r="G327" i="9"/>
  <c r="F327" i="9"/>
  <c r="D327" i="9"/>
  <c r="P180" i="9"/>
  <c r="O180" i="9"/>
  <c r="J180" i="9"/>
  <c r="I180" i="9"/>
  <c r="H180" i="9"/>
  <c r="G180" i="9"/>
  <c r="F180" i="9"/>
  <c r="D180" i="9"/>
  <c r="P321" i="9"/>
  <c r="O321" i="9" s="1"/>
  <c r="J321" i="9" s="1"/>
  <c r="I321" i="9"/>
  <c r="H321" i="9"/>
  <c r="G321" i="9"/>
  <c r="F321" i="9"/>
  <c r="D321" i="9"/>
  <c r="P245" i="9"/>
  <c r="O245" i="9"/>
  <c r="J245" i="9"/>
  <c r="I245" i="9"/>
  <c r="H245" i="9"/>
  <c r="G245" i="9"/>
  <c r="F245" i="9"/>
  <c r="D245" i="9"/>
  <c r="P153" i="9"/>
  <c r="O153" i="9"/>
  <c r="J153" i="9"/>
  <c r="I153" i="9"/>
  <c r="H153" i="9"/>
  <c r="G153" i="9"/>
  <c r="F153" i="9"/>
  <c r="D153" i="9"/>
  <c r="P132" i="9"/>
  <c r="O132" i="9" s="1"/>
  <c r="J132" i="9" s="1"/>
  <c r="I132" i="9"/>
  <c r="H132" i="9"/>
  <c r="G132" i="9"/>
  <c r="F132" i="9"/>
  <c r="D132" i="9"/>
  <c r="P268" i="9"/>
  <c r="O268" i="9"/>
  <c r="J268" i="9"/>
  <c r="I268" i="9"/>
  <c r="H268" i="9"/>
  <c r="G268" i="9"/>
  <c r="F268" i="9"/>
  <c r="D268" i="9"/>
  <c r="P105" i="9"/>
  <c r="O105" i="9" s="1"/>
  <c r="J105" i="9" s="1"/>
  <c r="I105" i="9"/>
  <c r="H105" i="9"/>
  <c r="G105" i="9"/>
  <c r="F105" i="9"/>
  <c r="D105" i="9"/>
  <c r="P372" i="9"/>
  <c r="O372" i="9" s="1"/>
  <c r="J372" i="9"/>
  <c r="I372" i="9"/>
  <c r="H372" i="9"/>
  <c r="G372" i="9"/>
  <c r="F372" i="9"/>
  <c r="D372" i="9"/>
  <c r="P352" i="9"/>
  <c r="O352" i="9"/>
  <c r="J352" i="9"/>
  <c r="I352" i="9"/>
  <c r="H352" i="9"/>
  <c r="G352" i="9"/>
  <c r="F352" i="9"/>
  <c r="D352" i="9"/>
  <c r="P127" i="9"/>
  <c r="O127" i="9"/>
  <c r="J127" i="9" s="1"/>
  <c r="I127" i="9"/>
  <c r="H127" i="9"/>
  <c r="G127" i="9"/>
  <c r="F127" i="9"/>
  <c r="D127" i="9"/>
  <c r="P13" i="9"/>
  <c r="O13" i="9" s="1"/>
  <c r="J13" i="9"/>
  <c r="I13" i="9"/>
  <c r="H13" i="9"/>
  <c r="G13" i="9"/>
  <c r="F13" i="9"/>
  <c r="D13" i="9"/>
  <c r="P110" i="9"/>
  <c r="O110" i="9" s="1"/>
  <c r="J110" i="9" s="1"/>
  <c r="I110" i="9"/>
  <c r="H110" i="9"/>
  <c r="G110" i="9"/>
  <c r="F110" i="9"/>
  <c r="D110" i="9"/>
  <c r="P278" i="9"/>
  <c r="O278" i="9" s="1"/>
  <c r="J278" i="9" s="1"/>
  <c r="I278" i="9"/>
  <c r="H278" i="9"/>
  <c r="G278" i="9"/>
  <c r="F278" i="9"/>
  <c r="D278" i="9"/>
  <c r="P330" i="9"/>
  <c r="O330" i="9" s="1"/>
  <c r="J330" i="9"/>
  <c r="I330" i="9"/>
  <c r="H330" i="9"/>
  <c r="G330" i="9"/>
  <c r="F330" i="9"/>
  <c r="D330" i="9"/>
  <c r="P328" i="9"/>
  <c r="O328" i="9"/>
  <c r="J328" i="9"/>
  <c r="I328" i="9"/>
  <c r="H328" i="9"/>
  <c r="G328" i="9"/>
  <c r="F328" i="9"/>
  <c r="D328" i="9"/>
  <c r="P348" i="9"/>
  <c r="O348" i="9" s="1"/>
  <c r="J348" i="9" s="1"/>
  <c r="I348" i="9"/>
  <c r="H348" i="9"/>
  <c r="G348" i="9"/>
  <c r="F348" i="9"/>
  <c r="D348" i="9"/>
  <c r="P354" i="9"/>
  <c r="O354" i="9" s="1"/>
  <c r="J354" i="9" s="1"/>
  <c r="I354" i="9"/>
  <c r="H354" i="9"/>
  <c r="G354" i="9"/>
  <c r="F354" i="9"/>
  <c r="D354" i="9"/>
  <c r="P76" i="9"/>
  <c r="O76" i="9"/>
  <c r="J76" i="9"/>
  <c r="I76" i="9"/>
  <c r="H76" i="9"/>
  <c r="G76" i="9"/>
  <c r="F76" i="9"/>
  <c r="D76" i="9"/>
  <c r="P272" i="9"/>
  <c r="O272" i="9"/>
  <c r="J272" i="9" s="1"/>
  <c r="I272" i="9"/>
  <c r="H272" i="9"/>
  <c r="G272" i="9"/>
  <c r="F272" i="9"/>
  <c r="D272" i="9"/>
  <c r="P53" i="9"/>
  <c r="O53" i="9" s="1"/>
  <c r="J53" i="9" s="1"/>
  <c r="I53" i="9"/>
  <c r="H53" i="9"/>
  <c r="G53" i="9"/>
  <c r="F53" i="9"/>
  <c r="D53" i="9"/>
  <c r="P152" i="9"/>
  <c r="O152" i="9"/>
  <c r="J152" i="9" s="1"/>
  <c r="I152" i="9"/>
  <c r="H152" i="9"/>
  <c r="G152" i="9"/>
  <c r="F152" i="9"/>
  <c r="D152" i="9"/>
  <c r="P298" i="9"/>
  <c r="O298" i="9"/>
  <c r="J298" i="9" s="1"/>
  <c r="I298" i="9"/>
  <c r="H298" i="9"/>
  <c r="G298" i="9"/>
  <c r="F298" i="9"/>
  <c r="D298" i="9"/>
  <c r="P359" i="9"/>
  <c r="O359" i="9" s="1"/>
  <c r="J359" i="9"/>
  <c r="I359" i="9"/>
  <c r="H359" i="9"/>
  <c r="G359" i="9"/>
  <c r="F359" i="9"/>
  <c r="D359" i="9"/>
  <c r="P191" i="9"/>
  <c r="O191" i="9" s="1"/>
  <c r="J191" i="9" s="1"/>
  <c r="I191" i="9"/>
  <c r="H191" i="9"/>
  <c r="G191" i="9"/>
  <c r="F191" i="9"/>
  <c r="D191" i="9"/>
  <c r="P143" i="9"/>
  <c r="O143" i="9"/>
  <c r="J143" i="9" s="1"/>
  <c r="I143" i="9"/>
  <c r="H143" i="9"/>
  <c r="G143" i="9"/>
  <c r="F143" i="9"/>
  <c r="D143" i="9"/>
  <c r="P142" i="9"/>
  <c r="O142" i="9" s="1"/>
  <c r="J142" i="9" s="1"/>
  <c r="I142" i="9"/>
  <c r="H142" i="9"/>
  <c r="G142" i="9"/>
  <c r="F142" i="9"/>
  <c r="D142" i="9"/>
  <c r="P317" i="9"/>
  <c r="O317" i="9" s="1"/>
  <c r="J317" i="9" s="1"/>
  <c r="I317" i="9"/>
  <c r="H317" i="9"/>
  <c r="G317" i="9"/>
  <c r="F317" i="9"/>
  <c r="D317" i="9"/>
  <c r="P171" i="9"/>
  <c r="O171" i="9"/>
  <c r="J171" i="9"/>
  <c r="I171" i="9"/>
  <c r="H171" i="9"/>
  <c r="G171" i="9"/>
  <c r="F171" i="9"/>
  <c r="D171" i="9"/>
  <c r="P366" i="9"/>
  <c r="O366" i="9" s="1"/>
  <c r="J366" i="9"/>
  <c r="I366" i="9"/>
  <c r="H366" i="9"/>
  <c r="G366" i="9"/>
  <c r="F366" i="9"/>
  <c r="D366" i="9"/>
  <c r="P202" i="9"/>
  <c r="O202" i="9"/>
  <c r="J202" i="9" s="1"/>
  <c r="I202" i="9"/>
  <c r="H202" i="9"/>
  <c r="G202" i="9"/>
  <c r="F202" i="9"/>
  <c r="D202" i="9"/>
  <c r="P119" i="9"/>
  <c r="O119" i="9" s="1"/>
  <c r="J119" i="9" s="1"/>
  <c r="I119" i="9"/>
  <c r="H119" i="9"/>
  <c r="G119" i="9"/>
  <c r="F119" i="9"/>
  <c r="D119" i="9"/>
  <c r="P324" i="9"/>
  <c r="O324" i="9"/>
  <c r="J324" i="9"/>
  <c r="I324" i="9"/>
  <c r="H324" i="9"/>
  <c r="G324" i="9"/>
  <c r="F324" i="9"/>
  <c r="D324" i="9"/>
  <c r="P190" i="9"/>
  <c r="O190" i="9"/>
  <c r="J190" i="9" s="1"/>
  <c r="I190" i="9"/>
  <c r="H190" i="9"/>
  <c r="G190" i="9"/>
  <c r="F190" i="9"/>
  <c r="D190" i="9"/>
  <c r="P254" i="9"/>
  <c r="O254" i="9" s="1"/>
  <c r="J254" i="9" s="1"/>
  <c r="I254" i="9"/>
  <c r="H254" i="9"/>
  <c r="G254" i="9"/>
  <c r="F254" i="9"/>
  <c r="D254" i="9"/>
  <c r="P337" i="9"/>
  <c r="O337" i="9" s="1"/>
  <c r="J337" i="9" s="1"/>
  <c r="I337" i="9"/>
  <c r="H337" i="9"/>
  <c r="G337" i="9"/>
  <c r="F337" i="9"/>
  <c r="D337" i="9"/>
  <c r="P283" i="9"/>
  <c r="O283" i="9" s="1"/>
  <c r="J283" i="9" s="1"/>
  <c r="I283" i="9"/>
  <c r="H283" i="9"/>
  <c r="G283" i="9"/>
  <c r="F283" i="9"/>
  <c r="D283" i="9"/>
  <c r="P157" i="9"/>
  <c r="O157" i="9"/>
  <c r="J157" i="9" s="1"/>
  <c r="I157" i="9"/>
  <c r="H157" i="9"/>
  <c r="G157" i="9"/>
  <c r="F157" i="9"/>
  <c r="D157" i="9"/>
  <c r="P239" i="9"/>
  <c r="O239" i="9" s="1"/>
  <c r="J239" i="9" s="1"/>
  <c r="I239" i="9"/>
  <c r="H239" i="9"/>
  <c r="G239" i="9"/>
  <c r="F239" i="9"/>
  <c r="D239" i="9"/>
  <c r="P57" i="9"/>
  <c r="O57" i="9"/>
  <c r="J57" i="9" s="1"/>
  <c r="I57" i="9"/>
  <c r="H57" i="9"/>
  <c r="G57" i="9"/>
  <c r="F57" i="9"/>
  <c r="D57" i="9"/>
  <c r="P232" i="9"/>
  <c r="O232" i="9"/>
  <c r="J232" i="9" s="1"/>
  <c r="I232" i="9"/>
  <c r="H232" i="9"/>
  <c r="G232" i="9"/>
  <c r="F232" i="9"/>
  <c r="D232" i="9"/>
  <c r="P322" i="9"/>
  <c r="O322" i="9" s="1"/>
  <c r="J322" i="9" s="1"/>
  <c r="I322" i="9"/>
  <c r="H322" i="9"/>
  <c r="G322" i="9"/>
  <c r="F322" i="9"/>
  <c r="D322" i="9"/>
  <c r="P74" i="9"/>
  <c r="O74" i="9" s="1"/>
  <c r="J74" i="9" s="1"/>
  <c r="I74" i="9"/>
  <c r="H74" i="9"/>
  <c r="G74" i="9"/>
  <c r="F74" i="9"/>
  <c r="D74" i="9"/>
  <c r="P362" i="9"/>
  <c r="O362" i="9" s="1"/>
  <c r="J362" i="9" s="1"/>
  <c r="I362" i="9"/>
  <c r="H362" i="9"/>
  <c r="G362" i="9"/>
  <c r="F362" i="9"/>
  <c r="D362" i="9"/>
  <c r="P94" i="9"/>
  <c r="O94" i="9" s="1"/>
  <c r="J94" i="9" s="1"/>
  <c r="I94" i="9"/>
  <c r="H94" i="9"/>
  <c r="G94" i="9"/>
  <c r="F94" i="9"/>
  <c r="D94" i="9"/>
  <c r="P347" i="9"/>
  <c r="O347" i="9" s="1"/>
  <c r="J347" i="9" s="1"/>
  <c r="I347" i="9"/>
  <c r="H347" i="9"/>
  <c r="G347" i="9"/>
  <c r="F347" i="9"/>
  <c r="D347" i="9"/>
  <c r="P342" i="9"/>
  <c r="O342" i="9"/>
  <c r="J342" i="9"/>
  <c r="I342" i="9"/>
  <c r="H342" i="9"/>
  <c r="G342" i="9"/>
  <c r="F342" i="9"/>
  <c r="D342" i="9"/>
  <c r="P220" i="9"/>
  <c r="O220" i="9" s="1"/>
  <c r="J220" i="9" s="1"/>
  <c r="I220" i="9"/>
  <c r="H220" i="9"/>
  <c r="G220" i="9"/>
  <c r="F220" i="9"/>
  <c r="D220" i="9"/>
  <c r="P219" i="9"/>
  <c r="O219" i="9"/>
  <c r="J219" i="9" s="1"/>
  <c r="I219" i="9"/>
  <c r="H219" i="9"/>
  <c r="G219" i="9"/>
  <c r="F219" i="9"/>
  <c r="D219" i="9"/>
  <c r="P144" i="9"/>
  <c r="O144" i="9"/>
  <c r="J144" i="9" s="1"/>
  <c r="I144" i="9"/>
  <c r="H144" i="9"/>
  <c r="G144" i="9"/>
  <c r="F144" i="9"/>
  <c r="D144" i="9"/>
  <c r="P52" i="9"/>
  <c r="O52" i="9" s="1"/>
  <c r="J52" i="9" s="1"/>
  <c r="I52" i="9"/>
  <c r="H52" i="9"/>
  <c r="G52" i="9"/>
  <c r="F52" i="9"/>
  <c r="D52" i="9"/>
  <c r="P320" i="9"/>
  <c r="O320" i="9"/>
  <c r="J320" i="9" s="1"/>
  <c r="I320" i="9"/>
  <c r="H320" i="9"/>
  <c r="G320" i="9"/>
  <c r="F320" i="9"/>
  <c r="D320" i="9"/>
  <c r="P182" i="9"/>
  <c r="O182" i="9" s="1"/>
  <c r="J182" i="9" s="1"/>
  <c r="I182" i="9"/>
  <c r="H182" i="9"/>
  <c r="G182" i="9"/>
  <c r="F182" i="9"/>
  <c r="D182" i="9"/>
  <c r="P139" i="9"/>
  <c r="O139" i="9" s="1"/>
  <c r="J139" i="9" s="1"/>
  <c r="I139" i="9"/>
  <c r="H139" i="9"/>
  <c r="G139" i="9"/>
  <c r="F139" i="9"/>
  <c r="D139" i="9"/>
  <c r="P141" i="9"/>
  <c r="O141" i="9" s="1"/>
  <c r="J141" i="9" s="1"/>
  <c r="I141" i="9"/>
  <c r="H141" i="9"/>
  <c r="G141" i="9"/>
  <c r="F141" i="9"/>
  <c r="D141" i="9"/>
  <c r="P140" i="9"/>
  <c r="O140" i="9"/>
  <c r="J140" i="9"/>
  <c r="I140" i="9"/>
  <c r="H140" i="9"/>
  <c r="G140" i="9"/>
  <c r="F140" i="9"/>
  <c r="D140" i="9"/>
  <c r="P138" i="9"/>
  <c r="O138" i="9" s="1"/>
  <c r="J138" i="9" s="1"/>
  <c r="I138" i="9"/>
  <c r="H138" i="9"/>
  <c r="G138" i="9"/>
  <c r="F138" i="9"/>
  <c r="D138" i="9"/>
  <c r="P137" i="9"/>
  <c r="O137" i="9"/>
  <c r="J137" i="9" s="1"/>
  <c r="I137" i="9"/>
  <c r="H137" i="9"/>
  <c r="G137" i="9"/>
  <c r="F137" i="9"/>
  <c r="D137" i="9"/>
  <c r="P136" i="9"/>
  <c r="O136" i="9"/>
  <c r="J136" i="9"/>
  <c r="I136" i="9"/>
  <c r="H136" i="9"/>
  <c r="G136" i="9"/>
  <c r="F136" i="9"/>
  <c r="D136" i="9"/>
  <c r="P255" i="9"/>
  <c r="O255" i="9" s="1"/>
  <c r="J255" i="9" s="1"/>
  <c r="I255" i="9"/>
  <c r="H255" i="9"/>
  <c r="G255" i="9"/>
  <c r="F255" i="9"/>
  <c r="D255" i="9"/>
  <c r="P334" i="9"/>
  <c r="O334" i="9"/>
  <c r="J334" i="9" s="1"/>
  <c r="I334" i="9"/>
  <c r="H334" i="9"/>
  <c r="G334" i="9"/>
  <c r="F334" i="9"/>
  <c r="D334" i="9"/>
  <c r="P282" i="9"/>
  <c r="O282" i="9"/>
  <c r="J282" i="9" s="1"/>
  <c r="I282" i="9"/>
  <c r="H282" i="9"/>
  <c r="G282" i="9"/>
  <c r="F282" i="9"/>
  <c r="D282" i="9"/>
  <c r="P251" i="9"/>
  <c r="O251" i="9" s="1"/>
  <c r="J251" i="9" s="1"/>
  <c r="I251" i="9"/>
  <c r="H251" i="9"/>
  <c r="G251" i="9"/>
  <c r="F251" i="9"/>
  <c r="D251" i="9"/>
  <c r="P155" i="9"/>
  <c r="O155" i="9"/>
  <c r="J155" i="9" s="1"/>
  <c r="I155" i="9"/>
  <c r="H155" i="9"/>
  <c r="G155" i="9"/>
  <c r="F155" i="9"/>
  <c r="D155" i="9"/>
  <c r="P279" i="9"/>
  <c r="O279" i="9"/>
  <c r="J279" i="9" s="1"/>
  <c r="I279" i="9"/>
  <c r="H279" i="9"/>
  <c r="G279" i="9"/>
  <c r="F279" i="9"/>
  <c r="D279" i="9"/>
  <c r="P178" i="9"/>
  <c r="O178" i="9" s="1"/>
  <c r="J178" i="9" s="1"/>
  <c r="I178" i="9"/>
  <c r="H178" i="9"/>
  <c r="G178" i="9"/>
  <c r="F178" i="9"/>
  <c r="D178" i="9"/>
  <c r="P249" i="9"/>
  <c r="O249" i="9" s="1"/>
  <c r="J249" i="9" s="1"/>
  <c r="I249" i="9"/>
  <c r="H249" i="9"/>
  <c r="G249" i="9"/>
  <c r="F249" i="9"/>
  <c r="D249" i="9"/>
  <c r="P34" i="9"/>
  <c r="O34" i="9"/>
  <c r="J34" i="9"/>
  <c r="I34" i="9"/>
  <c r="H34" i="9"/>
  <c r="G34" i="9"/>
  <c r="F34" i="9"/>
  <c r="D34" i="9"/>
  <c r="P170" i="9"/>
  <c r="O170" i="9" s="1"/>
  <c r="J170" i="9" s="1"/>
  <c r="I170" i="9"/>
  <c r="H170" i="9"/>
  <c r="G170" i="9"/>
  <c r="F170" i="9"/>
  <c r="D170" i="9"/>
  <c r="P77" i="9"/>
  <c r="O77" i="9"/>
  <c r="J77" i="9" s="1"/>
  <c r="I77" i="9"/>
  <c r="H77" i="9"/>
  <c r="G77" i="9"/>
  <c r="F77" i="9"/>
  <c r="D77" i="9"/>
  <c r="P45" i="9"/>
  <c r="O45" i="9"/>
  <c r="J45" i="9"/>
  <c r="I45" i="9"/>
  <c r="H45" i="9"/>
  <c r="G45" i="9"/>
  <c r="F45" i="9"/>
  <c r="D45" i="9"/>
  <c r="P371" i="9"/>
  <c r="O371" i="9" s="1"/>
  <c r="J371" i="9" s="1"/>
  <c r="I371" i="9"/>
  <c r="H371" i="9"/>
  <c r="G371" i="9"/>
  <c r="F371" i="9"/>
  <c r="D371" i="9"/>
  <c r="P82" i="9"/>
  <c r="O82" i="9"/>
  <c r="J82" i="9" s="1"/>
  <c r="I82" i="9"/>
  <c r="H82" i="9"/>
  <c r="G82" i="9"/>
  <c r="F82" i="9"/>
  <c r="D82" i="9"/>
  <c r="P159" i="9"/>
  <c r="O159" i="9" s="1"/>
  <c r="J159" i="9" s="1"/>
  <c r="I159" i="9"/>
  <c r="H159" i="9"/>
  <c r="G159" i="9"/>
  <c r="F159" i="9"/>
  <c r="D159" i="9"/>
  <c r="P158" i="9"/>
  <c r="O158" i="9" s="1"/>
  <c r="J158" i="9" s="1"/>
  <c r="I158" i="9"/>
  <c r="H158" i="9"/>
  <c r="G158" i="9"/>
  <c r="F158" i="9"/>
  <c r="D158" i="9"/>
  <c r="P122" i="9"/>
  <c r="O122" i="9" s="1"/>
  <c r="J122" i="9" s="1"/>
  <c r="I122" i="9"/>
  <c r="H122" i="9"/>
  <c r="G122" i="9"/>
  <c r="F122" i="9"/>
  <c r="D122" i="9"/>
  <c r="P121" i="9"/>
  <c r="O121" i="9"/>
  <c r="J121" i="9" s="1"/>
  <c r="I121" i="9"/>
  <c r="H121" i="9"/>
  <c r="G121" i="9"/>
  <c r="F121" i="9"/>
  <c r="D121" i="9"/>
  <c r="P108" i="9"/>
  <c r="O108" i="9" s="1"/>
  <c r="J108" i="9" s="1"/>
  <c r="I108" i="9"/>
  <c r="H108" i="9"/>
  <c r="G108" i="9"/>
  <c r="F108" i="9"/>
  <c r="D108" i="9"/>
  <c r="P59" i="9"/>
  <c r="O59" i="9"/>
  <c r="J59" i="9" s="1"/>
  <c r="I59" i="9"/>
  <c r="H59" i="9"/>
  <c r="G59" i="9"/>
  <c r="F59" i="9"/>
  <c r="D59" i="9"/>
  <c r="P353" i="9"/>
  <c r="O353" i="9"/>
  <c r="J353" i="9"/>
  <c r="I353" i="9"/>
  <c r="H353" i="9"/>
  <c r="G353" i="9"/>
  <c r="F353" i="9"/>
  <c r="D353" i="9"/>
  <c r="P201" i="9"/>
  <c r="O201" i="9" s="1"/>
  <c r="J201" i="9" s="1"/>
  <c r="I201" i="9"/>
  <c r="H201" i="9"/>
  <c r="G201" i="9"/>
  <c r="F201" i="9"/>
  <c r="D201" i="9"/>
  <c r="P124" i="9"/>
  <c r="O124" i="9"/>
  <c r="J124" i="9" s="1"/>
  <c r="I124" i="9"/>
  <c r="H124" i="9"/>
  <c r="G124" i="9"/>
  <c r="F124" i="9"/>
  <c r="D124" i="9"/>
  <c r="P104" i="9"/>
  <c r="O104" i="9" s="1"/>
  <c r="J104" i="9" s="1"/>
  <c r="I104" i="9"/>
  <c r="H104" i="9"/>
  <c r="G104" i="9"/>
  <c r="F104" i="9"/>
  <c r="D104" i="9"/>
  <c r="P222" i="9"/>
  <c r="O222" i="9" s="1"/>
  <c r="J222" i="9"/>
  <c r="I222" i="9"/>
  <c r="H222" i="9"/>
  <c r="G222" i="9"/>
  <c r="F222" i="9"/>
  <c r="D222" i="9"/>
  <c r="P346" i="9"/>
  <c r="O346" i="9"/>
  <c r="J346" i="9" s="1"/>
  <c r="I346" i="9"/>
  <c r="H346" i="9"/>
  <c r="G346" i="9"/>
  <c r="F346" i="9"/>
  <c r="D346" i="9"/>
  <c r="P237" i="9"/>
  <c r="O237" i="9" s="1"/>
  <c r="J237" i="9" s="1"/>
  <c r="I237" i="9"/>
  <c r="H237" i="9"/>
  <c r="G237" i="9"/>
  <c r="F237" i="9"/>
  <c r="D237" i="9"/>
  <c r="P148" i="9"/>
  <c r="O148" i="9" s="1"/>
  <c r="J148" i="9"/>
  <c r="I148" i="9"/>
  <c r="H148" i="9"/>
  <c r="G148" i="9"/>
  <c r="F148" i="9"/>
  <c r="D148" i="9"/>
  <c r="P343" i="9"/>
  <c r="O343" i="9" s="1"/>
  <c r="J343" i="9" s="1"/>
  <c r="I343" i="9"/>
  <c r="H343" i="9"/>
  <c r="G343" i="9"/>
  <c r="F343" i="9"/>
  <c r="D343" i="9"/>
  <c r="P150" i="9"/>
  <c r="O150" i="9"/>
  <c r="J150" i="9"/>
  <c r="I150" i="9"/>
  <c r="H150" i="9"/>
  <c r="G150" i="9"/>
  <c r="F150" i="9"/>
  <c r="D150" i="9"/>
  <c r="P242" i="9"/>
  <c r="O242" i="9" s="1"/>
  <c r="J242" i="9"/>
  <c r="I242" i="9"/>
  <c r="H242" i="9"/>
  <c r="G242" i="9"/>
  <c r="F242" i="9"/>
  <c r="D242" i="9"/>
  <c r="P93" i="9"/>
  <c r="O93" i="9"/>
  <c r="J93" i="9" s="1"/>
  <c r="I93" i="9"/>
  <c r="H93" i="9"/>
  <c r="G93" i="9"/>
  <c r="F93" i="9"/>
  <c r="D93" i="9"/>
  <c r="P241" i="9"/>
  <c r="O241" i="9"/>
  <c r="J241" i="9" s="1"/>
  <c r="I241" i="9"/>
  <c r="H241" i="9"/>
  <c r="G241" i="9"/>
  <c r="F241" i="9"/>
  <c r="D241" i="9"/>
  <c r="P218" i="9"/>
  <c r="O218" i="9" s="1"/>
  <c r="J218" i="9" s="1"/>
  <c r="I218" i="9"/>
  <c r="H218" i="9"/>
  <c r="G218" i="9"/>
  <c r="F218" i="9"/>
  <c r="D218" i="9"/>
  <c r="P224" i="9"/>
  <c r="O224" i="9"/>
  <c r="J224" i="9" s="1"/>
  <c r="I224" i="9"/>
  <c r="H224" i="9"/>
  <c r="G224" i="9"/>
  <c r="F224" i="9"/>
  <c r="D224" i="9"/>
  <c r="P299" i="9"/>
  <c r="O299" i="9" s="1"/>
  <c r="J299" i="9" s="1"/>
  <c r="I299" i="9"/>
  <c r="H299" i="9"/>
  <c r="G299" i="9"/>
  <c r="F299" i="9"/>
  <c r="D299" i="9"/>
  <c r="P277" i="9"/>
  <c r="O277" i="9" s="1"/>
  <c r="J277" i="9"/>
  <c r="I277" i="9"/>
  <c r="H277" i="9"/>
  <c r="G277" i="9"/>
  <c r="F277" i="9"/>
  <c r="D277" i="9"/>
  <c r="P199" i="9"/>
  <c r="O199" i="9" s="1"/>
  <c r="J199" i="9" s="1"/>
  <c r="I199" i="9"/>
  <c r="H199" i="9"/>
  <c r="G199" i="9"/>
  <c r="F199" i="9"/>
  <c r="D199" i="9"/>
  <c r="P370" i="9"/>
  <c r="O370" i="9"/>
  <c r="J370" i="9" s="1"/>
  <c r="I370" i="9"/>
  <c r="H370" i="9"/>
  <c r="G370" i="9"/>
  <c r="F370" i="9"/>
  <c r="D370" i="9"/>
  <c r="P338" i="9"/>
  <c r="O338" i="9" s="1"/>
  <c r="J338" i="9" s="1"/>
  <c r="I338" i="9"/>
  <c r="H338" i="9"/>
  <c r="G338" i="9"/>
  <c r="F338" i="9"/>
  <c r="D338" i="9"/>
  <c r="P263" i="9"/>
  <c r="O263" i="9" s="1"/>
  <c r="J263" i="9" s="1"/>
  <c r="I263" i="9"/>
  <c r="H263" i="9"/>
  <c r="G263" i="9"/>
  <c r="F263" i="9"/>
  <c r="D263" i="9"/>
  <c r="P130" i="9"/>
  <c r="O130" i="9"/>
  <c r="J130" i="9"/>
  <c r="I130" i="9"/>
  <c r="H130" i="9"/>
  <c r="G130" i="9"/>
  <c r="F130" i="9"/>
  <c r="D130" i="9"/>
  <c r="P189" i="9"/>
  <c r="O189" i="9" s="1"/>
  <c r="J189" i="9"/>
  <c r="I189" i="9"/>
  <c r="H189" i="9"/>
  <c r="G189" i="9"/>
  <c r="F189" i="9"/>
  <c r="D189" i="9"/>
  <c r="P275" i="9"/>
  <c r="O275" i="9"/>
  <c r="J275" i="9" s="1"/>
  <c r="I275" i="9"/>
  <c r="H275" i="9"/>
  <c r="G275" i="9"/>
  <c r="F275" i="9"/>
  <c r="D275" i="9"/>
  <c r="P134" i="9"/>
  <c r="O134" i="9" s="1"/>
  <c r="J134" i="9" s="1"/>
  <c r="I134" i="9"/>
  <c r="H134" i="9"/>
  <c r="G134" i="9"/>
  <c r="F134" i="9"/>
  <c r="D134" i="9"/>
  <c r="P228" i="9"/>
  <c r="O228" i="9" s="1"/>
  <c r="J228" i="9" s="1"/>
  <c r="I228" i="9"/>
  <c r="H228" i="9"/>
  <c r="G228" i="9"/>
  <c r="F228" i="9"/>
  <c r="D228" i="9"/>
  <c r="P129" i="9"/>
  <c r="O129" i="9"/>
  <c r="J129" i="9" s="1"/>
  <c r="I129" i="9"/>
  <c r="H129" i="9"/>
  <c r="G129" i="9"/>
  <c r="F129" i="9"/>
  <c r="D129" i="9"/>
  <c r="P60" i="9"/>
  <c r="O60" i="9" s="1"/>
  <c r="J60" i="9" s="1"/>
  <c r="I60" i="9"/>
  <c r="H60" i="9"/>
  <c r="G60" i="9"/>
  <c r="F60" i="9"/>
  <c r="D60" i="9"/>
  <c r="P125" i="9"/>
  <c r="O125" i="9" s="1"/>
  <c r="J125" i="9"/>
  <c r="I125" i="9"/>
  <c r="H125" i="9"/>
  <c r="G125" i="9"/>
  <c r="F125" i="9"/>
  <c r="D125" i="9"/>
  <c r="P179" i="9"/>
  <c r="O179" i="9"/>
  <c r="J179" i="9" s="1"/>
  <c r="I179" i="9"/>
  <c r="H179" i="9"/>
  <c r="G179" i="9"/>
  <c r="F179" i="9"/>
  <c r="D179" i="9"/>
  <c r="P10" i="9"/>
  <c r="O10" i="9" s="1"/>
  <c r="J10" i="9" s="1"/>
  <c r="I10" i="9"/>
  <c r="H10" i="9"/>
  <c r="G10" i="9"/>
  <c r="F10" i="9"/>
  <c r="D10" i="9"/>
  <c r="P293" i="9"/>
  <c r="O293" i="9" s="1"/>
  <c r="J293" i="9"/>
  <c r="I293" i="9"/>
  <c r="H293" i="9"/>
  <c r="G293" i="9"/>
  <c r="F293" i="9"/>
  <c r="D293" i="9"/>
  <c r="P206" i="9"/>
  <c r="O206" i="9"/>
  <c r="J206" i="9" s="1"/>
  <c r="I206" i="9"/>
  <c r="H206" i="9"/>
  <c r="G206" i="9"/>
  <c r="F206" i="9"/>
  <c r="D206" i="9"/>
  <c r="P79" i="9"/>
  <c r="O79" i="9"/>
  <c r="J79" i="9"/>
  <c r="I79" i="9"/>
  <c r="H79" i="9"/>
  <c r="G79" i="9"/>
  <c r="F79" i="9"/>
  <c r="D79" i="9"/>
  <c r="P223" i="9"/>
  <c r="O223" i="9" s="1"/>
  <c r="J223" i="9"/>
  <c r="I223" i="9"/>
  <c r="H223" i="9"/>
  <c r="G223" i="9"/>
  <c r="F223" i="9"/>
  <c r="D223" i="9"/>
  <c r="P296" i="9"/>
  <c r="O296" i="9" s="1"/>
  <c r="J296" i="9" s="1"/>
  <c r="I296" i="9"/>
  <c r="H296" i="9"/>
  <c r="G296" i="9"/>
  <c r="F296" i="9"/>
  <c r="D296" i="9"/>
  <c r="P221" i="9"/>
  <c r="O221" i="9"/>
  <c r="J221" i="9"/>
  <c r="I221" i="9"/>
  <c r="H221" i="9"/>
  <c r="G221" i="9"/>
  <c r="F221" i="9"/>
  <c r="D221" i="9"/>
  <c r="P230" i="9"/>
  <c r="O230" i="9" s="1"/>
  <c r="J230" i="9"/>
  <c r="I230" i="9"/>
  <c r="H230" i="9"/>
  <c r="G230" i="9"/>
  <c r="F230" i="9"/>
  <c r="D230" i="9"/>
  <c r="P56" i="9"/>
  <c r="O56" i="9" s="1"/>
  <c r="J56" i="9" s="1"/>
  <c r="I56" i="9"/>
  <c r="H56" i="9"/>
  <c r="G56" i="9"/>
  <c r="F56" i="9"/>
  <c r="D56" i="9"/>
  <c r="P341" i="9"/>
  <c r="O341" i="9"/>
  <c r="J341" i="9"/>
  <c r="I341" i="9"/>
  <c r="H341" i="9"/>
  <c r="G341" i="9"/>
  <c r="F341" i="9"/>
  <c r="D341" i="9"/>
  <c r="P147" i="9"/>
  <c r="O147" i="9" s="1"/>
  <c r="J147" i="9" s="1"/>
  <c r="I147" i="9"/>
  <c r="H147" i="9"/>
  <c r="G147" i="9"/>
  <c r="F147" i="9"/>
  <c r="D147" i="9"/>
  <c r="P256" i="9"/>
  <c r="O256" i="9"/>
  <c r="J256" i="9" s="1"/>
  <c r="I256" i="9"/>
  <c r="H256" i="9"/>
  <c r="G256" i="9"/>
  <c r="F256" i="9"/>
  <c r="D256" i="9"/>
  <c r="P18" i="9"/>
  <c r="O18" i="9"/>
  <c r="J18" i="9"/>
  <c r="I18" i="9"/>
  <c r="H18" i="9"/>
  <c r="G18" i="9"/>
  <c r="F18" i="9"/>
  <c r="D18" i="9"/>
  <c r="P198" i="9"/>
  <c r="O198" i="9" s="1"/>
  <c r="J198" i="9" s="1"/>
  <c r="I198" i="9"/>
  <c r="H198" i="9"/>
  <c r="G198" i="9"/>
  <c r="F198" i="9"/>
  <c r="D198" i="9"/>
  <c r="P55" i="9"/>
  <c r="O55" i="9"/>
  <c r="J55" i="9"/>
  <c r="I55" i="9"/>
  <c r="H55" i="9"/>
  <c r="G55" i="9"/>
  <c r="F55" i="9"/>
  <c r="D55" i="9"/>
  <c r="P243" i="9"/>
  <c r="O243" i="9" s="1"/>
  <c r="J243" i="9" s="1"/>
  <c r="I243" i="9"/>
  <c r="H243" i="9"/>
  <c r="G243" i="9"/>
  <c r="F243" i="9"/>
  <c r="D243" i="9"/>
  <c r="P128" i="9"/>
  <c r="O128" i="9" s="1"/>
  <c r="J128" i="9"/>
  <c r="I128" i="9"/>
  <c r="H128" i="9"/>
  <c r="G128" i="9"/>
  <c r="F128" i="9"/>
  <c r="D128" i="9"/>
  <c r="P295" i="9"/>
  <c r="O295" i="9"/>
  <c r="J295" i="9"/>
  <c r="I295" i="9"/>
  <c r="H295" i="9"/>
  <c r="G295" i="9"/>
  <c r="F295" i="9"/>
  <c r="D295" i="9"/>
  <c r="P319" i="9"/>
  <c r="O319" i="9" s="1"/>
  <c r="J319" i="9" s="1"/>
  <c r="I319" i="9"/>
  <c r="H319" i="9"/>
  <c r="G319" i="9"/>
  <c r="F319" i="9"/>
  <c r="D319" i="9"/>
  <c r="P145" i="9"/>
  <c r="O145" i="9" s="1"/>
  <c r="J145" i="9"/>
  <c r="I145" i="9"/>
  <c r="H145" i="9"/>
  <c r="G145" i="9"/>
  <c r="F145" i="9"/>
  <c r="D145" i="9"/>
  <c r="P335" i="9"/>
  <c r="O335" i="9"/>
  <c r="J335" i="9"/>
  <c r="I335" i="9"/>
  <c r="H335" i="9"/>
  <c r="G335" i="9"/>
  <c r="F335" i="9"/>
  <c r="D335" i="9"/>
  <c r="P333" i="9"/>
  <c r="O333" i="9"/>
  <c r="J333" i="9" s="1"/>
  <c r="I333" i="9"/>
  <c r="H333" i="9"/>
  <c r="G333" i="9"/>
  <c r="F333" i="9"/>
  <c r="D333" i="9"/>
  <c r="P332" i="9"/>
  <c r="O332" i="9" s="1"/>
  <c r="J332" i="9" s="1"/>
  <c r="I332" i="9"/>
  <c r="H332" i="9"/>
  <c r="G332" i="9"/>
  <c r="F332" i="9"/>
  <c r="D332" i="9"/>
  <c r="P258" i="9"/>
  <c r="O258" i="9" s="1"/>
  <c r="J258" i="9" s="1"/>
  <c r="I258" i="9"/>
  <c r="H258" i="9"/>
  <c r="G258" i="9"/>
  <c r="F258" i="9"/>
  <c r="D258" i="9"/>
  <c r="P267" i="9"/>
  <c r="O267" i="9" s="1"/>
  <c r="J267" i="9" s="1"/>
  <c r="I267" i="9"/>
  <c r="H267" i="9"/>
  <c r="G267" i="9"/>
  <c r="F267" i="9"/>
  <c r="D267" i="9"/>
  <c r="P350" i="9"/>
  <c r="O350" i="9" s="1"/>
  <c r="J350" i="9"/>
  <c r="I350" i="9"/>
  <c r="H350" i="9"/>
  <c r="G350" i="9"/>
  <c r="F350" i="9"/>
  <c r="D350" i="9"/>
  <c r="P207" i="9"/>
  <c r="O207" i="9"/>
  <c r="J207" i="9"/>
  <c r="I207" i="9"/>
  <c r="H207" i="9"/>
  <c r="G207" i="9"/>
  <c r="F207" i="9"/>
  <c r="D207" i="9"/>
  <c r="P68" i="9"/>
  <c r="O68" i="9"/>
  <c r="J68" i="9" s="1"/>
  <c r="I68" i="9"/>
  <c r="H68" i="9"/>
  <c r="G68" i="9"/>
  <c r="F68" i="9"/>
  <c r="D68" i="9"/>
  <c r="P289" i="9"/>
  <c r="O289" i="9" s="1"/>
  <c r="J289" i="9" s="1"/>
  <c r="I289" i="9"/>
  <c r="H289" i="9"/>
  <c r="G289" i="9"/>
  <c r="F289" i="9"/>
  <c r="D289" i="9"/>
  <c r="P323" i="9"/>
  <c r="O323" i="9"/>
  <c r="J323" i="9"/>
  <c r="I323" i="9"/>
  <c r="H323" i="9"/>
  <c r="G323" i="9"/>
  <c r="F323" i="9"/>
  <c r="D323" i="9"/>
  <c r="P193" i="9"/>
  <c r="O193" i="9"/>
  <c r="J193" i="9"/>
  <c r="I193" i="9"/>
  <c r="H193" i="9"/>
  <c r="G193" i="9"/>
  <c r="F193" i="9"/>
  <c r="D193" i="9"/>
  <c r="P336" i="9"/>
  <c r="O336" i="9" s="1"/>
  <c r="J336" i="9" s="1"/>
  <c r="I336" i="9"/>
  <c r="H336" i="9"/>
  <c r="G336" i="9"/>
  <c r="F336" i="9"/>
  <c r="D336" i="9"/>
  <c r="P118" i="9"/>
  <c r="O118" i="9"/>
  <c r="J118" i="9"/>
  <c r="I118" i="9"/>
  <c r="H118" i="9"/>
  <c r="G118" i="9"/>
  <c r="F118" i="9"/>
  <c r="D118" i="9"/>
  <c r="P84" i="9"/>
  <c r="O84" i="9" s="1"/>
  <c r="J84" i="9" s="1"/>
  <c r="I84" i="9"/>
  <c r="H84" i="9"/>
  <c r="G84" i="9"/>
  <c r="F84" i="9"/>
  <c r="D84" i="9"/>
  <c r="P92" i="9"/>
  <c r="O92" i="9" s="1"/>
  <c r="J92" i="9"/>
  <c r="I92" i="9"/>
  <c r="H92" i="9"/>
  <c r="G92" i="9"/>
  <c r="F92" i="9"/>
  <c r="D92" i="9"/>
  <c r="P307" i="9"/>
  <c r="O307" i="9" s="1"/>
  <c r="J307" i="9" s="1"/>
  <c r="I307" i="9"/>
  <c r="H307" i="9"/>
  <c r="G307" i="9"/>
  <c r="F307" i="9"/>
  <c r="D307" i="9"/>
  <c r="P70" i="9"/>
  <c r="O70" i="9"/>
  <c r="J70" i="9" s="1"/>
  <c r="I70" i="9"/>
  <c r="H70" i="9"/>
  <c r="G70" i="9"/>
  <c r="F70" i="9"/>
  <c r="D70" i="9"/>
  <c r="P71" i="9"/>
  <c r="O71" i="9" s="1"/>
  <c r="J71" i="9"/>
  <c r="I71" i="9"/>
  <c r="H71" i="9"/>
  <c r="G71" i="9"/>
  <c r="F71" i="9"/>
  <c r="D71" i="9"/>
  <c r="P72" i="9"/>
  <c r="O72" i="9" s="1"/>
  <c r="J72" i="9" s="1"/>
  <c r="I72" i="9"/>
  <c r="H72" i="9"/>
  <c r="G72" i="9"/>
  <c r="F72" i="9"/>
  <c r="D72" i="9"/>
  <c r="P75" i="9"/>
  <c r="O75" i="9"/>
  <c r="J75" i="9"/>
  <c r="I75" i="9"/>
  <c r="H75" i="9"/>
  <c r="G75" i="9"/>
  <c r="F75" i="9"/>
  <c r="D75" i="9"/>
  <c r="P97" i="9"/>
  <c r="O97" i="9" s="1"/>
  <c r="J97" i="9"/>
  <c r="I97" i="9"/>
  <c r="H97" i="9"/>
  <c r="G97" i="9"/>
  <c r="F97" i="9"/>
  <c r="D97" i="9"/>
  <c r="P331" i="9"/>
  <c r="O331" i="9"/>
  <c r="J331" i="9"/>
  <c r="I331" i="9"/>
  <c r="H331" i="9"/>
  <c r="G331" i="9"/>
  <c r="F331" i="9"/>
  <c r="D331" i="9"/>
  <c r="P69" i="9"/>
  <c r="O69" i="9"/>
  <c r="J69" i="9"/>
  <c r="I69" i="9"/>
  <c r="H69" i="9"/>
  <c r="G69" i="9"/>
  <c r="F69" i="9"/>
  <c r="D69" i="9"/>
  <c r="P78" i="9"/>
  <c r="O78" i="9" s="1"/>
  <c r="J78" i="9"/>
  <c r="I78" i="9"/>
  <c r="H78" i="9"/>
  <c r="G78" i="9"/>
  <c r="F78" i="9"/>
  <c r="D78" i="9"/>
  <c r="P264" i="9"/>
  <c r="O264" i="9" s="1"/>
  <c r="J264" i="9" s="1"/>
  <c r="I264" i="9"/>
  <c r="H264" i="9"/>
  <c r="G264" i="9"/>
  <c r="F264" i="9"/>
  <c r="D264" i="9"/>
  <c r="P36" i="9"/>
  <c r="O36" i="9"/>
  <c r="J36" i="9"/>
  <c r="I36" i="9"/>
  <c r="H36" i="9"/>
  <c r="G36" i="9"/>
  <c r="F36" i="9"/>
  <c r="D36" i="9"/>
  <c r="P35" i="9"/>
  <c r="O35" i="9" s="1"/>
  <c r="J35" i="9"/>
  <c r="I35" i="9"/>
  <c r="H35" i="9"/>
  <c r="G35" i="9"/>
  <c r="F35" i="9"/>
  <c r="D35" i="9"/>
  <c r="D25" i="7"/>
  <c r="P105" i="8"/>
  <c r="O105" i="8" s="1"/>
  <c r="J105" i="8" s="1"/>
  <c r="I105" i="8"/>
  <c r="H105" i="8"/>
  <c r="G105" i="8"/>
  <c r="F105" i="8"/>
  <c r="D105" i="8"/>
  <c r="P107" i="8"/>
  <c r="O107" i="8"/>
  <c r="J107" i="8"/>
  <c r="I107" i="8"/>
  <c r="H107" i="8"/>
  <c r="G107" i="8"/>
  <c r="F107" i="8"/>
  <c r="D107" i="8"/>
  <c r="P140" i="8"/>
  <c r="O140" i="8"/>
  <c r="J140" i="8"/>
  <c r="I140" i="8"/>
  <c r="H140" i="8"/>
  <c r="G140" i="8"/>
  <c r="F140" i="8"/>
  <c r="D140" i="8"/>
  <c r="P80" i="8"/>
  <c r="O80" i="8" s="1"/>
  <c r="J80" i="8" s="1"/>
  <c r="I80" i="8"/>
  <c r="H80" i="8"/>
  <c r="G80" i="8"/>
  <c r="F80" i="8"/>
  <c r="D80" i="8"/>
  <c r="P336" i="8"/>
  <c r="O336" i="8"/>
  <c r="J336" i="8"/>
  <c r="I336" i="8"/>
  <c r="H336" i="8"/>
  <c r="G336" i="8"/>
  <c r="F336" i="8"/>
  <c r="D336" i="8"/>
  <c r="P83" i="8"/>
  <c r="O83" i="8" s="1"/>
  <c r="J83" i="8" s="1"/>
  <c r="I83" i="8"/>
  <c r="H83" i="8"/>
  <c r="G83" i="8"/>
  <c r="F83" i="8"/>
  <c r="D83" i="8"/>
  <c r="P348" i="8"/>
  <c r="O348" i="8" s="1"/>
  <c r="J348" i="8" s="1"/>
  <c r="I348" i="8"/>
  <c r="H348" i="8"/>
  <c r="G348" i="8"/>
  <c r="F348" i="8"/>
  <c r="D348" i="8"/>
  <c r="P335" i="8"/>
  <c r="O335" i="8" s="1"/>
  <c r="J335" i="8" s="1"/>
  <c r="I335" i="8"/>
  <c r="H335" i="8"/>
  <c r="G335" i="8"/>
  <c r="F335" i="8"/>
  <c r="D335" i="8"/>
  <c r="P15" i="8"/>
  <c r="O15" i="8"/>
  <c r="J15" i="8" s="1"/>
  <c r="I15" i="8"/>
  <c r="H15" i="8"/>
  <c r="G15" i="8"/>
  <c r="F15" i="8"/>
  <c r="D15" i="8"/>
  <c r="P37" i="8"/>
  <c r="O37" i="8" s="1"/>
  <c r="J37" i="8"/>
  <c r="I37" i="8"/>
  <c r="H37" i="8"/>
  <c r="G37" i="8"/>
  <c r="F37" i="8"/>
  <c r="D37" i="8"/>
  <c r="P104" i="8"/>
  <c r="O104" i="8"/>
  <c r="J104" i="8" s="1"/>
  <c r="I104" i="8"/>
  <c r="H104" i="8"/>
  <c r="G104" i="8"/>
  <c r="F104" i="8"/>
  <c r="D104" i="8"/>
  <c r="P106" i="8"/>
  <c r="O106" i="8"/>
  <c r="J106" i="8"/>
  <c r="I106" i="8"/>
  <c r="H106" i="8"/>
  <c r="G106" i="8"/>
  <c r="F106" i="8"/>
  <c r="D106" i="8"/>
  <c r="P123" i="8"/>
  <c r="O123" i="8" s="1"/>
  <c r="J123" i="8"/>
  <c r="I123" i="8"/>
  <c r="H123" i="8"/>
  <c r="G123" i="8"/>
  <c r="F123" i="8"/>
  <c r="D123" i="8"/>
  <c r="P218" i="8"/>
  <c r="O218" i="8" s="1"/>
  <c r="J218" i="8" s="1"/>
  <c r="I218" i="8"/>
  <c r="H218" i="8"/>
  <c r="G218" i="8"/>
  <c r="F218" i="8"/>
  <c r="D218" i="8"/>
  <c r="P36" i="8"/>
  <c r="O36" i="8"/>
  <c r="J36" i="8"/>
  <c r="I36" i="8"/>
  <c r="H36" i="8"/>
  <c r="G36" i="8"/>
  <c r="F36" i="8"/>
  <c r="D36" i="8"/>
  <c r="P168" i="8"/>
  <c r="O168" i="8" s="1"/>
  <c r="J168" i="8" s="1"/>
  <c r="I168" i="8"/>
  <c r="H168" i="8"/>
  <c r="G168" i="8"/>
  <c r="F168" i="8"/>
  <c r="D168" i="8"/>
  <c r="P63" i="8"/>
  <c r="O63" i="8" s="1"/>
  <c r="J63" i="8" s="1"/>
  <c r="I63" i="8"/>
  <c r="H63" i="8"/>
  <c r="G63" i="8"/>
  <c r="F63" i="8"/>
  <c r="D63" i="8"/>
  <c r="P82" i="8"/>
  <c r="O82" i="8" s="1"/>
  <c r="J82" i="8" s="1"/>
  <c r="I82" i="8"/>
  <c r="H82" i="8"/>
  <c r="G82" i="8"/>
  <c r="F82" i="8"/>
  <c r="D82" i="8"/>
  <c r="P103" i="8"/>
  <c r="O103" i="8" s="1"/>
  <c r="J103" i="8"/>
  <c r="I103" i="8"/>
  <c r="H103" i="8"/>
  <c r="G103" i="8"/>
  <c r="F103" i="8"/>
  <c r="D103" i="8"/>
  <c r="P159" i="8"/>
  <c r="O159" i="8"/>
  <c r="J159" i="8" s="1"/>
  <c r="I159" i="8"/>
  <c r="H159" i="8"/>
  <c r="G159" i="8"/>
  <c r="F159" i="8"/>
  <c r="D159" i="8"/>
  <c r="P35" i="8"/>
  <c r="O35" i="8"/>
  <c r="J35" i="8" s="1"/>
  <c r="I35" i="8"/>
  <c r="H35" i="8"/>
  <c r="G35" i="8"/>
  <c r="F35" i="8"/>
  <c r="D35" i="8"/>
  <c r="P57" i="8"/>
  <c r="O57" i="8" s="1"/>
  <c r="J57" i="8"/>
  <c r="I57" i="8"/>
  <c r="H57" i="8"/>
  <c r="G57" i="8"/>
  <c r="F57" i="8"/>
  <c r="D57" i="8"/>
  <c r="P25" i="8"/>
  <c r="O25" i="8"/>
  <c r="J25" i="8"/>
  <c r="I25" i="8"/>
  <c r="H25" i="8"/>
  <c r="G25" i="8"/>
  <c r="F25" i="8"/>
  <c r="D25" i="8"/>
  <c r="P148" i="8"/>
  <c r="O148" i="8"/>
  <c r="J148" i="8"/>
  <c r="I148" i="8"/>
  <c r="H148" i="8"/>
  <c r="G148" i="8"/>
  <c r="F148" i="8"/>
  <c r="D148" i="8"/>
  <c r="P81" i="8"/>
  <c r="O81" i="8" s="1"/>
  <c r="J81" i="8"/>
  <c r="I81" i="8"/>
  <c r="H81" i="8"/>
  <c r="G81" i="8"/>
  <c r="F81" i="8"/>
  <c r="D81" i="8"/>
  <c r="P102" i="8"/>
  <c r="O102" i="8" s="1"/>
  <c r="J102" i="8" s="1"/>
  <c r="I102" i="8"/>
  <c r="H102" i="8"/>
  <c r="G102" i="8"/>
  <c r="F102" i="8"/>
  <c r="D102" i="8"/>
  <c r="P347" i="8"/>
  <c r="O347" i="8"/>
  <c r="J347" i="8"/>
  <c r="I347" i="8"/>
  <c r="H347" i="8"/>
  <c r="G347" i="8"/>
  <c r="F347" i="8"/>
  <c r="D347" i="8"/>
  <c r="P147" i="8"/>
  <c r="O147" i="8" s="1"/>
  <c r="J147" i="8" s="1"/>
  <c r="I147" i="8"/>
  <c r="H147" i="8"/>
  <c r="G147" i="8"/>
  <c r="F147" i="8"/>
  <c r="D147" i="8"/>
  <c r="P196" i="8"/>
  <c r="O196" i="8"/>
  <c r="J196" i="8" s="1"/>
  <c r="I196" i="8"/>
  <c r="H196" i="8"/>
  <c r="G196" i="8"/>
  <c r="F196" i="8"/>
  <c r="D196" i="8"/>
  <c r="P225" i="8"/>
  <c r="O225" i="8"/>
  <c r="J225" i="8"/>
  <c r="I225" i="8"/>
  <c r="H225" i="8"/>
  <c r="G225" i="8"/>
  <c r="F225" i="8"/>
  <c r="D225" i="8"/>
  <c r="P137" i="8"/>
  <c r="O137" i="8" s="1"/>
  <c r="J137" i="8" s="1"/>
  <c r="I137" i="8"/>
  <c r="H137" i="8"/>
  <c r="G137" i="8"/>
  <c r="F137" i="8"/>
  <c r="D137" i="8"/>
  <c r="P247" i="8"/>
  <c r="O247" i="8"/>
  <c r="J247" i="8"/>
  <c r="I247" i="8"/>
  <c r="H247" i="8"/>
  <c r="G247" i="8"/>
  <c r="F247" i="8"/>
  <c r="D247" i="8"/>
  <c r="P346" i="8"/>
  <c r="O346" i="8"/>
  <c r="J346" i="8"/>
  <c r="I346" i="8"/>
  <c r="H346" i="8"/>
  <c r="G346" i="8"/>
  <c r="F346" i="8"/>
  <c r="D346" i="8"/>
  <c r="P158" i="8"/>
  <c r="O158" i="8" s="1"/>
  <c r="J158" i="8" s="1"/>
  <c r="I158" i="8"/>
  <c r="H158" i="8"/>
  <c r="G158" i="8"/>
  <c r="F158" i="8"/>
  <c r="D158" i="8"/>
  <c r="P285" i="8"/>
  <c r="O285" i="8"/>
  <c r="J285" i="8"/>
  <c r="I285" i="8"/>
  <c r="H285" i="8"/>
  <c r="G285" i="8"/>
  <c r="F285" i="8"/>
  <c r="D285" i="8"/>
  <c r="P181" i="8"/>
  <c r="O181" i="8"/>
  <c r="J181" i="8"/>
  <c r="I181" i="8"/>
  <c r="H181" i="8"/>
  <c r="G181" i="8"/>
  <c r="F181" i="8"/>
  <c r="D181" i="8"/>
  <c r="P180" i="8"/>
  <c r="O180" i="8" s="1"/>
  <c r="J180" i="8" s="1"/>
  <c r="I180" i="8"/>
  <c r="H180" i="8"/>
  <c r="G180" i="8"/>
  <c r="F180" i="8"/>
  <c r="D180" i="8"/>
  <c r="P13" i="8"/>
  <c r="O13" i="8"/>
  <c r="J13" i="8"/>
  <c r="I13" i="8"/>
  <c r="H13" i="8"/>
  <c r="G13" i="8"/>
  <c r="F13" i="8"/>
  <c r="D13" i="8"/>
  <c r="P302" i="8"/>
  <c r="O302" i="8" s="1"/>
  <c r="J302" i="8" s="1"/>
  <c r="I302" i="8"/>
  <c r="H302" i="8"/>
  <c r="G302" i="8"/>
  <c r="F302" i="8"/>
  <c r="D302" i="8"/>
  <c r="P345" i="8"/>
  <c r="O345" i="8" s="1"/>
  <c r="J345" i="8"/>
  <c r="I345" i="8"/>
  <c r="H345" i="8"/>
  <c r="G345" i="8"/>
  <c r="F345" i="8"/>
  <c r="D345" i="8"/>
  <c r="P323" i="8"/>
  <c r="O323" i="8"/>
  <c r="J323" i="8"/>
  <c r="I323" i="8"/>
  <c r="H323" i="8"/>
  <c r="G323" i="8"/>
  <c r="F323" i="8"/>
  <c r="D323" i="8"/>
  <c r="P270" i="8"/>
  <c r="O270" i="8" s="1"/>
  <c r="J270" i="8" s="1"/>
  <c r="I270" i="8"/>
  <c r="H270" i="8"/>
  <c r="G270" i="8"/>
  <c r="F270" i="8"/>
  <c r="D270" i="8"/>
  <c r="P289" i="8"/>
  <c r="O289" i="8" s="1"/>
  <c r="J289" i="8"/>
  <c r="I289" i="8"/>
  <c r="H289" i="8"/>
  <c r="G289" i="8"/>
  <c r="F289" i="8"/>
  <c r="D289" i="8"/>
  <c r="P5" i="8"/>
  <c r="O5" i="8" s="1"/>
  <c r="J5" i="8" s="1"/>
  <c r="I5" i="8"/>
  <c r="H5" i="8"/>
  <c r="G5" i="8"/>
  <c r="F5" i="8"/>
  <c r="D5" i="8"/>
  <c r="P157" i="8"/>
  <c r="O157" i="8"/>
  <c r="J157" i="8" s="1"/>
  <c r="I157" i="8"/>
  <c r="H157" i="8"/>
  <c r="G157" i="8"/>
  <c r="F157" i="8"/>
  <c r="D157" i="8"/>
  <c r="P344" i="8"/>
  <c r="O344" i="8" s="1"/>
  <c r="J344" i="8"/>
  <c r="I344" i="8"/>
  <c r="H344" i="8"/>
  <c r="G344" i="8"/>
  <c r="F344" i="8"/>
  <c r="D344" i="8"/>
  <c r="P134" i="8"/>
  <c r="O134" i="8"/>
  <c r="J134" i="8" s="1"/>
  <c r="I134" i="8"/>
  <c r="H134" i="8"/>
  <c r="G134" i="8"/>
  <c r="F134" i="8"/>
  <c r="D134" i="8"/>
  <c r="P125" i="8"/>
  <c r="O125" i="8"/>
  <c r="J125" i="8"/>
  <c r="I125" i="8"/>
  <c r="H125" i="8"/>
  <c r="G125" i="8"/>
  <c r="F125" i="8"/>
  <c r="D125" i="8"/>
  <c r="P29" i="8"/>
  <c r="O29" i="8" s="1"/>
  <c r="J29" i="8"/>
  <c r="I29" i="8"/>
  <c r="H29" i="8"/>
  <c r="G29" i="8"/>
  <c r="F29" i="8"/>
  <c r="D29" i="8"/>
  <c r="P213" i="8"/>
  <c r="O213" i="8" s="1"/>
  <c r="J213" i="8" s="1"/>
  <c r="I213" i="8"/>
  <c r="H213" i="8"/>
  <c r="G213" i="8"/>
  <c r="F213" i="8"/>
  <c r="D213" i="8"/>
  <c r="P3" i="8"/>
  <c r="O3" i="8"/>
  <c r="J3" i="8"/>
  <c r="I3" i="8"/>
  <c r="H3" i="8"/>
  <c r="G3" i="8"/>
  <c r="F3" i="8"/>
  <c r="D3" i="8"/>
  <c r="P185" i="8"/>
  <c r="O185" i="8" s="1"/>
  <c r="J185" i="8" s="1"/>
  <c r="I185" i="8"/>
  <c r="H185" i="8"/>
  <c r="G185" i="8"/>
  <c r="F185" i="8"/>
  <c r="D185" i="8"/>
  <c r="P93" i="8"/>
  <c r="O93" i="8" s="1"/>
  <c r="J93" i="8" s="1"/>
  <c r="I93" i="8"/>
  <c r="H93" i="8"/>
  <c r="G93" i="8"/>
  <c r="F93" i="8"/>
  <c r="D93" i="8"/>
  <c r="P343" i="8"/>
  <c r="O343" i="8"/>
  <c r="J343" i="8"/>
  <c r="I343" i="8"/>
  <c r="H343" i="8"/>
  <c r="G343" i="8"/>
  <c r="F343" i="8"/>
  <c r="D343" i="8"/>
  <c r="P87" i="8"/>
  <c r="O87" i="8" s="1"/>
  <c r="J87" i="8"/>
  <c r="I87" i="8"/>
  <c r="H87" i="8"/>
  <c r="G87" i="8"/>
  <c r="F87" i="8"/>
  <c r="D87" i="8"/>
  <c r="P338" i="8"/>
  <c r="O338" i="8"/>
  <c r="J338" i="8" s="1"/>
  <c r="I338" i="8"/>
  <c r="H338" i="8"/>
  <c r="G338" i="8"/>
  <c r="F338" i="8"/>
  <c r="D338" i="8"/>
  <c r="P118" i="8"/>
  <c r="O118" i="8"/>
  <c r="J118" i="8" s="1"/>
  <c r="I118" i="8"/>
  <c r="H118" i="8"/>
  <c r="G118" i="8"/>
  <c r="F118" i="8"/>
  <c r="D118" i="8"/>
  <c r="P252" i="8"/>
  <c r="O252" i="8" s="1"/>
  <c r="J252" i="8"/>
  <c r="I252" i="8"/>
  <c r="H252" i="8"/>
  <c r="G252" i="8"/>
  <c r="F252" i="8"/>
  <c r="D252" i="8"/>
  <c r="P161" i="8"/>
  <c r="O161" i="8"/>
  <c r="J161" i="8"/>
  <c r="I161" i="8"/>
  <c r="H161" i="8"/>
  <c r="G161" i="8"/>
  <c r="F161" i="8"/>
  <c r="D161" i="8"/>
  <c r="P342" i="8"/>
  <c r="O342" i="8"/>
  <c r="J342" i="8"/>
  <c r="I342" i="8"/>
  <c r="H342" i="8"/>
  <c r="G342" i="8"/>
  <c r="F342" i="8"/>
  <c r="D342" i="8"/>
  <c r="P341" i="8"/>
  <c r="O341" i="8" s="1"/>
  <c r="J341" i="8"/>
  <c r="I341" i="8"/>
  <c r="H341" i="8"/>
  <c r="G341" i="8"/>
  <c r="F341" i="8"/>
  <c r="D341" i="8"/>
  <c r="P337" i="8"/>
  <c r="O337" i="8"/>
  <c r="J337" i="8"/>
  <c r="I337" i="8"/>
  <c r="H337" i="8"/>
  <c r="G337" i="8"/>
  <c r="F337" i="8"/>
  <c r="D337" i="8"/>
  <c r="P254" i="8"/>
  <c r="O254" i="8"/>
  <c r="J254" i="8"/>
  <c r="I254" i="8"/>
  <c r="H254" i="8"/>
  <c r="G254" i="8"/>
  <c r="F254" i="8"/>
  <c r="D254" i="8"/>
  <c r="P34" i="8"/>
  <c r="O34" i="8" s="1"/>
  <c r="J34" i="8" s="1"/>
  <c r="I34" i="8"/>
  <c r="H34" i="8"/>
  <c r="G34" i="8"/>
  <c r="F34" i="8"/>
  <c r="D34" i="8"/>
  <c r="P79" i="8"/>
  <c r="O79" i="8"/>
  <c r="J79" i="8" s="1"/>
  <c r="I79" i="8"/>
  <c r="H79" i="8"/>
  <c r="G79" i="8"/>
  <c r="F79" i="8"/>
  <c r="D79" i="8"/>
  <c r="P162" i="8"/>
  <c r="O162" i="8"/>
  <c r="J162" i="8"/>
  <c r="I162" i="8"/>
  <c r="H162" i="8"/>
  <c r="G162" i="8"/>
  <c r="F162" i="8"/>
  <c r="D162" i="8"/>
  <c r="P170" i="8"/>
  <c r="O170" i="8" s="1"/>
  <c r="J170" i="8" s="1"/>
  <c r="I170" i="8"/>
  <c r="H170" i="8"/>
  <c r="G170" i="8"/>
  <c r="F170" i="8"/>
  <c r="D170" i="8"/>
  <c r="P322" i="8"/>
  <c r="O322" i="8"/>
  <c r="J322" i="8"/>
  <c r="I322" i="8"/>
  <c r="H322" i="8"/>
  <c r="G322" i="8"/>
  <c r="F322" i="8"/>
  <c r="D322" i="8"/>
  <c r="P179" i="8"/>
  <c r="O179" i="8"/>
  <c r="J179" i="8"/>
  <c r="I179" i="8"/>
  <c r="H179" i="8"/>
  <c r="G179" i="8"/>
  <c r="F179" i="8"/>
  <c r="D179" i="8"/>
  <c r="P129" i="8"/>
  <c r="O129" i="8" s="1"/>
  <c r="J129" i="8" s="1"/>
  <c r="I129" i="8"/>
  <c r="H129" i="8"/>
  <c r="G129" i="8"/>
  <c r="F129" i="8"/>
  <c r="D129" i="8"/>
  <c r="P283" i="8"/>
  <c r="O283" i="8"/>
  <c r="J283" i="8"/>
  <c r="I283" i="8"/>
  <c r="H283" i="8"/>
  <c r="G283" i="8"/>
  <c r="F283" i="8"/>
  <c r="D283" i="8"/>
  <c r="P282" i="8"/>
  <c r="O282" i="8"/>
  <c r="J282" i="8"/>
  <c r="I282" i="8"/>
  <c r="H282" i="8"/>
  <c r="G282" i="8"/>
  <c r="F282" i="8"/>
  <c r="D282" i="8"/>
  <c r="P272" i="8"/>
  <c r="O272" i="8" s="1"/>
  <c r="J272" i="8" s="1"/>
  <c r="I272" i="8"/>
  <c r="H272" i="8"/>
  <c r="G272" i="8"/>
  <c r="F272" i="8"/>
  <c r="D272" i="8"/>
  <c r="P280" i="8"/>
  <c r="O280" i="8"/>
  <c r="J280" i="8"/>
  <c r="I280" i="8"/>
  <c r="H280" i="8"/>
  <c r="G280" i="8"/>
  <c r="F280" i="8"/>
  <c r="D280" i="8"/>
  <c r="P279" i="8"/>
  <c r="O279" i="8" s="1"/>
  <c r="J279" i="8" s="1"/>
  <c r="I279" i="8"/>
  <c r="H279" i="8"/>
  <c r="G279" i="8"/>
  <c r="F279" i="8"/>
  <c r="D279" i="8"/>
  <c r="P281" i="8"/>
  <c r="O281" i="8" s="1"/>
  <c r="J281" i="8"/>
  <c r="I281" i="8"/>
  <c r="H281" i="8"/>
  <c r="G281" i="8"/>
  <c r="F281" i="8"/>
  <c r="D281" i="8"/>
  <c r="P33" i="8"/>
  <c r="O33" i="8"/>
  <c r="J33" i="8"/>
  <c r="I33" i="8"/>
  <c r="H33" i="8"/>
  <c r="G33" i="8"/>
  <c r="F33" i="8"/>
  <c r="D33" i="8"/>
  <c r="P357" i="8"/>
  <c r="O357" i="8" s="1"/>
  <c r="J357" i="8" s="1"/>
  <c r="I357" i="8"/>
  <c r="H357" i="8"/>
  <c r="G357" i="8"/>
  <c r="F357" i="8"/>
  <c r="D357" i="8"/>
  <c r="P248" i="8"/>
  <c r="O248" i="8" s="1"/>
  <c r="J248" i="8"/>
  <c r="I248" i="8"/>
  <c r="H248" i="8"/>
  <c r="G248" i="8"/>
  <c r="F248" i="8"/>
  <c r="D248" i="8"/>
  <c r="P60" i="8"/>
  <c r="O60" i="8"/>
  <c r="J60" i="8"/>
  <c r="I60" i="8"/>
  <c r="H60" i="8"/>
  <c r="G60" i="8"/>
  <c r="F60" i="8"/>
  <c r="D60" i="8"/>
  <c r="P49" i="8"/>
  <c r="O49" i="8"/>
  <c r="J49" i="8" s="1"/>
  <c r="I49" i="8"/>
  <c r="H49" i="8"/>
  <c r="G49" i="8"/>
  <c r="F49" i="8"/>
  <c r="D49" i="8"/>
  <c r="P50" i="8"/>
  <c r="O50" i="8" s="1"/>
  <c r="J50" i="8"/>
  <c r="I50" i="8"/>
  <c r="H50" i="8"/>
  <c r="G50" i="8"/>
  <c r="F50" i="8"/>
  <c r="D50" i="8"/>
  <c r="P23" i="8"/>
  <c r="O23" i="8"/>
  <c r="J23" i="8" s="1"/>
  <c r="I23" i="8"/>
  <c r="H23" i="8"/>
  <c r="G23" i="8"/>
  <c r="F23" i="8"/>
  <c r="D23" i="8"/>
  <c r="P22" i="8"/>
  <c r="O22" i="8"/>
  <c r="J22" i="8"/>
  <c r="I22" i="8"/>
  <c r="H22" i="8"/>
  <c r="G22" i="8"/>
  <c r="F22" i="8"/>
  <c r="D22" i="8"/>
  <c r="P365" i="8"/>
  <c r="O365" i="8" s="1"/>
  <c r="J365" i="8"/>
  <c r="I365" i="8"/>
  <c r="H365" i="8"/>
  <c r="G365" i="8"/>
  <c r="F365" i="8"/>
  <c r="D365" i="8"/>
  <c r="P136" i="8"/>
  <c r="O136" i="8" s="1"/>
  <c r="J136" i="8" s="1"/>
  <c r="I136" i="8"/>
  <c r="H136" i="8"/>
  <c r="G136" i="8"/>
  <c r="F136" i="8"/>
  <c r="D136" i="8"/>
  <c r="P240" i="8"/>
  <c r="O240" i="8"/>
  <c r="J240" i="8"/>
  <c r="I240" i="8"/>
  <c r="H240" i="8"/>
  <c r="G240" i="8"/>
  <c r="F240" i="8"/>
  <c r="D240" i="8"/>
  <c r="P255" i="8"/>
  <c r="O255" i="8" s="1"/>
  <c r="J255" i="8" s="1"/>
  <c r="I255" i="8"/>
  <c r="H255" i="8"/>
  <c r="G255" i="8"/>
  <c r="F255" i="8"/>
  <c r="D255" i="8"/>
  <c r="P256" i="8"/>
  <c r="O256" i="8" s="1"/>
  <c r="J256" i="8" s="1"/>
  <c r="I256" i="8"/>
  <c r="H256" i="8"/>
  <c r="G256" i="8"/>
  <c r="F256" i="8"/>
  <c r="D256" i="8"/>
  <c r="P266" i="8"/>
  <c r="O266" i="8"/>
  <c r="J266" i="8"/>
  <c r="I266" i="8"/>
  <c r="H266" i="8"/>
  <c r="G266" i="8"/>
  <c r="F266" i="8"/>
  <c r="D266" i="8"/>
  <c r="P54" i="8"/>
  <c r="O54" i="8" s="1"/>
  <c r="J54" i="8"/>
  <c r="I54" i="8"/>
  <c r="H54" i="8"/>
  <c r="G54" i="8"/>
  <c r="F54" i="8"/>
  <c r="D54" i="8"/>
  <c r="P294" i="8"/>
  <c r="O294" i="8"/>
  <c r="J294" i="8" s="1"/>
  <c r="I294" i="8"/>
  <c r="H294" i="8"/>
  <c r="G294" i="8"/>
  <c r="F294" i="8"/>
  <c r="D294" i="8"/>
  <c r="P203" i="8"/>
  <c r="O203" i="8"/>
  <c r="J203" i="8" s="1"/>
  <c r="I203" i="8"/>
  <c r="H203" i="8"/>
  <c r="G203" i="8"/>
  <c r="F203" i="8"/>
  <c r="D203" i="8"/>
  <c r="P286" i="8"/>
  <c r="O286" i="8" s="1"/>
  <c r="J286" i="8"/>
  <c r="I286" i="8"/>
  <c r="H286" i="8"/>
  <c r="G286" i="8"/>
  <c r="F286" i="8"/>
  <c r="D286" i="8"/>
  <c r="P28" i="8"/>
  <c r="O28" i="8"/>
  <c r="J28" i="8"/>
  <c r="I28" i="8"/>
  <c r="H28" i="8"/>
  <c r="G28" i="8"/>
  <c r="F28" i="8"/>
  <c r="D28" i="8"/>
  <c r="P300" i="8"/>
  <c r="O300" i="8"/>
  <c r="J300" i="8"/>
  <c r="I300" i="8"/>
  <c r="H300" i="8"/>
  <c r="G300" i="8"/>
  <c r="F300" i="8"/>
  <c r="D300" i="8"/>
  <c r="P306" i="8"/>
  <c r="O306" i="8" s="1"/>
  <c r="J306" i="8"/>
  <c r="I306" i="8"/>
  <c r="H306" i="8"/>
  <c r="G306" i="8"/>
  <c r="F306" i="8"/>
  <c r="D306" i="8"/>
  <c r="P115" i="8"/>
  <c r="O115" i="8"/>
  <c r="J115" i="8"/>
  <c r="I115" i="8"/>
  <c r="H115" i="8"/>
  <c r="G115" i="8"/>
  <c r="F115" i="8"/>
  <c r="D115" i="8"/>
  <c r="P122" i="8"/>
  <c r="O122" i="8"/>
  <c r="J122" i="8"/>
  <c r="I122" i="8"/>
  <c r="H122" i="8"/>
  <c r="G122" i="8"/>
  <c r="F122" i="8"/>
  <c r="D122" i="8"/>
  <c r="P330" i="8"/>
  <c r="O330" i="8" s="1"/>
  <c r="J330" i="8" s="1"/>
  <c r="I330" i="8"/>
  <c r="H330" i="8"/>
  <c r="G330" i="8"/>
  <c r="F330" i="8"/>
  <c r="D330" i="8"/>
  <c r="P223" i="8"/>
  <c r="O223" i="8"/>
  <c r="J223" i="8" s="1"/>
  <c r="I223" i="8"/>
  <c r="H223" i="8"/>
  <c r="G223" i="8"/>
  <c r="F223" i="8"/>
  <c r="D223" i="8"/>
  <c r="P2" i="8"/>
  <c r="O2" i="8"/>
  <c r="J2" i="8"/>
  <c r="I2" i="8"/>
  <c r="H2" i="8"/>
  <c r="G2" i="8"/>
  <c r="F2" i="8"/>
  <c r="D2" i="8"/>
  <c r="P128" i="8"/>
  <c r="O128" i="8" s="1"/>
  <c r="J128" i="8" s="1"/>
  <c r="I128" i="8"/>
  <c r="H128" i="8"/>
  <c r="G128" i="8"/>
  <c r="F128" i="8"/>
  <c r="D128" i="8"/>
  <c r="P178" i="8"/>
  <c r="O178" i="8"/>
  <c r="J178" i="8"/>
  <c r="I178" i="8"/>
  <c r="H178" i="8"/>
  <c r="G178" i="8"/>
  <c r="F178" i="8"/>
  <c r="D178" i="8"/>
  <c r="P366" i="8"/>
  <c r="O366" i="8"/>
  <c r="J366" i="8"/>
  <c r="I366" i="8"/>
  <c r="H366" i="8"/>
  <c r="G366" i="8"/>
  <c r="F366" i="8"/>
  <c r="D366" i="8"/>
  <c r="P68" i="8"/>
  <c r="O68" i="8" s="1"/>
  <c r="J68" i="8"/>
  <c r="I68" i="8"/>
  <c r="H68" i="8"/>
  <c r="G68" i="8"/>
  <c r="F68" i="8"/>
  <c r="D68" i="8"/>
  <c r="P195" i="8"/>
  <c r="O195" i="8"/>
  <c r="J195" i="8"/>
  <c r="I195" i="8"/>
  <c r="H195" i="8"/>
  <c r="G195" i="8"/>
  <c r="F195" i="8"/>
  <c r="D195" i="8"/>
  <c r="P188" i="8"/>
  <c r="O188" i="8"/>
  <c r="J188" i="8"/>
  <c r="I188" i="8"/>
  <c r="H188" i="8"/>
  <c r="G188" i="8"/>
  <c r="F188" i="8"/>
  <c r="D188" i="8"/>
  <c r="P275" i="8"/>
  <c r="O275" i="8" s="1"/>
  <c r="J275" i="8" s="1"/>
  <c r="I275" i="8"/>
  <c r="H275" i="8"/>
  <c r="G275" i="8"/>
  <c r="F275" i="8"/>
  <c r="D275" i="8"/>
  <c r="P276" i="8"/>
  <c r="O276" i="8"/>
  <c r="J276" i="8"/>
  <c r="I276" i="8"/>
  <c r="H276" i="8"/>
  <c r="G276" i="8"/>
  <c r="F276" i="8"/>
  <c r="D276" i="8"/>
  <c r="P151" i="8"/>
  <c r="O151" i="8" s="1"/>
  <c r="J151" i="8" s="1"/>
  <c r="I151" i="8"/>
  <c r="H151" i="8"/>
  <c r="G151" i="8"/>
  <c r="F151" i="8"/>
  <c r="D151" i="8"/>
  <c r="P138" i="8"/>
  <c r="O138" i="8" s="1"/>
  <c r="J138" i="8"/>
  <c r="I138" i="8"/>
  <c r="H138" i="8"/>
  <c r="G138" i="8"/>
  <c r="F138" i="8"/>
  <c r="D138" i="8"/>
  <c r="P27" i="8"/>
  <c r="O27" i="8"/>
  <c r="J27" i="8"/>
  <c r="I27" i="8"/>
  <c r="H27" i="8"/>
  <c r="G27" i="8"/>
  <c r="F27" i="8"/>
  <c r="D27" i="8"/>
  <c r="P352" i="8"/>
  <c r="O352" i="8" s="1"/>
  <c r="J352" i="8" s="1"/>
  <c r="I352" i="8"/>
  <c r="H352" i="8"/>
  <c r="G352" i="8"/>
  <c r="F352" i="8"/>
  <c r="D352" i="8"/>
  <c r="P21" i="8"/>
  <c r="O21" i="8" s="1"/>
  <c r="J21" i="8"/>
  <c r="I21" i="8"/>
  <c r="H21" i="8"/>
  <c r="G21" i="8"/>
  <c r="F21" i="8"/>
  <c r="D21" i="8"/>
  <c r="P69" i="8"/>
  <c r="O69" i="8"/>
  <c r="J69" i="8"/>
  <c r="I69" i="8"/>
  <c r="H69" i="8"/>
  <c r="G69" i="8"/>
  <c r="F69" i="8"/>
  <c r="D69" i="8"/>
  <c r="P312" i="8"/>
  <c r="O312" i="8"/>
  <c r="J312" i="8" s="1"/>
  <c r="I312" i="8"/>
  <c r="H312" i="8"/>
  <c r="G312" i="8"/>
  <c r="F312" i="8"/>
  <c r="D312" i="8"/>
  <c r="P169" i="8"/>
  <c r="O169" i="8" s="1"/>
  <c r="J169" i="8"/>
  <c r="I169" i="8"/>
  <c r="H169" i="8"/>
  <c r="G169" i="8"/>
  <c r="F169" i="8"/>
  <c r="D169" i="8"/>
  <c r="P121" i="8"/>
  <c r="O121" i="8"/>
  <c r="J121" i="8" s="1"/>
  <c r="I121" i="8"/>
  <c r="H121" i="8"/>
  <c r="G121" i="8"/>
  <c r="F121" i="8"/>
  <c r="D121" i="8"/>
  <c r="P70" i="8"/>
  <c r="O70" i="8"/>
  <c r="J70" i="8"/>
  <c r="I70" i="8"/>
  <c r="H70" i="8"/>
  <c r="G70" i="8"/>
  <c r="F70" i="8"/>
  <c r="D70" i="8"/>
  <c r="P47" i="8"/>
  <c r="O47" i="8" s="1"/>
  <c r="J47" i="8"/>
  <c r="I47" i="8"/>
  <c r="H47" i="8"/>
  <c r="G47" i="8"/>
  <c r="F47" i="8"/>
  <c r="D47" i="8"/>
  <c r="P265" i="8"/>
  <c r="O265" i="8" s="1"/>
  <c r="J265" i="8" s="1"/>
  <c r="I265" i="8"/>
  <c r="H265" i="8"/>
  <c r="G265" i="8"/>
  <c r="F265" i="8"/>
  <c r="D265" i="8"/>
  <c r="P114" i="8"/>
  <c r="O114" i="8"/>
  <c r="J114" i="8"/>
  <c r="I114" i="8"/>
  <c r="H114" i="8"/>
  <c r="G114" i="8"/>
  <c r="F114" i="8"/>
  <c r="D114" i="8"/>
  <c r="P193" i="8"/>
  <c r="O193" i="8" s="1"/>
  <c r="J193" i="8" s="1"/>
  <c r="I193" i="8"/>
  <c r="H193" i="8"/>
  <c r="G193" i="8"/>
  <c r="F193" i="8"/>
  <c r="D193" i="8"/>
  <c r="P135" i="8"/>
  <c r="O135" i="8" s="1"/>
  <c r="J135" i="8" s="1"/>
  <c r="I135" i="8"/>
  <c r="H135" i="8"/>
  <c r="G135" i="8"/>
  <c r="F135" i="8"/>
  <c r="D135" i="8"/>
  <c r="P324" i="8"/>
  <c r="O324" i="8"/>
  <c r="J324" i="8"/>
  <c r="I324" i="8"/>
  <c r="H324" i="8"/>
  <c r="G324" i="8"/>
  <c r="F324" i="8"/>
  <c r="D324" i="8"/>
  <c r="P149" i="8"/>
  <c r="O149" i="8" s="1"/>
  <c r="J149" i="8"/>
  <c r="I149" i="8"/>
  <c r="H149" i="8"/>
  <c r="G149" i="8"/>
  <c r="F149" i="8"/>
  <c r="D149" i="8"/>
  <c r="P233" i="8"/>
  <c r="O233" i="8"/>
  <c r="J233" i="8" s="1"/>
  <c r="I233" i="8"/>
  <c r="H233" i="8"/>
  <c r="G233" i="8"/>
  <c r="F233" i="8"/>
  <c r="D233" i="8"/>
  <c r="P171" i="8"/>
  <c r="O171" i="8"/>
  <c r="J171" i="8" s="1"/>
  <c r="I171" i="8"/>
  <c r="H171" i="8"/>
  <c r="G171" i="8"/>
  <c r="F171" i="8"/>
  <c r="D171" i="8"/>
  <c r="P311" i="8"/>
  <c r="O311" i="8" s="1"/>
  <c r="J311" i="8"/>
  <c r="I311" i="8"/>
  <c r="H311" i="8"/>
  <c r="G311" i="8"/>
  <c r="F311" i="8"/>
  <c r="D311" i="8"/>
  <c r="P310" i="8"/>
  <c r="O310" i="8"/>
  <c r="J310" i="8"/>
  <c r="I310" i="8"/>
  <c r="H310" i="8"/>
  <c r="G310" i="8"/>
  <c r="F310" i="8"/>
  <c r="D310" i="8"/>
  <c r="P190" i="8"/>
  <c r="O190" i="8"/>
  <c r="J190" i="8"/>
  <c r="I190" i="8"/>
  <c r="H190" i="8"/>
  <c r="G190" i="8"/>
  <c r="F190" i="8"/>
  <c r="D190" i="8"/>
  <c r="P329" i="8"/>
  <c r="O329" i="8" s="1"/>
  <c r="J329" i="8"/>
  <c r="I329" i="8"/>
  <c r="H329" i="8"/>
  <c r="G329" i="8"/>
  <c r="F329" i="8"/>
  <c r="D329" i="8"/>
  <c r="P292" i="8"/>
  <c r="O292" i="8"/>
  <c r="J292" i="8"/>
  <c r="I292" i="8"/>
  <c r="H292" i="8"/>
  <c r="G292" i="8"/>
  <c r="F292" i="8"/>
  <c r="D292" i="8"/>
  <c r="P76" i="8"/>
  <c r="O76" i="8"/>
  <c r="J76" i="8"/>
  <c r="I76" i="8"/>
  <c r="H76" i="8"/>
  <c r="G76" i="8"/>
  <c r="F76" i="8"/>
  <c r="D76" i="8"/>
  <c r="P212" i="8"/>
  <c r="O212" i="8" s="1"/>
  <c r="J212" i="8" s="1"/>
  <c r="I212" i="8"/>
  <c r="H212" i="8"/>
  <c r="G212" i="8"/>
  <c r="F212" i="8"/>
  <c r="D212" i="8"/>
  <c r="P232" i="8"/>
  <c r="O232" i="8"/>
  <c r="J232" i="8" s="1"/>
  <c r="I232" i="8"/>
  <c r="H232" i="8"/>
  <c r="G232" i="8"/>
  <c r="F232" i="8"/>
  <c r="D232" i="8"/>
  <c r="P298" i="8"/>
  <c r="O298" i="8"/>
  <c r="J298" i="8"/>
  <c r="I298" i="8"/>
  <c r="H298" i="8"/>
  <c r="G298" i="8"/>
  <c r="F298" i="8"/>
  <c r="D298" i="8"/>
  <c r="P156" i="8"/>
  <c r="O156" i="8" s="1"/>
  <c r="J156" i="8" s="1"/>
  <c r="I156" i="8"/>
  <c r="H156" i="8"/>
  <c r="G156" i="8"/>
  <c r="F156" i="8"/>
  <c r="D156" i="8"/>
  <c r="P350" i="8"/>
  <c r="O350" i="8"/>
  <c r="J350" i="8"/>
  <c r="I350" i="8"/>
  <c r="H350" i="8"/>
  <c r="G350" i="8"/>
  <c r="F350" i="8"/>
  <c r="D350" i="8"/>
  <c r="P175" i="8"/>
  <c r="O175" i="8"/>
  <c r="J175" i="8"/>
  <c r="I175" i="8"/>
  <c r="H175" i="8"/>
  <c r="G175" i="8"/>
  <c r="F175" i="8"/>
  <c r="D175" i="8"/>
  <c r="P231" i="8"/>
  <c r="O231" i="8" s="1"/>
  <c r="J231" i="8"/>
  <c r="I231" i="8"/>
  <c r="H231" i="8"/>
  <c r="G231" i="8"/>
  <c r="F231" i="8"/>
  <c r="D231" i="8"/>
  <c r="P61" i="8"/>
  <c r="O61" i="8"/>
  <c r="J61" i="8"/>
  <c r="I61" i="8"/>
  <c r="H61" i="8"/>
  <c r="G61" i="8"/>
  <c r="F61" i="8"/>
  <c r="D61" i="8"/>
  <c r="P20" i="8"/>
  <c r="O20" i="8"/>
  <c r="J20" i="8"/>
  <c r="I20" i="8"/>
  <c r="H20" i="8"/>
  <c r="G20" i="8"/>
  <c r="F20" i="8"/>
  <c r="D20" i="8"/>
  <c r="P160" i="8"/>
  <c r="O160" i="8" s="1"/>
  <c r="J160" i="8" s="1"/>
  <c r="I160" i="8"/>
  <c r="H160" i="8"/>
  <c r="G160" i="8"/>
  <c r="F160" i="8"/>
  <c r="D160" i="8"/>
  <c r="P16" i="8"/>
  <c r="O16" i="8"/>
  <c r="J16" i="8"/>
  <c r="I16" i="8"/>
  <c r="H16" i="8"/>
  <c r="G16" i="8"/>
  <c r="F16" i="8"/>
  <c r="D16" i="8"/>
  <c r="P304" i="8"/>
  <c r="O304" i="8" s="1"/>
  <c r="J304" i="8" s="1"/>
  <c r="I304" i="8"/>
  <c r="H304" i="8"/>
  <c r="G304" i="8"/>
  <c r="F304" i="8"/>
  <c r="D304" i="8"/>
  <c r="P10" i="8"/>
  <c r="O10" i="8" s="1"/>
  <c r="J10" i="8"/>
  <c r="I10" i="8"/>
  <c r="H10" i="8"/>
  <c r="G10" i="8"/>
  <c r="F10" i="8"/>
  <c r="D10" i="8"/>
  <c r="P167" i="8"/>
  <c r="O167" i="8"/>
  <c r="J167" i="8"/>
  <c r="I167" i="8"/>
  <c r="H167" i="8"/>
  <c r="G167" i="8"/>
  <c r="F167" i="8"/>
  <c r="D167" i="8"/>
  <c r="P133" i="8"/>
  <c r="O133" i="8" s="1"/>
  <c r="J133" i="8" s="1"/>
  <c r="I133" i="8"/>
  <c r="H133" i="8"/>
  <c r="G133" i="8"/>
  <c r="F133" i="8"/>
  <c r="D133" i="8"/>
  <c r="P319" i="8"/>
  <c r="O319" i="8" s="1"/>
  <c r="J319" i="8"/>
  <c r="I319" i="8"/>
  <c r="H319" i="8"/>
  <c r="G319" i="8"/>
  <c r="F319" i="8"/>
  <c r="D319" i="8"/>
  <c r="P349" i="8"/>
  <c r="O349" i="8"/>
  <c r="J349" i="8"/>
  <c r="I349" i="8"/>
  <c r="H349" i="8"/>
  <c r="G349" i="8"/>
  <c r="F349" i="8"/>
  <c r="D349" i="8"/>
  <c r="P235" i="8"/>
  <c r="O235" i="8"/>
  <c r="J235" i="8" s="1"/>
  <c r="I235" i="8"/>
  <c r="H235" i="8"/>
  <c r="G235" i="8"/>
  <c r="F235" i="8"/>
  <c r="D235" i="8"/>
  <c r="P295" i="8"/>
  <c r="O295" i="8" s="1"/>
  <c r="J295" i="8"/>
  <c r="I295" i="8"/>
  <c r="H295" i="8"/>
  <c r="G295" i="8"/>
  <c r="F295" i="8"/>
  <c r="D295" i="8"/>
  <c r="P293" i="8"/>
  <c r="O293" i="8"/>
  <c r="J293" i="8" s="1"/>
  <c r="I293" i="8"/>
  <c r="H293" i="8"/>
  <c r="G293" i="8"/>
  <c r="F293" i="8"/>
  <c r="D293" i="8"/>
  <c r="P246" i="8"/>
  <c r="O246" i="8"/>
  <c r="J246" i="8"/>
  <c r="I246" i="8"/>
  <c r="H246" i="8"/>
  <c r="G246" i="8"/>
  <c r="F246" i="8"/>
  <c r="D246" i="8"/>
  <c r="P226" i="8"/>
  <c r="O226" i="8" s="1"/>
  <c r="J226" i="8"/>
  <c r="I226" i="8"/>
  <c r="H226" i="8"/>
  <c r="G226" i="8"/>
  <c r="F226" i="8"/>
  <c r="D226" i="8"/>
  <c r="P237" i="8"/>
  <c r="O237" i="8" s="1"/>
  <c r="J237" i="8" s="1"/>
  <c r="I237" i="8"/>
  <c r="H237" i="8"/>
  <c r="G237" i="8"/>
  <c r="F237" i="8"/>
  <c r="D237" i="8"/>
  <c r="P182" i="8"/>
  <c r="O182" i="8"/>
  <c r="J182" i="8"/>
  <c r="I182" i="8"/>
  <c r="H182" i="8"/>
  <c r="G182" i="8"/>
  <c r="F182" i="8"/>
  <c r="D182" i="8"/>
  <c r="P220" i="8"/>
  <c r="O220" i="8" s="1"/>
  <c r="J220" i="8" s="1"/>
  <c r="I220" i="8"/>
  <c r="H220" i="8"/>
  <c r="G220" i="8"/>
  <c r="F220" i="8"/>
  <c r="D220" i="8"/>
  <c r="P152" i="8"/>
  <c r="O152" i="8" s="1"/>
  <c r="J152" i="8" s="1"/>
  <c r="I152" i="8"/>
  <c r="H152" i="8"/>
  <c r="G152" i="8"/>
  <c r="F152" i="8"/>
  <c r="D152" i="8"/>
  <c r="P14" i="8"/>
  <c r="O14" i="8"/>
  <c r="J14" i="8"/>
  <c r="I14" i="8"/>
  <c r="H14" i="8"/>
  <c r="G14" i="8"/>
  <c r="F14" i="8"/>
  <c r="D14" i="8"/>
  <c r="P199" i="8"/>
  <c r="O199" i="8" s="1"/>
  <c r="J199" i="8"/>
  <c r="I199" i="8"/>
  <c r="H199" i="8"/>
  <c r="G199" i="8"/>
  <c r="F199" i="8"/>
  <c r="D199" i="8"/>
  <c r="P164" i="8"/>
  <c r="O164" i="8"/>
  <c r="J164" i="8" s="1"/>
  <c r="I164" i="8"/>
  <c r="H164" i="8"/>
  <c r="G164" i="8"/>
  <c r="F164" i="8"/>
  <c r="D164" i="8"/>
  <c r="P78" i="8"/>
  <c r="O78" i="8"/>
  <c r="J78" i="8" s="1"/>
  <c r="I78" i="8"/>
  <c r="H78" i="8"/>
  <c r="G78" i="8"/>
  <c r="F78" i="8"/>
  <c r="D78" i="8"/>
  <c r="P72" i="8"/>
  <c r="O72" i="8" s="1"/>
  <c r="J72" i="8"/>
  <c r="I72" i="8"/>
  <c r="H72" i="8"/>
  <c r="G72" i="8"/>
  <c r="F72" i="8"/>
  <c r="D72" i="8"/>
  <c r="P253" i="8"/>
  <c r="O253" i="8"/>
  <c r="J253" i="8"/>
  <c r="I253" i="8"/>
  <c r="H253" i="8"/>
  <c r="G253" i="8"/>
  <c r="F253" i="8"/>
  <c r="D253" i="8"/>
  <c r="P257" i="8"/>
  <c r="O257" i="8"/>
  <c r="J257" i="8"/>
  <c r="I257" i="8"/>
  <c r="H257" i="8"/>
  <c r="G257" i="8"/>
  <c r="F257" i="8"/>
  <c r="D257" i="8"/>
  <c r="P274" i="8"/>
  <c r="O274" i="8" s="1"/>
  <c r="J274" i="8"/>
  <c r="I274" i="8"/>
  <c r="H274" i="8"/>
  <c r="G274" i="8"/>
  <c r="F274" i="8"/>
  <c r="D274" i="8"/>
  <c r="P172" i="8"/>
  <c r="O172" i="8"/>
  <c r="J172" i="8"/>
  <c r="I172" i="8"/>
  <c r="H172" i="8"/>
  <c r="G172" i="8"/>
  <c r="F172" i="8"/>
  <c r="D172" i="8"/>
  <c r="P187" i="8"/>
  <c r="O187" i="8"/>
  <c r="J187" i="8"/>
  <c r="I187" i="8"/>
  <c r="H187" i="8"/>
  <c r="G187" i="8"/>
  <c r="F187" i="8"/>
  <c r="D187" i="8"/>
  <c r="P117" i="8"/>
  <c r="O117" i="8" s="1"/>
  <c r="J117" i="8" s="1"/>
  <c r="I117" i="8"/>
  <c r="H117" i="8"/>
  <c r="G117" i="8"/>
  <c r="F117" i="8"/>
  <c r="D117" i="8"/>
  <c r="P321" i="8"/>
  <c r="O321" i="8"/>
  <c r="J321" i="8" s="1"/>
  <c r="I321" i="8"/>
  <c r="H321" i="8"/>
  <c r="G321" i="8"/>
  <c r="F321" i="8"/>
  <c r="D321" i="8"/>
  <c r="P101" i="8"/>
  <c r="O101" i="8"/>
  <c r="J101" i="8"/>
  <c r="I101" i="8"/>
  <c r="H101" i="8"/>
  <c r="G101" i="8"/>
  <c r="F101" i="8"/>
  <c r="D101" i="8"/>
  <c r="P100" i="8"/>
  <c r="O100" i="8" s="1"/>
  <c r="J100" i="8" s="1"/>
  <c r="I100" i="8"/>
  <c r="H100" i="8"/>
  <c r="G100" i="8"/>
  <c r="F100" i="8"/>
  <c r="D100" i="8"/>
  <c r="P288" i="8"/>
  <c r="O288" i="8"/>
  <c r="J288" i="8"/>
  <c r="I288" i="8"/>
  <c r="H288" i="8"/>
  <c r="G288" i="8"/>
  <c r="F288" i="8"/>
  <c r="D288" i="8"/>
  <c r="P132" i="8"/>
  <c r="O132" i="8"/>
  <c r="J132" i="8"/>
  <c r="I132" i="8"/>
  <c r="H132" i="8"/>
  <c r="G132" i="8"/>
  <c r="F132" i="8"/>
  <c r="D132" i="8"/>
  <c r="P326" i="8"/>
  <c r="O326" i="8" s="1"/>
  <c r="J326" i="8"/>
  <c r="I326" i="8"/>
  <c r="H326" i="8"/>
  <c r="G326" i="8"/>
  <c r="F326" i="8"/>
  <c r="D326" i="8"/>
  <c r="P328" i="8"/>
  <c r="O328" i="8"/>
  <c r="J328" i="8"/>
  <c r="I328" i="8"/>
  <c r="H328" i="8"/>
  <c r="G328" i="8"/>
  <c r="F328" i="8"/>
  <c r="D328" i="8"/>
  <c r="P284" i="8"/>
  <c r="O284" i="8" s="1"/>
  <c r="J284" i="8" s="1"/>
  <c r="I284" i="8"/>
  <c r="H284" i="8"/>
  <c r="G284" i="8"/>
  <c r="F284" i="8"/>
  <c r="D284" i="8"/>
  <c r="P327" i="8"/>
  <c r="O327" i="8" s="1"/>
  <c r="J327" i="8"/>
  <c r="I327" i="8"/>
  <c r="H327" i="8"/>
  <c r="G327" i="8"/>
  <c r="F327" i="8"/>
  <c r="D327" i="8"/>
  <c r="P258" i="8"/>
  <c r="O258" i="8"/>
  <c r="J258" i="8"/>
  <c r="I258" i="8"/>
  <c r="H258" i="8"/>
  <c r="G258" i="8"/>
  <c r="F258" i="8"/>
  <c r="D258" i="8"/>
  <c r="P120" i="8"/>
  <c r="O120" i="8"/>
  <c r="J120" i="8" s="1"/>
  <c r="I120" i="8"/>
  <c r="H120" i="8"/>
  <c r="G120" i="8"/>
  <c r="F120" i="8"/>
  <c r="D120" i="8"/>
  <c r="P119" i="8"/>
  <c r="O119" i="8" s="1"/>
  <c r="J119" i="8"/>
  <c r="I119" i="8"/>
  <c r="H119" i="8"/>
  <c r="G119" i="8"/>
  <c r="F119" i="8"/>
  <c r="D119" i="8"/>
  <c r="P221" i="8"/>
  <c r="O221" i="8"/>
  <c r="J221" i="8"/>
  <c r="I221" i="8"/>
  <c r="H221" i="8"/>
  <c r="G221" i="8"/>
  <c r="F221" i="8"/>
  <c r="D221" i="8"/>
  <c r="P52" i="8"/>
  <c r="O52" i="8" s="1"/>
  <c r="J52" i="8" s="1"/>
  <c r="I52" i="8"/>
  <c r="H52" i="8"/>
  <c r="G52" i="8"/>
  <c r="F52" i="8"/>
  <c r="D52" i="8"/>
  <c r="P144" i="8"/>
  <c r="O144" i="8" s="1"/>
  <c r="J144" i="8"/>
  <c r="I144" i="8"/>
  <c r="H144" i="8"/>
  <c r="G144" i="8"/>
  <c r="F144" i="8"/>
  <c r="D144" i="8"/>
  <c r="P145" i="8"/>
  <c r="O145" i="8" s="1"/>
  <c r="J145" i="8" s="1"/>
  <c r="I145" i="8"/>
  <c r="H145" i="8"/>
  <c r="G145" i="8"/>
  <c r="F145" i="8"/>
  <c r="D145" i="8"/>
  <c r="P143" i="8"/>
  <c r="O143" i="8"/>
  <c r="J143" i="8" s="1"/>
  <c r="I143" i="8"/>
  <c r="H143" i="8"/>
  <c r="G143" i="8"/>
  <c r="F143" i="8"/>
  <c r="D143" i="8"/>
  <c r="P142" i="8"/>
  <c r="O142" i="8" s="1"/>
  <c r="J142" i="8"/>
  <c r="I142" i="8"/>
  <c r="H142" i="8"/>
  <c r="G142" i="8"/>
  <c r="F142" i="8"/>
  <c r="D142" i="8"/>
  <c r="P146" i="8"/>
  <c r="O146" i="8" s="1"/>
  <c r="J146" i="8" s="1"/>
  <c r="I146" i="8"/>
  <c r="H146" i="8"/>
  <c r="G146" i="8"/>
  <c r="F146" i="8"/>
  <c r="D146" i="8"/>
  <c r="P141" i="8"/>
  <c r="O141" i="8"/>
  <c r="J141" i="8"/>
  <c r="I141" i="8"/>
  <c r="H141" i="8"/>
  <c r="G141" i="8"/>
  <c r="F141" i="8"/>
  <c r="D141" i="8"/>
  <c r="P92" i="8"/>
  <c r="O92" i="8" s="1"/>
  <c r="J92" i="8" s="1"/>
  <c r="I92" i="8"/>
  <c r="H92" i="8"/>
  <c r="G92" i="8"/>
  <c r="F92" i="8"/>
  <c r="D92" i="8"/>
  <c r="P332" i="8"/>
  <c r="O332" i="8"/>
  <c r="J332" i="8" s="1"/>
  <c r="I332" i="8"/>
  <c r="H332" i="8"/>
  <c r="G332" i="8"/>
  <c r="F332" i="8"/>
  <c r="D332" i="8"/>
  <c r="P333" i="8"/>
  <c r="O333" i="8"/>
  <c r="J333" i="8"/>
  <c r="I333" i="8"/>
  <c r="H333" i="8"/>
  <c r="G333" i="8"/>
  <c r="F333" i="8"/>
  <c r="D333" i="8"/>
  <c r="P94" i="8"/>
  <c r="O94" i="8" s="1"/>
  <c r="J94" i="8"/>
  <c r="I94" i="8"/>
  <c r="H94" i="8"/>
  <c r="G94" i="8"/>
  <c r="F94" i="8"/>
  <c r="D94" i="8"/>
  <c r="P174" i="8"/>
  <c r="O174" i="8" s="1"/>
  <c r="J174" i="8" s="1"/>
  <c r="I174" i="8"/>
  <c r="H174" i="8"/>
  <c r="G174" i="8"/>
  <c r="F174" i="8"/>
  <c r="D174" i="8"/>
  <c r="P99" i="8"/>
  <c r="O99" i="8"/>
  <c r="J99" i="8" s="1"/>
  <c r="I99" i="8"/>
  <c r="H99" i="8"/>
  <c r="G99" i="8"/>
  <c r="F99" i="8"/>
  <c r="D99" i="8"/>
  <c r="P153" i="8"/>
  <c r="O153" i="8" s="1"/>
  <c r="J153" i="8"/>
  <c r="I153" i="8"/>
  <c r="H153" i="8"/>
  <c r="G153" i="8"/>
  <c r="F153" i="8"/>
  <c r="D153" i="8"/>
  <c r="P211" i="8"/>
  <c r="O211" i="8"/>
  <c r="J211" i="8" s="1"/>
  <c r="I211" i="8"/>
  <c r="H211" i="8"/>
  <c r="G211" i="8"/>
  <c r="F211" i="8"/>
  <c r="D211" i="8"/>
  <c r="P4" i="8"/>
  <c r="O4" i="8"/>
  <c r="J4" i="8"/>
  <c r="I4" i="8"/>
  <c r="H4" i="8"/>
  <c r="G4" i="8"/>
  <c r="F4" i="8"/>
  <c r="D4" i="8"/>
  <c r="P124" i="8"/>
  <c r="O124" i="8" s="1"/>
  <c r="J124" i="8"/>
  <c r="I124" i="8"/>
  <c r="H124" i="8"/>
  <c r="G124" i="8"/>
  <c r="F124" i="8"/>
  <c r="D124" i="8"/>
  <c r="P163" i="8"/>
  <c r="O163" i="8" s="1"/>
  <c r="J163" i="8" s="1"/>
  <c r="I163" i="8"/>
  <c r="H163" i="8"/>
  <c r="G163" i="8"/>
  <c r="F163" i="8"/>
  <c r="D163" i="8"/>
  <c r="P113" i="8"/>
  <c r="O113" i="8"/>
  <c r="J113" i="8"/>
  <c r="I113" i="8"/>
  <c r="H113" i="8"/>
  <c r="G113" i="8"/>
  <c r="F113" i="8"/>
  <c r="D113" i="8"/>
  <c r="P150" i="8"/>
  <c r="O150" i="8" s="1"/>
  <c r="J150" i="8" s="1"/>
  <c r="I150" i="8"/>
  <c r="H150" i="8"/>
  <c r="G150" i="8"/>
  <c r="F150" i="8"/>
  <c r="D150" i="8"/>
  <c r="P263" i="8"/>
  <c r="O263" i="8"/>
  <c r="J263" i="8"/>
  <c r="I263" i="8"/>
  <c r="H263" i="8"/>
  <c r="G263" i="8"/>
  <c r="F263" i="8"/>
  <c r="D263" i="8"/>
  <c r="P90" i="8"/>
  <c r="O90" i="8"/>
  <c r="J90" i="8"/>
  <c r="I90" i="8"/>
  <c r="H90" i="8"/>
  <c r="G90" i="8"/>
  <c r="F90" i="8"/>
  <c r="D90" i="8"/>
  <c r="P66" i="8"/>
  <c r="O66" i="8" s="1"/>
  <c r="J66" i="8"/>
  <c r="I66" i="8"/>
  <c r="H66" i="8"/>
  <c r="G66" i="8"/>
  <c r="F66" i="8"/>
  <c r="D66" i="8"/>
  <c r="P238" i="8"/>
  <c r="O238" i="8"/>
  <c r="J238" i="8"/>
  <c r="I238" i="8"/>
  <c r="H238" i="8"/>
  <c r="G238" i="8"/>
  <c r="F238" i="8"/>
  <c r="D238" i="8"/>
  <c r="P26" i="8"/>
  <c r="O26" i="8"/>
  <c r="J26" i="8"/>
  <c r="I26" i="8"/>
  <c r="H26" i="8"/>
  <c r="G26" i="8"/>
  <c r="F26" i="8"/>
  <c r="D26" i="8"/>
  <c r="P32" i="8"/>
  <c r="O32" i="8" s="1"/>
  <c r="J32" i="8" s="1"/>
  <c r="I32" i="8"/>
  <c r="H32" i="8"/>
  <c r="G32" i="8"/>
  <c r="F32" i="8"/>
  <c r="D32" i="8"/>
  <c r="P215" i="8"/>
  <c r="O215" i="8"/>
  <c r="J215" i="8"/>
  <c r="I215" i="8"/>
  <c r="H215" i="8"/>
  <c r="G215" i="8"/>
  <c r="F215" i="8"/>
  <c r="D215" i="8"/>
  <c r="P191" i="8"/>
  <c r="O191" i="8"/>
  <c r="J191" i="8"/>
  <c r="I191" i="8"/>
  <c r="H191" i="8"/>
  <c r="G191" i="8"/>
  <c r="F191" i="8"/>
  <c r="D191" i="8"/>
  <c r="P251" i="8"/>
  <c r="O251" i="8" s="1"/>
  <c r="J251" i="8"/>
  <c r="I251" i="8"/>
  <c r="H251" i="8"/>
  <c r="G251" i="8"/>
  <c r="F251" i="8"/>
  <c r="D251" i="8"/>
  <c r="P116" i="8"/>
  <c r="O116" i="8"/>
  <c r="J116" i="8"/>
  <c r="I116" i="8"/>
  <c r="H116" i="8"/>
  <c r="G116" i="8"/>
  <c r="F116" i="8"/>
  <c r="D116" i="8"/>
  <c r="P239" i="8"/>
  <c r="O239" i="8" s="1"/>
  <c r="J239" i="8" s="1"/>
  <c r="I239" i="8"/>
  <c r="H239" i="8"/>
  <c r="G239" i="8"/>
  <c r="F239" i="8"/>
  <c r="D239" i="8"/>
  <c r="P98" i="8"/>
  <c r="O98" i="8" s="1"/>
  <c r="J98" i="8"/>
  <c r="I98" i="8"/>
  <c r="H98" i="8"/>
  <c r="G98" i="8"/>
  <c r="F98" i="8"/>
  <c r="D98" i="8"/>
  <c r="P372" i="8"/>
  <c r="O372" i="8"/>
  <c r="J372" i="8"/>
  <c r="I372" i="8"/>
  <c r="H372" i="8"/>
  <c r="G372" i="8"/>
  <c r="F372" i="8"/>
  <c r="D372" i="8"/>
  <c r="P369" i="8"/>
  <c r="O369" i="8"/>
  <c r="J369" i="8" s="1"/>
  <c r="I369" i="8"/>
  <c r="H369" i="8"/>
  <c r="G369" i="8"/>
  <c r="F369" i="8"/>
  <c r="D369" i="8"/>
  <c r="P371" i="8"/>
  <c r="O371" i="8" s="1"/>
  <c r="J371" i="8"/>
  <c r="I371" i="8"/>
  <c r="H371" i="8"/>
  <c r="G371" i="8"/>
  <c r="F371" i="8"/>
  <c r="D371" i="8"/>
  <c r="P368" i="8"/>
  <c r="O368" i="8"/>
  <c r="J368" i="8"/>
  <c r="I368" i="8"/>
  <c r="H368" i="8"/>
  <c r="G368" i="8"/>
  <c r="F368" i="8"/>
  <c r="D368" i="8"/>
  <c r="P370" i="8"/>
  <c r="O370" i="8" s="1"/>
  <c r="J370" i="8" s="1"/>
  <c r="I370" i="8"/>
  <c r="H370" i="8"/>
  <c r="G370" i="8"/>
  <c r="F370" i="8"/>
  <c r="D370" i="8"/>
  <c r="P317" i="8"/>
  <c r="O317" i="8" s="1"/>
  <c r="J317" i="8"/>
  <c r="I317" i="8"/>
  <c r="H317" i="8"/>
  <c r="G317" i="8"/>
  <c r="F317" i="8"/>
  <c r="D317" i="8"/>
  <c r="P62" i="8"/>
  <c r="O62" i="8"/>
  <c r="J62" i="8"/>
  <c r="I62" i="8"/>
  <c r="H62" i="8"/>
  <c r="G62" i="8"/>
  <c r="F62" i="8"/>
  <c r="D62" i="8"/>
  <c r="P264" i="8"/>
  <c r="O264" i="8"/>
  <c r="J264" i="8" s="1"/>
  <c r="I264" i="8"/>
  <c r="H264" i="8"/>
  <c r="G264" i="8"/>
  <c r="F264" i="8"/>
  <c r="D264" i="8"/>
  <c r="P318" i="8"/>
  <c r="O318" i="8" s="1"/>
  <c r="J318" i="8"/>
  <c r="I318" i="8"/>
  <c r="H318" i="8"/>
  <c r="G318" i="8"/>
  <c r="F318" i="8"/>
  <c r="D318" i="8"/>
  <c r="P186" i="8"/>
  <c r="O186" i="8" s="1"/>
  <c r="J186" i="8" s="1"/>
  <c r="I186" i="8"/>
  <c r="H186" i="8"/>
  <c r="G186" i="8"/>
  <c r="F186" i="8"/>
  <c r="D186" i="8"/>
  <c r="P198" i="8"/>
  <c r="O198" i="8"/>
  <c r="J198" i="8"/>
  <c r="I198" i="8"/>
  <c r="H198" i="8"/>
  <c r="G198" i="8"/>
  <c r="F198" i="8"/>
  <c r="D198" i="8"/>
  <c r="P204" i="8"/>
  <c r="O204" i="8" s="1"/>
  <c r="J204" i="8"/>
  <c r="I204" i="8"/>
  <c r="H204" i="8"/>
  <c r="G204" i="8"/>
  <c r="F204" i="8"/>
  <c r="D204" i="8"/>
  <c r="P262" i="8"/>
  <c r="O262" i="8"/>
  <c r="J262" i="8" s="1"/>
  <c r="I262" i="8"/>
  <c r="H262" i="8"/>
  <c r="G262" i="8"/>
  <c r="F262" i="8"/>
  <c r="D262" i="8"/>
  <c r="P287" i="8"/>
  <c r="O287" i="8" s="1"/>
  <c r="J287" i="8" s="1"/>
  <c r="I287" i="8"/>
  <c r="H287" i="8"/>
  <c r="G287" i="8"/>
  <c r="F287" i="8"/>
  <c r="D287" i="8"/>
  <c r="P131" i="8"/>
  <c r="O131" i="8" s="1"/>
  <c r="J131" i="8"/>
  <c r="I131" i="8"/>
  <c r="H131" i="8"/>
  <c r="G131" i="8"/>
  <c r="F131" i="8"/>
  <c r="D131" i="8"/>
  <c r="P241" i="8"/>
  <c r="O241" i="8" s="1"/>
  <c r="J241" i="8" s="1"/>
  <c r="I241" i="8"/>
  <c r="H241" i="8"/>
  <c r="G241" i="8"/>
  <c r="F241" i="8"/>
  <c r="D241" i="8"/>
  <c r="P243" i="8"/>
  <c r="O243" i="8"/>
  <c r="J243" i="8"/>
  <c r="I243" i="8"/>
  <c r="H243" i="8"/>
  <c r="G243" i="8"/>
  <c r="F243" i="8"/>
  <c r="D243" i="8"/>
  <c r="P139" i="8"/>
  <c r="O139" i="8" s="1"/>
  <c r="J139" i="8"/>
  <c r="I139" i="8"/>
  <c r="H139" i="8"/>
  <c r="G139" i="8"/>
  <c r="F139" i="8"/>
  <c r="D139" i="8"/>
  <c r="P38" i="8"/>
  <c r="O38" i="8" s="1"/>
  <c r="J38" i="8" s="1"/>
  <c r="I38" i="8"/>
  <c r="H38" i="8"/>
  <c r="G38" i="8"/>
  <c r="F38" i="8"/>
  <c r="D38" i="8"/>
  <c r="P59" i="8"/>
  <c r="O59" i="8"/>
  <c r="J59" i="8"/>
  <c r="I59" i="8"/>
  <c r="H59" i="8"/>
  <c r="G59" i="8"/>
  <c r="F59" i="8"/>
  <c r="D59" i="8"/>
  <c r="P331" i="8"/>
  <c r="O331" i="8" s="1"/>
  <c r="J331" i="8"/>
  <c r="I331" i="8"/>
  <c r="H331" i="8"/>
  <c r="G331" i="8"/>
  <c r="F331" i="8"/>
  <c r="D331" i="8"/>
  <c r="P267" i="8"/>
  <c r="O267" i="8"/>
  <c r="J267" i="8"/>
  <c r="I267" i="8"/>
  <c r="H267" i="8"/>
  <c r="G267" i="8"/>
  <c r="F267" i="8"/>
  <c r="D267" i="8"/>
  <c r="P46" i="8"/>
  <c r="O46" i="8"/>
  <c r="J46" i="8"/>
  <c r="I46" i="8"/>
  <c r="H46" i="8"/>
  <c r="G46" i="8"/>
  <c r="F46" i="8"/>
  <c r="D46" i="8"/>
  <c r="P173" i="8"/>
  <c r="O173" i="8" s="1"/>
  <c r="J173" i="8" s="1"/>
  <c r="I173" i="8"/>
  <c r="H173" i="8"/>
  <c r="G173" i="8"/>
  <c r="F173" i="8"/>
  <c r="D173" i="8"/>
  <c r="P30" i="8"/>
  <c r="O30" i="8"/>
  <c r="J30" i="8"/>
  <c r="I30" i="8"/>
  <c r="H30" i="8"/>
  <c r="G30" i="8"/>
  <c r="F30" i="8"/>
  <c r="D30" i="8"/>
  <c r="P91" i="8"/>
  <c r="O91" i="8"/>
  <c r="J91" i="8"/>
  <c r="I91" i="8"/>
  <c r="H91" i="8"/>
  <c r="G91" i="8"/>
  <c r="F91" i="8"/>
  <c r="D91" i="8"/>
  <c r="P297" i="8"/>
  <c r="O297" i="8" s="1"/>
  <c r="J297" i="8" s="1"/>
  <c r="I297" i="8"/>
  <c r="H297" i="8"/>
  <c r="G297" i="8"/>
  <c r="F297" i="8"/>
  <c r="D297" i="8"/>
  <c r="P197" i="8"/>
  <c r="O197" i="8"/>
  <c r="J197" i="8"/>
  <c r="I197" i="8"/>
  <c r="H197" i="8"/>
  <c r="G197" i="8"/>
  <c r="F197" i="8"/>
  <c r="D197" i="8"/>
  <c r="P269" i="8"/>
  <c r="O269" i="8"/>
  <c r="J269" i="8"/>
  <c r="I269" i="8"/>
  <c r="H269" i="8"/>
  <c r="G269" i="8"/>
  <c r="F269" i="8"/>
  <c r="D269" i="8"/>
  <c r="P316" i="8"/>
  <c r="O316" i="8" s="1"/>
  <c r="J316" i="8" s="1"/>
  <c r="I316" i="8"/>
  <c r="H316" i="8"/>
  <c r="G316" i="8"/>
  <c r="F316" i="8"/>
  <c r="D316" i="8"/>
  <c r="P367" i="8"/>
  <c r="O367" i="8"/>
  <c r="J367" i="8"/>
  <c r="I367" i="8"/>
  <c r="H367" i="8"/>
  <c r="G367" i="8"/>
  <c r="F367" i="8"/>
  <c r="D367" i="8"/>
  <c r="P380" i="8"/>
  <c r="O380" i="8"/>
  <c r="J380" i="8"/>
  <c r="I380" i="8"/>
  <c r="H380" i="8"/>
  <c r="G380" i="8"/>
  <c r="F380" i="8"/>
  <c r="D380" i="8"/>
  <c r="P379" i="8"/>
  <c r="O379" i="8" s="1"/>
  <c r="J379" i="8"/>
  <c r="I379" i="8"/>
  <c r="H379" i="8"/>
  <c r="G379" i="8"/>
  <c r="F379" i="8"/>
  <c r="D379" i="8"/>
  <c r="P73" i="8"/>
  <c r="O73" i="8"/>
  <c r="J73" i="8"/>
  <c r="I73" i="8"/>
  <c r="H73" i="8"/>
  <c r="G73" i="8"/>
  <c r="F73" i="8"/>
  <c r="D73" i="8"/>
  <c r="P177" i="8"/>
  <c r="O177" i="8" s="1"/>
  <c r="J177" i="8" s="1"/>
  <c r="I177" i="8"/>
  <c r="H177" i="8"/>
  <c r="G177" i="8"/>
  <c r="F177" i="8"/>
  <c r="D177" i="8"/>
  <c r="P11" i="8"/>
  <c r="O11" i="8" s="1"/>
  <c r="J11" i="8"/>
  <c r="I11" i="8"/>
  <c r="H11" i="8"/>
  <c r="G11" i="8"/>
  <c r="F11" i="8"/>
  <c r="D11" i="8"/>
  <c r="P245" i="8"/>
  <c r="O245" i="8"/>
  <c r="J245" i="8"/>
  <c r="I245" i="8"/>
  <c r="H245" i="8"/>
  <c r="G245" i="8"/>
  <c r="F245" i="8"/>
  <c r="D245" i="8"/>
  <c r="P224" i="8"/>
  <c r="O224" i="8"/>
  <c r="J224" i="8"/>
  <c r="I224" i="8"/>
  <c r="H224" i="8"/>
  <c r="G224" i="8"/>
  <c r="F224" i="8"/>
  <c r="D224" i="8"/>
  <c r="P127" i="8"/>
  <c r="O127" i="8"/>
  <c r="J127" i="8"/>
  <c r="I127" i="8"/>
  <c r="H127" i="8"/>
  <c r="G127" i="8"/>
  <c r="F127" i="8"/>
  <c r="D127" i="8"/>
  <c r="P112" i="8"/>
  <c r="O112" i="8"/>
  <c r="J112" i="8"/>
  <c r="I112" i="8"/>
  <c r="H112" i="8"/>
  <c r="G112" i="8"/>
  <c r="F112" i="8"/>
  <c r="D112" i="8"/>
  <c r="P40" i="8"/>
  <c r="O40" i="8" s="1"/>
  <c r="J40" i="8" s="1"/>
  <c r="I40" i="8"/>
  <c r="H40" i="8"/>
  <c r="G40" i="8"/>
  <c r="F40" i="8"/>
  <c r="D40" i="8"/>
  <c r="P214" i="8"/>
  <c r="O214" i="8"/>
  <c r="J214" i="8"/>
  <c r="I214" i="8"/>
  <c r="H214" i="8"/>
  <c r="G214" i="8"/>
  <c r="F214" i="8"/>
  <c r="D214" i="8"/>
  <c r="P19" i="8"/>
  <c r="O19" i="8"/>
  <c r="J19" i="8" s="1"/>
  <c r="I19" i="8"/>
  <c r="H19" i="8"/>
  <c r="G19" i="8"/>
  <c r="F19" i="8"/>
  <c r="D19" i="8"/>
  <c r="P95" i="8"/>
  <c r="O95" i="8" s="1"/>
  <c r="J95" i="8" s="1"/>
  <c r="I95" i="8"/>
  <c r="H95" i="8"/>
  <c r="G95" i="8"/>
  <c r="F95" i="8"/>
  <c r="D95" i="8"/>
  <c r="P206" i="8"/>
  <c r="O206" i="8"/>
  <c r="J206" i="8"/>
  <c r="I206" i="8"/>
  <c r="H206" i="8"/>
  <c r="G206" i="8"/>
  <c r="F206" i="8"/>
  <c r="D206" i="8"/>
  <c r="P361" i="8"/>
  <c r="O361" i="8"/>
  <c r="J361" i="8"/>
  <c r="I361" i="8"/>
  <c r="H361" i="8"/>
  <c r="G361" i="8"/>
  <c r="F361" i="8"/>
  <c r="D361" i="8"/>
  <c r="P74" i="8"/>
  <c r="O74" i="8" s="1"/>
  <c r="J74" i="8" s="1"/>
  <c r="I74" i="8"/>
  <c r="H74" i="8"/>
  <c r="G74" i="8"/>
  <c r="F74" i="8"/>
  <c r="D74" i="8"/>
  <c r="P364" i="8"/>
  <c r="O364" i="8"/>
  <c r="J364" i="8" s="1"/>
  <c r="I364" i="8"/>
  <c r="H364" i="8"/>
  <c r="G364" i="8"/>
  <c r="F364" i="8"/>
  <c r="D364" i="8"/>
  <c r="P305" i="8"/>
  <c r="O305" i="8"/>
  <c r="J305" i="8"/>
  <c r="I305" i="8"/>
  <c r="H305" i="8"/>
  <c r="G305" i="8"/>
  <c r="F305" i="8"/>
  <c r="D305" i="8"/>
  <c r="P320" i="8"/>
  <c r="O320" i="8" s="1"/>
  <c r="J320" i="8" s="1"/>
  <c r="I320" i="8"/>
  <c r="H320" i="8"/>
  <c r="G320" i="8"/>
  <c r="F320" i="8"/>
  <c r="D320" i="8"/>
  <c r="P48" i="8"/>
  <c r="O48" i="8"/>
  <c r="J48" i="8"/>
  <c r="I48" i="8"/>
  <c r="H48" i="8"/>
  <c r="G48" i="8"/>
  <c r="F48" i="8"/>
  <c r="D48" i="8"/>
  <c r="P45" i="8"/>
  <c r="O45" i="8"/>
  <c r="J45" i="8"/>
  <c r="I45" i="8"/>
  <c r="H45" i="8"/>
  <c r="G45" i="8"/>
  <c r="F45" i="8"/>
  <c r="D45" i="8"/>
  <c r="P39" i="8"/>
  <c r="O39" i="8" s="1"/>
  <c r="J39" i="8" s="1"/>
  <c r="I39" i="8"/>
  <c r="H39" i="8"/>
  <c r="G39" i="8"/>
  <c r="F39" i="8"/>
  <c r="D39" i="8"/>
  <c r="P359" i="8"/>
  <c r="O359" i="8"/>
  <c r="J359" i="8"/>
  <c r="I359" i="8"/>
  <c r="H359" i="8"/>
  <c r="G359" i="8"/>
  <c r="F359" i="8"/>
  <c r="D359" i="8"/>
  <c r="P358" i="8"/>
  <c r="O358" i="8"/>
  <c r="J358" i="8"/>
  <c r="I358" i="8"/>
  <c r="H358" i="8"/>
  <c r="G358" i="8"/>
  <c r="F358" i="8"/>
  <c r="D358" i="8"/>
  <c r="P356" i="8"/>
  <c r="O356" i="8" s="1"/>
  <c r="J356" i="8" s="1"/>
  <c r="I356" i="8"/>
  <c r="H356" i="8"/>
  <c r="G356" i="8"/>
  <c r="F356" i="8"/>
  <c r="D356" i="8"/>
  <c r="P296" i="8"/>
  <c r="O296" i="8"/>
  <c r="J296" i="8"/>
  <c r="I296" i="8"/>
  <c r="H296" i="8"/>
  <c r="G296" i="8"/>
  <c r="F296" i="8"/>
  <c r="D296" i="8"/>
  <c r="P229" i="8"/>
  <c r="O229" i="8" s="1"/>
  <c r="J229" i="8" s="1"/>
  <c r="I229" i="8"/>
  <c r="H229" i="8"/>
  <c r="G229" i="8"/>
  <c r="F229" i="8"/>
  <c r="D229" i="8"/>
  <c r="P353" i="8"/>
  <c r="O353" i="8" s="1"/>
  <c r="J353" i="8" s="1"/>
  <c r="I353" i="8"/>
  <c r="H353" i="8"/>
  <c r="G353" i="8"/>
  <c r="F353" i="8"/>
  <c r="D353" i="8"/>
  <c r="P376" i="8"/>
  <c r="O376" i="8"/>
  <c r="J376" i="8"/>
  <c r="I376" i="8"/>
  <c r="H376" i="8"/>
  <c r="G376" i="8"/>
  <c r="F376" i="8"/>
  <c r="D376" i="8"/>
  <c r="P378" i="8"/>
  <c r="O378" i="8"/>
  <c r="J378" i="8" s="1"/>
  <c r="I378" i="8"/>
  <c r="H378" i="8"/>
  <c r="G378" i="8"/>
  <c r="F378" i="8"/>
  <c r="D378" i="8"/>
  <c r="P377" i="8"/>
  <c r="O377" i="8" s="1"/>
  <c r="J377" i="8" s="1"/>
  <c r="I377" i="8"/>
  <c r="H377" i="8"/>
  <c r="G377" i="8"/>
  <c r="F377" i="8"/>
  <c r="D377" i="8"/>
  <c r="P375" i="8"/>
  <c r="O375" i="8" s="1"/>
  <c r="J375" i="8" s="1"/>
  <c r="I375" i="8"/>
  <c r="H375" i="8"/>
  <c r="G375" i="8"/>
  <c r="F375" i="8"/>
  <c r="D375" i="8"/>
  <c r="P374" i="8"/>
  <c r="O374" i="8"/>
  <c r="J374" i="8"/>
  <c r="I374" i="8"/>
  <c r="H374" i="8"/>
  <c r="G374" i="8"/>
  <c r="F374" i="8"/>
  <c r="D374" i="8"/>
  <c r="P373" i="8"/>
  <c r="O373" i="8" s="1"/>
  <c r="J373" i="8" s="1"/>
  <c r="I373" i="8"/>
  <c r="H373" i="8"/>
  <c r="G373" i="8"/>
  <c r="F373" i="8"/>
  <c r="D373" i="8"/>
  <c r="P56" i="8"/>
  <c r="O56" i="8"/>
  <c r="J56" i="8" s="1"/>
  <c r="I56" i="8"/>
  <c r="H56" i="8"/>
  <c r="G56" i="8"/>
  <c r="F56" i="8"/>
  <c r="D56" i="8"/>
  <c r="P42" i="8"/>
  <c r="O42" i="8"/>
  <c r="J42" i="8"/>
  <c r="I42" i="8"/>
  <c r="H42" i="8"/>
  <c r="G42" i="8"/>
  <c r="F42" i="8"/>
  <c r="D42" i="8"/>
  <c r="P18" i="8"/>
  <c r="O18" i="8" s="1"/>
  <c r="J18" i="8" s="1"/>
  <c r="I18" i="8"/>
  <c r="H18" i="8"/>
  <c r="G18" i="8"/>
  <c r="F18" i="8"/>
  <c r="D18" i="8"/>
  <c r="P55" i="8"/>
  <c r="O55" i="8"/>
  <c r="J55" i="8"/>
  <c r="I55" i="8"/>
  <c r="H55" i="8"/>
  <c r="G55" i="8"/>
  <c r="F55" i="8"/>
  <c r="D55" i="8"/>
  <c r="P351" i="8"/>
  <c r="O351" i="8"/>
  <c r="J351" i="8"/>
  <c r="I351" i="8"/>
  <c r="H351" i="8"/>
  <c r="G351" i="8"/>
  <c r="F351" i="8"/>
  <c r="D351" i="8"/>
  <c r="P86" i="8"/>
  <c r="O86" i="8" s="1"/>
  <c r="J86" i="8" s="1"/>
  <c r="I86" i="8"/>
  <c r="H86" i="8"/>
  <c r="G86" i="8"/>
  <c r="F86" i="8"/>
  <c r="D86" i="8"/>
  <c r="P334" i="8"/>
  <c r="O334" i="8"/>
  <c r="J334" i="8"/>
  <c r="I334" i="8"/>
  <c r="H334" i="8"/>
  <c r="G334" i="8"/>
  <c r="F334" i="8"/>
  <c r="D334" i="8"/>
  <c r="P230" i="8"/>
  <c r="O230" i="8"/>
  <c r="J230" i="8"/>
  <c r="I230" i="8"/>
  <c r="H230" i="8"/>
  <c r="G230" i="8"/>
  <c r="F230" i="8"/>
  <c r="D230" i="8"/>
  <c r="P43" i="8"/>
  <c r="O43" i="8" s="1"/>
  <c r="J43" i="8" s="1"/>
  <c r="I43" i="8"/>
  <c r="H43" i="8"/>
  <c r="G43" i="8"/>
  <c r="F43" i="8"/>
  <c r="D43" i="8"/>
  <c r="P176" i="8"/>
  <c r="O176" i="8"/>
  <c r="J176" i="8"/>
  <c r="I176" i="8"/>
  <c r="H176" i="8"/>
  <c r="G176" i="8"/>
  <c r="F176" i="8"/>
  <c r="D176" i="8"/>
  <c r="P183" i="8"/>
  <c r="O183" i="8" s="1"/>
  <c r="J183" i="8" s="1"/>
  <c r="I183" i="8"/>
  <c r="H183" i="8"/>
  <c r="G183" i="8"/>
  <c r="F183" i="8"/>
  <c r="D183" i="8"/>
  <c r="P31" i="8"/>
  <c r="O31" i="8" s="1"/>
  <c r="J31" i="8" s="1"/>
  <c r="I31" i="8"/>
  <c r="H31" i="8"/>
  <c r="G31" i="8"/>
  <c r="F31" i="8"/>
  <c r="D31" i="8"/>
  <c r="P325" i="8"/>
  <c r="O325" i="8"/>
  <c r="J325" i="8"/>
  <c r="I325" i="8"/>
  <c r="H325" i="8"/>
  <c r="G325" i="8"/>
  <c r="F325" i="8"/>
  <c r="D325" i="8"/>
  <c r="P291" i="8"/>
  <c r="O291" i="8"/>
  <c r="J291" i="8" s="1"/>
  <c r="I291" i="8"/>
  <c r="H291" i="8"/>
  <c r="G291" i="8"/>
  <c r="F291" i="8"/>
  <c r="D291" i="8"/>
  <c r="P97" i="8"/>
  <c r="O97" i="8" s="1"/>
  <c r="J97" i="8" s="1"/>
  <c r="I97" i="8"/>
  <c r="H97" i="8"/>
  <c r="G97" i="8"/>
  <c r="F97" i="8"/>
  <c r="D97" i="8"/>
  <c r="P96" i="8"/>
  <c r="O96" i="8" s="1"/>
  <c r="J96" i="8" s="1"/>
  <c r="I96" i="8"/>
  <c r="H96" i="8"/>
  <c r="G96" i="8"/>
  <c r="F96" i="8"/>
  <c r="D96" i="8"/>
  <c r="P9" i="8"/>
  <c r="O9" i="8"/>
  <c r="J9" i="8"/>
  <c r="I9" i="8"/>
  <c r="H9" i="8"/>
  <c r="G9" i="8"/>
  <c r="F9" i="8"/>
  <c r="D9" i="8"/>
  <c r="P8" i="8"/>
  <c r="O8" i="8" s="1"/>
  <c r="J8" i="8" s="1"/>
  <c r="I8" i="8"/>
  <c r="H8" i="8"/>
  <c r="G8" i="8"/>
  <c r="F8" i="8"/>
  <c r="D8" i="8"/>
  <c r="P234" i="8"/>
  <c r="O234" i="8"/>
  <c r="J234" i="8" s="1"/>
  <c r="I234" i="8"/>
  <c r="H234" i="8"/>
  <c r="G234" i="8"/>
  <c r="F234" i="8"/>
  <c r="D234" i="8"/>
  <c r="P301" i="8"/>
  <c r="O301" i="8"/>
  <c r="J301" i="8"/>
  <c r="I301" i="8"/>
  <c r="H301" i="8"/>
  <c r="G301" i="8"/>
  <c r="F301" i="8"/>
  <c r="D301" i="8"/>
  <c r="P340" i="8"/>
  <c r="O340" i="8" s="1"/>
  <c r="J340" i="8" s="1"/>
  <c r="I340" i="8"/>
  <c r="H340" i="8"/>
  <c r="G340" i="8"/>
  <c r="F340" i="8"/>
  <c r="D340" i="8"/>
  <c r="P244" i="8"/>
  <c r="O244" i="8"/>
  <c r="J244" i="8"/>
  <c r="I244" i="8"/>
  <c r="H244" i="8"/>
  <c r="G244" i="8"/>
  <c r="F244" i="8"/>
  <c r="D244" i="8"/>
  <c r="P268" i="8"/>
  <c r="O268" i="8"/>
  <c r="J268" i="8"/>
  <c r="I268" i="8"/>
  <c r="H268" i="8"/>
  <c r="G268" i="8"/>
  <c r="F268" i="8"/>
  <c r="D268" i="8"/>
  <c r="P84" i="8"/>
  <c r="O84" i="8" s="1"/>
  <c r="J84" i="8" s="1"/>
  <c r="I84" i="8"/>
  <c r="H84" i="8"/>
  <c r="G84" i="8"/>
  <c r="F84" i="8"/>
  <c r="D84" i="8"/>
  <c r="P58" i="8"/>
  <c r="O58" i="8"/>
  <c r="J58" i="8"/>
  <c r="I58" i="8"/>
  <c r="H58" i="8"/>
  <c r="G58" i="8"/>
  <c r="F58" i="8"/>
  <c r="D58" i="8"/>
  <c r="P44" i="8"/>
  <c r="O44" i="8"/>
  <c r="J44" i="8"/>
  <c r="I44" i="8"/>
  <c r="H44" i="8"/>
  <c r="G44" i="8"/>
  <c r="F44" i="8"/>
  <c r="D44" i="8"/>
  <c r="P216" i="8"/>
  <c r="O216" i="8" s="1"/>
  <c r="J216" i="8" s="1"/>
  <c r="I216" i="8"/>
  <c r="H216" i="8"/>
  <c r="G216" i="8"/>
  <c r="F216" i="8"/>
  <c r="D216" i="8"/>
  <c r="P67" i="8"/>
  <c r="O67" i="8"/>
  <c r="J67" i="8"/>
  <c r="I67" i="8"/>
  <c r="H67" i="8"/>
  <c r="G67" i="8"/>
  <c r="F67" i="8"/>
  <c r="D67" i="8"/>
  <c r="P314" i="8"/>
  <c r="O314" i="8" s="1"/>
  <c r="J314" i="8" s="1"/>
  <c r="I314" i="8"/>
  <c r="H314" i="8"/>
  <c r="G314" i="8"/>
  <c r="F314" i="8"/>
  <c r="D314" i="8"/>
  <c r="P51" i="8"/>
  <c r="O51" i="8" s="1"/>
  <c r="J51" i="8" s="1"/>
  <c r="I51" i="8"/>
  <c r="H51" i="8"/>
  <c r="G51" i="8"/>
  <c r="F51" i="8"/>
  <c r="D51" i="8"/>
  <c r="P260" i="8"/>
  <c r="O260" i="8"/>
  <c r="J260" i="8"/>
  <c r="I260" i="8"/>
  <c r="H260" i="8"/>
  <c r="G260" i="8"/>
  <c r="F260" i="8"/>
  <c r="D260" i="8"/>
  <c r="P89" i="8"/>
  <c r="O89" i="8"/>
  <c r="J89" i="8" s="1"/>
  <c r="I89" i="8"/>
  <c r="H89" i="8"/>
  <c r="G89" i="8"/>
  <c r="F89" i="8"/>
  <c r="D89" i="8"/>
  <c r="P259" i="8"/>
  <c r="O259" i="8" s="1"/>
  <c r="J259" i="8" s="1"/>
  <c r="I259" i="8"/>
  <c r="H259" i="8"/>
  <c r="G259" i="8"/>
  <c r="F259" i="8"/>
  <c r="D259" i="8"/>
  <c r="P249" i="8"/>
  <c r="O249" i="8" s="1"/>
  <c r="J249" i="8" s="1"/>
  <c r="I249" i="8"/>
  <c r="H249" i="8"/>
  <c r="G249" i="8"/>
  <c r="F249" i="8"/>
  <c r="D249" i="8"/>
  <c r="P242" i="8"/>
  <c r="O242" i="8"/>
  <c r="J242" i="8"/>
  <c r="I242" i="8"/>
  <c r="H242" i="8"/>
  <c r="G242" i="8"/>
  <c r="F242" i="8"/>
  <c r="D242" i="8"/>
  <c r="P355" i="8"/>
  <c r="O355" i="8" s="1"/>
  <c r="J355" i="8" s="1"/>
  <c r="I355" i="8"/>
  <c r="H355" i="8"/>
  <c r="G355" i="8"/>
  <c r="F355" i="8"/>
  <c r="D355" i="8"/>
  <c r="P227" i="8"/>
  <c r="O227" i="8"/>
  <c r="J227" i="8" s="1"/>
  <c r="I227" i="8"/>
  <c r="H227" i="8"/>
  <c r="G227" i="8"/>
  <c r="F227" i="8"/>
  <c r="D227" i="8"/>
  <c r="P339" i="8"/>
  <c r="O339" i="8"/>
  <c r="J339" i="8"/>
  <c r="I339" i="8"/>
  <c r="H339" i="8"/>
  <c r="G339" i="8"/>
  <c r="F339" i="8"/>
  <c r="D339" i="8"/>
  <c r="P12" i="8"/>
  <c r="O12" i="8" s="1"/>
  <c r="J12" i="8" s="1"/>
  <c r="I12" i="8"/>
  <c r="H12" i="8"/>
  <c r="G12" i="8"/>
  <c r="F12" i="8"/>
  <c r="D12" i="8"/>
  <c r="P85" i="8"/>
  <c r="O85" i="8"/>
  <c r="J85" i="8"/>
  <c r="I85" i="8"/>
  <c r="H85" i="8"/>
  <c r="G85" i="8"/>
  <c r="F85" i="8"/>
  <c r="D85" i="8"/>
  <c r="P77" i="8"/>
  <c r="O77" i="8"/>
  <c r="J77" i="8"/>
  <c r="I77" i="8"/>
  <c r="H77" i="8"/>
  <c r="G77" i="8"/>
  <c r="F77" i="8"/>
  <c r="D77" i="8"/>
  <c r="P202" i="8"/>
  <c r="O202" i="8" s="1"/>
  <c r="J202" i="8" s="1"/>
  <c r="I202" i="8"/>
  <c r="H202" i="8"/>
  <c r="G202" i="8"/>
  <c r="F202" i="8"/>
  <c r="D202" i="8"/>
  <c r="P313" i="8"/>
  <c r="O313" i="8"/>
  <c r="J313" i="8"/>
  <c r="I313" i="8"/>
  <c r="H313" i="8"/>
  <c r="G313" i="8"/>
  <c r="F313" i="8"/>
  <c r="D313" i="8"/>
  <c r="P219" i="8"/>
  <c r="O219" i="8"/>
  <c r="J219" i="8"/>
  <c r="I219" i="8"/>
  <c r="H219" i="8"/>
  <c r="G219" i="8"/>
  <c r="F219" i="8"/>
  <c r="D219" i="8"/>
  <c r="P363" i="8"/>
  <c r="O363" i="8" s="1"/>
  <c r="J363" i="8" s="1"/>
  <c r="I363" i="8"/>
  <c r="H363" i="8"/>
  <c r="G363" i="8"/>
  <c r="F363" i="8"/>
  <c r="D363" i="8"/>
  <c r="P65" i="8"/>
  <c r="O65" i="8"/>
  <c r="J65" i="8"/>
  <c r="I65" i="8"/>
  <c r="H65" i="8"/>
  <c r="G65" i="8"/>
  <c r="F65" i="8"/>
  <c r="D65" i="8"/>
  <c r="P201" i="8"/>
  <c r="O201" i="8" s="1"/>
  <c r="J201" i="8" s="1"/>
  <c r="I201" i="8"/>
  <c r="H201" i="8"/>
  <c r="G201" i="8"/>
  <c r="F201" i="8"/>
  <c r="D201" i="8"/>
  <c r="P108" i="8"/>
  <c r="O108" i="8" s="1"/>
  <c r="J108" i="8" s="1"/>
  <c r="I108" i="8"/>
  <c r="H108" i="8"/>
  <c r="G108" i="8"/>
  <c r="F108" i="8"/>
  <c r="D108" i="8"/>
  <c r="P75" i="8"/>
  <c r="O75" i="8"/>
  <c r="J75" i="8"/>
  <c r="I75" i="8"/>
  <c r="H75" i="8"/>
  <c r="G75" i="8"/>
  <c r="F75" i="8"/>
  <c r="D75" i="8"/>
  <c r="P7" i="8"/>
  <c r="O7" i="8"/>
  <c r="J7" i="8" s="1"/>
  <c r="I7" i="8"/>
  <c r="H7" i="8"/>
  <c r="G7" i="8"/>
  <c r="F7" i="8"/>
  <c r="D7" i="8"/>
  <c r="P130" i="8"/>
  <c r="O130" i="8" s="1"/>
  <c r="J130" i="8" s="1"/>
  <c r="I130" i="8"/>
  <c r="H130" i="8"/>
  <c r="G130" i="8"/>
  <c r="F130" i="8"/>
  <c r="D130" i="8"/>
  <c r="P155" i="8"/>
  <c r="O155" i="8" s="1"/>
  <c r="J155" i="8" s="1"/>
  <c r="I155" i="8"/>
  <c r="H155" i="8"/>
  <c r="G155" i="8"/>
  <c r="F155" i="8"/>
  <c r="D155" i="8"/>
  <c r="P41" i="8"/>
  <c r="O41" i="8"/>
  <c r="J41" i="8"/>
  <c r="I41" i="8"/>
  <c r="H41" i="8"/>
  <c r="G41" i="8"/>
  <c r="F41" i="8"/>
  <c r="D41" i="8"/>
  <c r="P166" i="8"/>
  <c r="O166" i="8" s="1"/>
  <c r="J166" i="8" s="1"/>
  <c r="I166" i="8"/>
  <c r="H166" i="8"/>
  <c r="G166" i="8"/>
  <c r="F166" i="8"/>
  <c r="D166" i="8"/>
  <c r="P71" i="8"/>
  <c r="O71" i="8"/>
  <c r="J71" i="8" s="1"/>
  <c r="I71" i="8"/>
  <c r="H71" i="8"/>
  <c r="G71" i="8"/>
  <c r="F71" i="8"/>
  <c r="D71" i="8"/>
  <c r="P277" i="8"/>
  <c r="O277" i="8"/>
  <c r="J277" i="8"/>
  <c r="I277" i="8"/>
  <c r="H277" i="8"/>
  <c r="G277" i="8"/>
  <c r="F277" i="8"/>
  <c r="D277" i="8"/>
  <c r="P17" i="8"/>
  <c r="O17" i="8" s="1"/>
  <c r="J17" i="8" s="1"/>
  <c r="I17" i="8"/>
  <c r="H17" i="8"/>
  <c r="G17" i="8"/>
  <c r="F17" i="8"/>
  <c r="D17" i="8"/>
  <c r="P88" i="8"/>
  <c r="O88" i="8"/>
  <c r="J88" i="8"/>
  <c r="I88" i="8"/>
  <c r="H88" i="8"/>
  <c r="G88" i="8"/>
  <c r="F88" i="8"/>
  <c r="D88" i="8"/>
  <c r="P299" i="8"/>
  <c r="O299" i="8"/>
  <c r="J299" i="8"/>
  <c r="I299" i="8"/>
  <c r="H299" i="8"/>
  <c r="G299" i="8"/>
  <c r="F299" i="8"/>
  <c r="D299" i="8"/>
  <c r="P205" i="8"/>
  <c r="O205" i="8" s="1"/>
  <c r="J205" i="8" s="1"/>
  <c r="I205" i="8"/>
  <c r="H205" i="8"/>
  <c r="G205" i="8"/>
  <c r="F205" i="8"/>
  <c r="D205" i="8"/>
  <c r="P354" i="8"/>
  <c r="O354" i="8"/>
  <c r="J354" i="8"/>
  <c r="I354" i="8"/>
  <c r="H354" i="8"/>
  <c r="G354" i="8"/>
  <c r="F354" i="8"/>
  <c r="D354" i="8"/>
  <c r="P236" i="8"/>
  <c r="O236" i="8"/>
  <c r="J236" i="8"/>
  <c r="I236" i="8"/>
  <c r="H236" i="8"/>
  <c r="G236" i="8"/>
  <c r="F236" i="8"/>
  <c r="D236" i="8"/>
  <c r="P24" i="8"/>
  <c r="O24" i="8" s="1"/>
  <c r="J24" i="8" s="1"/>
  <c r="I24" i="8"/>
  <c r="H24" i="8"/>
  <c r="G24" i="8"/>
  <c r="F24" i="8"/>
  <c r="D24" i="8"/>
  <c r="P217" i="8"/>
  <c r="O217" i="8"/>
  <c r="J217" i="8"/>
  <c r="I217" i="8"/>
  <c r="H217" i="8"/>
  <c r="G217" i="8"/>
  <c r="F217" i="8"/>
  <c r="D217" i="8"/>
  <c r="P360" i="8"/>
  <c r="O360" i="8" s="1"/>
  <c r="J360" i="8" s="1"/>
  <c r="I360" i="8"/>
  <c r="H360" i="8"/>
  <c r="G360" i="8"/>
  <c r="F360" i="8"/>
  <c r="D360" i="8"/>
  <c r="P261" i="8"/>
  <c r="O261" i="8" s="1"/>
  <c r="J261" i="8" s="1"/>
  <c r="I261" i="8"/>
  <c r="H261" i="8"/>
  <c r="G261" i="8"/>
  <c r="F261" i="8"/>
  <c r="D261" i="8"/>
  <c r="P200" i="8"/>
  <c r="O200" i="8"/>
  <c r="J200" i="8"/>
  <c r="I200" i="8"/>
  <c r="H200" i="8"/>
  <c r="G200" i="8"/>
  <c r="F200" i="8"/>
  <c r="D200" i="8"/>
  <c r="P165" i="8"/>
  <c r="O165" i="8"/>
  <c r="J165" i="8" s="1"/>
  <c r="I165" i="8"/>
  <c r="H165" i="8"/>
  <c r="G165" i="8"/>
  <c r="F165" i="8"/>
  <c r="D165" i="8"/>
  <c r="P228" i="8"/>
  <c r="O228" i="8" s="1"/>
  <c r="J228" i="8" s="1"/>
  <c r="I228" i="8"/>
  <c r="H228" i="8"/>
  <c r="G228" i="8"/>
  <c r="F228" i="8"/>
  <c r="D228" i="8"/>
  <c r="P53" i="8"/>
  <c r="O53" i="8" s="1"/>
  <c r="J53" i="8" s="1"/>
  <c r="I53" i="8"/>
  <c r="H53" i="8"/>
  <c r="G53" i="8"/>
  <c r="F53" i="8"/>
  <c r="D53" i="8"/>
  <c r="P315" i="8"/>
  <c r="O315" i="8"/>
  <c r="J315" i="8"/>
  <c r="I315" i="8"/>
  <c r="H315" i="8"/>
  <c r="G315" i="8"/>
  <c r="F315" i="8"/>
  <c r="D315" i="8"/>
  <c r="P308" i="8"/>
  <c r="O308" i="8" s="1"/>
  <c r="J308" i="8" s="1"/>
  <c r="I308" i="8"/>
  <c r="H308" i="8"/>
  <c r="G308" i="8"/>
  <c r="F308" i="8"/>
  <c r="D308" i="8"/>
  <c r="P307" i="8"/>
  <c r="O307" i="8"/>
  <c r="J307" i="8" s="1"/>
  <c r="I307" i="8"/>
  <c r="H307" i="8"/>
  <c r="G307" i="8"/>
  <c r="F307" i="8"/>
  <c r="D307" i="8"/>
  <c r="P362" i="8"/>
  <c r="O362" i="8"/>
  <c r="J362" i="8"/>
  <c r="I362" i="8"/>
  <c r="H362" i="8"/>
  <c r="G362" i="8"/>
  <c r="F362" i="8"/>
  <c r="D362" i="8"/>
  <c r="P309" i="8"/>
  <c r="O309" i="8" s="1"/>
  <c r="J309" i="8" s="1"/>
  <c r="I309" i="8"/>
  <c r="H309" i="8"/>
  <c r="G309" i="8"/>
  <c r="F309" i="8"/>
  <c r="D309" i="8"/>
  <c r="P222" i="8"/>
  <c r="O222" i="8"/>
  <c r="J222" i="8"/>
  <c r="I222" i="8"/>
  <c r="H222" i="8"/>
  <c r="G222" i="8"/>
  <c r="F222" i="8"/>
  <c r="D222" i="8"/>
  <c r="P273" i="8"/>
  <c r="O273" i="8"/>
  <c r="J273" i="8"/>
  <c r="I273" i="8"/>
  <c r="H273" i="8"/>
  <c r="G273" i="8"/>
  <c r="F273" i="8"/>
  <c r="D273" i="8"/>
  <c r="P6" i="8"/>
  <c r="O6" i="8" s="1"/>
  <c r="J6" i="8" s="1"/>
  <c r="I6" i="8"/>
  <c r="H6" i="8"/>
  <c r="G6" i="8"/>
  <c r="F6" i="8"/>
  <c r="D6" i="8"/>
  <c r="P278" i="8"/>
  <c r="O278" i="8"/>
  <c r="J278" i="8"/>
  <c r="I278" i="8"/>
  <c r="H278" i="8"/>
  <c r="G278" i="8"/>
  <c r="F278" i="8"/>
  <c r="D278" i="8"/>
  <c r="P126" i="8"/>
  <c r="O126" i="8"/>
  <c r="J126" i="8"/>
  <c r="I126" i="8"/>
  <c r="H126" i="8"/>
  <c r="G126" i="8"/>
  <c r="F126" i="8"/>
  <c r="D126" i="8"/>
  <c r="P154" i="8"/>
  <c r="O154" i="8" s="1"/>
  <c r="J154" i="8" s="1"/>
  <c r="I154" i="8"/>
  <c r="H154" i="8"/>
  <c r="G154" i="8"/>
  <c r="F154" i="8"/>
  <c r="D154" i="8"/>
  <c r="P290" i="8"/>
  <c r="O290" i="8"/>
  <c r="J290" i="8"/>
  <c r="I290" i="8"/>
  <c r="H290" i="8"/>
  <c r="G290" i="8"/>
  <c r="F290" i="8"/>
  <c r="D290" i="8"/>
  <c r="P189" i="8"/>
  <c r="O189" i="8" s="1"/>
  <c r="J189" i="8" s="1"/>
  <c r="I189" i="8"/>
  <c r="H189" i="8"/>
  <c r="G189" i="8"/>
  <c r="F189" i="8"/>
  <c r="D189" i="8"/>
  <c r="P271" i="8"/>
  <c r="O271" i="8" s="1"/>
  <c r="J271" i="8" s="1"/>
  <c r="I271" i="8"/>
  <c r="H271" i="8"/>
  <c r="G271" i="8"/>
  <c r="F271" i="8"/>
  <c r="D271" i="8"/>
  <c r="P303" i="8"/>
  <c r="O303" i="8"/>
  <c r="J303" i="8"/>
  <c r="I303" i="8"/>
  <c r="H303" i="8"/>
  <c r="G303" i="8"/>
  <c r="F303" i="8"/>
  <c r="D303" i="8"/>
  <c r="P250" i="8"/>
  <c r="O250" i="8"/>
  <c r="J250" i="8" s="1"/>
  <c r="I250" i="8"/>
  <c r="H250" i="8"/>
  <c r="G250" i="8"/>
  <c r="F250" i="8"/>
  <c r="D250" i="8"/>
  <c r="P208" i="8"/>
  <c r="O208" i="8" s="1"/>
  <c r="J208" i="8" s="1"/>
  <c r="I208" i="8"/>
  <c r="H208" i="8"/>
  <c r="G208" i="8"/>
  <c r="F208" i="8"/>
  <c r="D208" i="8"/>
  <c r="P209" i="8"/>
  <c r="O209" i="8" s="1"/>
  <c r="J209" i="8" s="1"/>
  <c r="I209" i="8"/>
  <c r="H209" i="8"/>
  <c r="G209" i="8"/>
  <c r="F209" i="8"/>
  <c r="D209" i="8"/>
  <c r="P210" i="8"/>
  <c r="O210" i="8"/>
  <c r="J210" i="8"/>
  <c r="I210" i="8"/>
  <c r="H210" i="8"/>
  <c r="G210" i="8"/>
  <c r="F210" i="8"/>
  <c r="D210" i="8"/>
  <c r="P64" i="8"/>
  <c r="O64" i="8" s="1"/>
  <c r="J64" i="8" s="1"/>
  <c r="I64" i="8"/>
  <c r="H64" i="8"/>
  <c r="G64" i="8"/>
  <c r="F64" i="8"/>
  <c r="D64" i="8"/>
  <c r="P192" i="8"/>
  <c r="O192" i="8"/>
  <c r="J192" i="8" s="1"/>
  <c r="I192" i="8"/>
  <c r="H192" i="8"/>
  <c r="G192" i="8"/>
  <c r="F192" i="8"/>
  <c r="D192" i="8"/>
  <c r="P109" i="8"/>
  <c r="O109" i="8"/>
  <c r="J109" i="8"/>
  <c r="I109" i="8"/>
  <c r="H109" i="8"/>
  <c r="G109" i="8"/>
  <c r="F109" i="8"/>
  <c r="D109" i="8"/>
  <c r="P207" i="8"/>
  <c r="O207" i="8" s="1"/>
  <c r="J207" i="8" s="1"/>
  <c r="I207" i="8"/>
  <c r="H207" i="8"/>
  <c r="G207" i="8"/>
  <c r="F207" i="8"/>
  <c r="D207" i="8"/>
  <c r="P184" i="8"/>
  <c r="O184" i="8"/>
  <c r="J184" i="8"/>
  <c r="I184" i="8"/>
  <c r="H184" i="8"/>
  <c r="G184" i="8"/>
  <c r="F184" i="8"/>
  <c r="D184" i="8"/>
  <c r="P194" i="8"/>
  <c r="O194" i="8"/>
  <c r="J194" i="8"/>
  <c r="I194" i="8"/>
  <c r="H194" i="8"/>
  <c r="G194" i="8"/>
  <c r="F194" i="8"/>
  <c r="D194" i="8"/>
  <c r="P111" i="8"/>
  <c r="O111" i="8" s="1"/>
  <c r="J111" i="8" s="1"/>
  <c r="I111" i="8"/>
  <c r="H111" i="8"/>
  <c r="G111" i="8"/>
  <c r="F111" i="8"/>
  <c r="D111" i="8"/>
  <c r="P110" i="8"/>
  <c r="O110" i="8"/>
  <c r="J110" i="8"/>
  <c r="I110" i="8"/>
  <c r="H110" i="8"/>
  <c r="G110" i="8"/>
  <c r="F110" i="8"/>
  <c r="D110" i="8"/>
  <c r="P109" i="7"/>
  <c r="O109" i="7" s="1"/>
  <c r="J109" i="7" s="1"/>
  <c r="I109" i="7"/>
  <c r="H109" i="7"/>
  <c r="G109" i="7"/>
  <c r="F109" i="7"/>
  <c r="D109" i="7"/>
  <c r="P108" i="7"/>
  <c r="O108" i="7" s="1"/>
  <c r="J108" i="7" s="1"/>
  <c r="I108" i="7"/>
  <c r="H108" i="7"/>
  <c r="G108" i="7"/>
  <c r="F108" i="7"/>
  <c r="D108" i="7"/>
  <c r="P107" i="7"/>
  <c r="O107" i="7"/>
  <c r="J107" i="7"/>
  <c r="I107" i="7"/>
  <c r="H107" i="7"/>
  <c r="G107" i="7"/>
  <c r="F107" i="7"/>
  <c r="D107" i="7"/>
  <c r="P106" i="7"/>
  <c r="O106" i="7" s="1"/>
  <c r="J106" i="7" s="1"/>
  <c r="I106" i="7"/>
  <c r="H106" i="7"/>
  <c r="G106" i="7"/>
  <c r="F106" i="7"/>
  <c r="D106" i="7"/>
  <c r="P105" i="7"/>
  <c r="O105" i="7" s="1"/>
  <c r="J105" i="7"/>
  <c r="I105" i="7"/>
  <c r="H105" i="7"/>
  <c r="G105" i="7"/>
  <c r="F105" i="7"/>
  <c r="D105" i="7"/>
  <c r="P104" i="7"/>
  <c r="O104" i="7" s="1"/>
  <c r="J104" i="7" s="1"/>
  <c r="I104" i="7"/>
  <c r="H104" i="7"/>
  <c r="G104" i="7"/>
  <c r="F104" i="7"/>
  <c r="D104" i="7"/>
  <c r="P103" i="7"/>
  <c r="O103" i="7"/>
  <c r="J103" i="7" s="1"/>
  <c r="I103" i="7"/>
  <c r="H103" i="7"/>
  <c r="G103" i="7"/>
  <c r="F103" i="7"/>
  <c r="D103" i="7"/>
  <c r="P102" i="7"/>
  <c r="O102" i="7" s="1"/>
  <c r="J102" i="7" s="1"/>
  <c r="I102" i="7"/>
  <c r="H102" i="7"/>
  <c r="G102" i="7"/>
  <c r="F102" i="7"/>
  <c r="D102" i="7"/>
  <c r="P101" i="7"/>
  <c r="O101" i="7"/>
  <c r="J101" i="7" s="1"/>
  <c r="I101" i="7"/>
  <c r="H101" i="7"/>
  <c r="G101" i="7"/>
  <c r="F101" i="7"/>
  <c r="D101" i="7"/>
  <c r="P100" i="7"/>
  <c r="O100" i="7"/>
  <c r="J100" i="7"/>
  <c r="I100" i="7"/>
  <c r="H100" i="7"/>
  <c r="G100" i="7"/>
  <c r="F100" i="7"/>
  <c r="D100" i="7"/>
  <c r="P99" i="7"/>
  <c r="O99" i="7" s="1"/>
  <c r="J99" i="7" s="1"/>
  <c r="I99" i="7"/>
  <c r="H99" i="7"/>
  <c r="G99" i="7"/>
  <c r="F99" i="7"/>
  <c r="D99" i="7"/>
  <c r="P98" i="7"/>
  <c r="O98" i="7"/>
  <c r="J98" i="7"/>
  <c r="I98" i="7"/>
  <c r="H98" i="7"/>
  <c r="G98" i="7"/>
  <c r="F98" i="7"/>
  <c r="D98" i="7"/>
  <c r="P97" i="7"/>
  <c r="O97" i="7" s="1"/>
  <c r="J97" i="7" s="1"/>
  <c r="I97" i="7"/>
  <c r="H97" i="7"/>
  <c r="G97" i="7"/>
  <c r="F97" i="7"/>
  <c r="D97" i="7"/>
  <c r="P96" i="7"/>
  <c r="O96" i="7" s="1"/>
  <c r="J96" i="7" s="1"/>
  <c r="I96" i="7"/>
  <c r="H96" i="7"/>
  <c r="G96" i="7"/>
  <c r="F96" i="7"/>
  <c r="D96" i="7"/>
  <c r="P95" i="7"/>
  <c r="O95" i="7" s="1"/>
  <c r="J95" i="7" s="1"/>
  <c r="I95" i="7"/>
  <c r="H95" i="7"/>
  <c r="G95" i="7"/>
  <c r="F95" i="7"/>
  <c r="D95" i="7"/>
  <c r="P94" i="7"/>
  <c r="O94" i="7" s="1"/>
  <c r="J94" i="7" s="1"/>
  <c r="I94" i="7"/>
  <c r="H94" i="7"/>
  <c r="G94" i="7"/>
  <c r="F94" i="7"/>
  <c r="D94" i="7"/>
  <c r="P93" i="7"/>
  <c r="O93" i="7" s="1"/>
  <c r="J93" i="7" s="1"/>
  <c r="I93" i="7"/>
  <c r="H93" i="7"/>
  <c r="G93" i="7"/>
  <c r="F93" i="7"/>
  <c r="D93" i="7"/>
  <c r="P92" i="7"/>
  <c r="O92" i="7" s="1"/>
  <c r="J92" i="7" s="1"/>
  <c r="I92" i="7"/>
  <c r="H92" i="7"/>
  <c r="G92" i="7"/>
  <c r="F92" i="7"/>
  <c r="D92" i="7"/>
  <c r="P91" i="7"/>
  <c r="O91" i="7"/>
  <c r="J91" i="7" s="1"/>
  <c r="I91" i="7"/>
  <c r="H91" i="7"/>
  <c r="G91" i="7"/>
  <c r="F91" i="7"/>
  <c r="D91" i="7"/>
  <c r="P90" i="7"/>
  <c r="O90" i="7" s="1"/>
  <c r="J90" i="7" s="1"/>
  <c r="I90" i="7"/>
  <c r="H90" i="7"/>
  <c r="G90" i="7"/>
  <c r="F90" i="7"/>
  <c r="D90" i="7"/>
  <c r="P89" i="7"/>
  <c r="O89" i="7" s="1"/>
  <c r="J89" i="7" s="1"/>
  <c r="I89" i="7"/>
  <c r="H89" i="7"/>
  <c r="G89" i="7"/>
  <c r="F89" i="7"/>
  <c r="D89" i="7"/>
  <c r="P88" i="7"/>
  <c r="O88" i="7"/>
  <c r="J88" i="7" s="1"/>
  <c r="I88" i="7"/>
  <c r="H88" i="7"/>
  <c r="G88" i="7"/>
  <c r="F88" i="7"/>
  <c r="D88" i="7"/>
  <c r="P87" i="7"/>
  <c r="O87" i="7" s="1"/>
  <c r="J87" i="7"/>
  <c r="I87" i="7"/>
  <c r="H87" i="7"/>
  <c r="G87" i="7"/>
  <c r="F87" i="7"/>
  <c r="D87" i="7"/>
  <c r="P86" i="7"/>
  <c r="O86" i="7" s="1"/>
  <c r="J86" i="7" s="1"/>
  <c r="I86" i="7"/>
  <c r="H86" i="7"/>
  <c r="G86" i="7"/>
  <c r="F86" i="7"/>
  <c r="D86" i="7"/>
  <c r="P85" i="7"/>
  <c r="O85" i="7"/>
  <c r="J85" i="7"/>
  <c r="I85" i="7"/>
  <c r="H85" i="7"/>
  <c r="G85" i="7"/>
  <c r="F85" i="7"/>
  <c r="D85" i="7"/>
  <c r="P84" i="7"/>
  <c r="O84" i="7" s="1"/>
  <c r="J84" i="7"/>
  <c r="I84" i="7"/>
  <c r="H84" i="7"/>
  <c r="G84" i="7"/>
  <c r="F84" i="7"/>
  <c r="D84" i="7"/>
  <c r="P83" i="7"/>
  <c r="O83" i="7"/>
  <c r="J83" i="7" s="1"/>
  <c r="I83" i="7"/>
  <c r="H83" i="7"/>
  <c r="G83" i="7"/>
  <c r="F83" i="7"/>
  <c r="D83" i="7"/>
  <c r="P82" i="7"/>
  <c r="O82" i="7"/>
  <c r="J82" i="7"/>
  <c r="I82" i="7"/>
  <c r="H82" i="7"/>
  <c r="G82" i="7"/>
  <c r="F82" i="7"/>
  <c r="D82" i="7"/>
  <c r="P81" i="7"/>
  <c r="O81" i="7" s="1"/>
  <c r="J81" i="7" s="1"/>
  <c r="I81" i="7"/>
  <c r="H81" i="7"/>
  <c r="G81" i="7"/>
  <c r="F81" i="7"/>
  <c r="D81" i="7"/>
  <c r="P80" i="7"/>
  <c r="O80" i="7"/>
  <c r="J80" i="7"/>
  <c r="I80" i="7"/>
  <c r="H80" i="7"/>
  <c r="G80" i="7"/>
  <c r="F80" i="7"/>
  <c r="D80" i="7"/>
  <c r="P79" i="7"/>
  <c r="O79" i="7" s="1"/>
  <c r="J79" i="7" s="1"/>
  <c r="I79" i="7"/>
  <c r="H79" i="7"/>
  <c r="G79" i="7"/>
  <c r="F79" i="7"/>
  <c r="D79" i="7"/>
  <c r="P78" i="7"/>
  <c r="O78" i="7" s="1"/>
  <c r="J78" i="7" s="1"/>
  <c r="I78" i="7"/>
  <c r="H78" i="7"/>
  <c r="G78" i="7"/>
  <c r="F78" i="7"/>
  <c r="D78" i="7"/>
  <c r="P77" i="7"/>
  <c r="O77" i="7"/>
  <c r="J77" i="7"/>
  <c r="I77" i="7"/>
  <c r="H77" i="7"/>
  <c r="G77" i="7"/>
  <c r="F77" i="7"/>
  <c r="D77" i="7"/>
  <c r="P76" i="7"/>
  <c r="O76" i="7" s="1"/>
  <c r="J76" i="7" s="1"/>
  <c r="I76" i="7"/>
  <c r="H76" i="7"/>
  <c r="G76" i="7"/>
  <c r="F76" i="7"/>
  <c r="D76" i="7"/>
  <c r="P75" i="7"/>
  <c r="O75" i="7" s="1"/>
  <c r="J75" i="7"/>
  <c r="I75" i="7"/>
  <c r="H75" i="7"/>
  <c r="G75" i="7"/>
  <c r="F75" i="7"/>
  <c r="D75" i="7"/>
  <c r="P74" i="7"/>
  <c r="O74" i="7" s="1"/>
  <c r="J74" i="7" s="1"/>
  <c r="I74" i="7"/>
  <c r="H74" i="7"/>
  <c r="G74" i="7"/>
  <c r="F74" i="7"/>
  <c r="D74" i="7"/>
  <c r="P73" i="7"/>
  <c r="O73" i="7"/>
  <c r="J73" i="7"/>
  <c r="I73" i="7"/>
  <c r="H73" i="7"/>
  <c r="G73" i="7"/>
  <c r="F73" i="7"/>
  <c r="D73" i="7"/>
  <c r="P72" i="7"/>
  <c r="O72" i="7" s="1"/>
  <c r="J72" i="7"/>
  <c r="I72" i="7"/>
  <c r="H72" i="7"/>
  <c r="G72" i="7"/>
  <c r="F72" i="7"/>
  <c r="D72" i="7"/>
  <c r="P71" i="7"/>
  <c r="O71" i="7"/>
  <c r="J71" i="7" s="1"/>
  <c r="I71" i="7"/>
  <c r="H71" i="7"/>
  <c r="G71" i="7"/>
  <c r="F71" i="7"/>
  <c r="D71" i="7"/>
  <c r="P70" i="7"/>
  <c r="O70" i="7" s="1"/>
  <c r="J70" i="7" s="1"/>
  <c r="I70" i="7"/>
  <c r="H70" i="7"/>
  <c r="G70" i="7"/>
  <c r="F70" i="7"/>
  <c r="D70" i="7"/>
  <c r="P69" i="7"/>
  <c r="O69" i="7" s="1"/>
  <c r="J69" i="7" s="1"/>
  <c r="I69" i="7"/>
  <c r="H69" i="7"/>
  <c r="G69" i="7"/>
  <c r="F69" i="7"/>
  <c r="D69" i="7"/>
  <c r="P68" i="7"/>
  <c r="O68" i="7" s="1"/>
  <c r="J68" i="7" s="1"/>
  <c r="I68" i="7"/>
  <c r="H68" i="7"/>
  <c r="G68" i="7"/>
  <c r="F68" i="7"/>
  <c r="D68" i="7"/>
  <c r="P67" i="7"/>
  <c r="O67" i="7" s="1"/>
  <c r="J67" i="7" s="1"/>
  <c r="I67" i="7"/>
  <c r="H67" i="7"/>
  <c r="G67" i="7"/>
  <c r="F67" i="7"/>
  <c r="D67" i="7"/>
  <c r="P66" i="7"/>
  <c r="O66" i="7" s="1"/>
  <c r="J66" i="7"/>
  <c r="I66" i="7"/>
  <c r="H66" i="7"/>
  <c r="G66" i="7"/>
  <c r="F66" i="7"/>
  <c r="D66" i="7"/>
  <c r="P65" i="7"/>
  <c r="O65" i="7"/>
  <c r="J65" i="7" s="1"/>
  <c r="I65" i="7"/>
  <c r="H65" i="7"/>
  <c r="G65" i="7"/>
  <c r="F65" i="7"/>
  <c r="D65" i="7"/>
  <c r="P64" i="7"/>
  <c r="O64" i="7"/>
  <c r="J64" i="7" s="1"/>
  <c r="I64" i="7"/>
  <c r="H64" i="7"/>
  <c r="G64" i="7"/>
  <c r="F64" i="7"/>
  <c r="D64" i="7"/>
  <c r="P63" i="7"/>
  <c r="O63" i="7" s="1"/>
  <c r="J63" i="7" s="1"/>
  <c r="I63" i="7"/>
  <c r="H63" i="7"/>
  <c r="G63" i="7"/>
  <c r="F63" i="7"/>
  <c r="D63" i="7"/>
  <c r="P62" i="7"/>
  <c r="O62" i="7"/>
  <c r="J62" i="7" s="1"/>
  <c r="I62" i="7"/>
  <c r="H62" i="7"/>
  <c r="G62" i="7"/>
  <c r="F62" i="7"/>
  <c r="D62" i="7"/>
  <c r="P61" i="7"/>
  <c r="O61" i="7" s="1"/>
  <c r="J61" i="7" s="1"/>
  <c r="I61" i="7"/>
  <c r="H61" i="7"/>
  <c r="G61" i="7"/>
  <c r="F61" i="7"/>
  <c r="D61" i="7"/>
  <c r="P60" i="7"/>
  <c r="O60" i="7" s="1"/>
  <c r="J60" i="7" s="1"/>
  <c r="I60" i="7"/>
  <c r="H60" i="7"/>
  <c r="G60" i="7"/>
  <c r="F60" i="7"/>
  <c r="D60" i="7"/>
  <c r="P59" i="7"/>
  <c r="O59" i="7" s="1"/>
  <c r="J59" i="7" s="1"/>
  <c r="I59" i="7"/>
  <c r="H59" i="7"/>
  <c r="G59" i="7"/>
  <c r="F59" i="7"/>
  <c r="D59" i="7"/>
  <c r="P58" i="7"/>
  <c r="O58" i="7" s="1"/>
  <c r="J58" i="7" s="1"/>
  <c r="I58" i="7"/>
  <c r="H58" i="7"/>
  <c r="G58" i="7"/>
  <c r="F58" i="7"/>
  <c r="D58" i="7"/>
  <c r="P57" i="7"/>
  <c r="O57" i="7" s="1"/>
  <c r="J57" i="7"/>
  <c r="I57" i="7"/>
  <c r="H57" i="7"/>
  <c r="G57" i="7"/>
  <c r="F57" i="7"/>
  <c r="D57" i="7"/>
  <c r="P56" i="7"/>
  <c r="O56" i="7" s="1"/>
  <c r="J56" i="7" s="1"/>
  <c r="I56" i="7"/>
  <c r="H56" i="7"/>
  <c r="G56" i="7"/>
  <c r="F56" i="7"/>
  <c r="D56" i="7"/>
  <c r="P55" i="7"/>
  <c r="O55" i="7"/>
  <c r="J55" i="7" s="1"/>
  <c r="I55" i="7"/>
  <c r="H55" i="7"/>
  <c r="G55" i="7"/>
  <c r="F55" i="7"/>
  <c r="D55" i="7"/>
  <c r="P54" i="7"/>
  <c r="O54" i="7" s="1"/>
  <c r="J54" i="7" s="1"/>
  <c r="I54" i="7"/>
  <c r="H54" i="7"/>
  <c r="G54" i="7"/>
  <c r="F54" i="7"/>
  <c r="D54" i="7"/>
  <c r="P53" i="7"/>
  <c r="O53" i="7" s="1"/>
  <c r="J53" i="7" s="1"/>
  <c r="I53" i="7"/>
  <c r="H53" i="7"/>
  <c r="G53" i="7"/>
  <c r="F53" i="7"/>
  <c r="D53" i="7"/>
  <c r="P52" i="7"/>
  <c r="O52" i="7"/>
  <c r="J52" i="7"/>
  <c r="I52" i="7"/>
  <c r="H52" i="7"/>
  <c r="G52" i="7"/>
  <c r="F52" i="7"/>
  <c r="D52" i="7"/>
  <c r="P51" i="7"/>
  <c r="O51" i="7" s="1"/>
  <c r="J51" i="7"/>
  <c r="I51" i="7"/>
  <c r="H51" i="7"/>
  <c r="G51" i="7"/>
  <c r="F51" i="7"/>
  <c r="D51" i="7"/>
  <c r="P50" i="7"/>
  <c r="O50" i="7" s="1"/>
  <c r="J50" i="7" s="1"/>
  <c r="I50" i="7"/>
  <c r="H50" i="7"/>
  <c r="G50" i="7"/>
  <c r="F50" i="7"/>
  <c r="D50" i="7"/>
  <c r="P49" i="7"/>
  <c r="O49" i="7" s="1"/>
  <c r="J49" i="7" s="1"/>
  <c r="I49" i="7"/>
  <c r="H49" i="7"/>
  <c r="G49" i="7"/>
  <c r="F49" i="7"/>
  <c r="D49" i="7"/>
  <c r="P48" i="7"/>
  <c r="O48" i="7" s="1"/>
  <c r="J48" i="7"/>
  <c r="I48" i="7"/>
  <c r="H48" i="7"/>
  <c r="G48" i="7"/>
  <c r="F48" i="7"/>
  <c r="D48" i="7"/>
  <c r="P47" i="7"/>
  <c r="O47" i="7"/>
  <c r="J47" i="7" s="1"/>
  <c r="I47" i="7"/>
  <c r="H47" i="7"/>
  <c r="G47" i="7"/>
  <c r="F47" i="7"/>
  <c r="D47" i="7"/>
  <c r="P46" i="7"/>
  <c r="O46" i="7"/>
  <c r="J46" i="7"/>
  <c r="I46" i="7"/>
  <c r="H46" i="7"/>
  <c r="G46" i="7"/>
  <c r="F46" i="7"/>
  <c r="D46" i="7"/>
  <c r="P45" i="7"/>
  <c r="O45" i="7" s="1"/>
  <c r="J45" i="7" s="1"/>
  <c r="I45" i="7"/>
  <c r="H45" i="7"/>
  <c r="G45" i="7"/>
  <c r="F45" i="7"/>
  <c r="D45" i="7"/>
  <c r="P44" i="7"/>
  <c r="O44" i="7" s="1"/>
  <c r="J44" i="7" s="1"/>
  <c r="I44" i="7"/>
  <c r="H44" i="7"/>
  <c r="G44" i="7"/>
  <c r="F44" i="7"/>
  <c r="D44" i="7"/>
  <c r="P43" i="7"/>
  <c r="O43" i="7" s="1"/>
  <c r="J43" i="7"/>
  <c r="I43" i="7"/>
  <c r="H43" i="7"/>
  <c r="G43" i="7"/>
  <c r="F43" i="7"/>
  <c r="D43" i="7"/>
  <c r="P42" i="7"/>
  <c r="O42" i="7" s="1"/>
  <c r="J42" i="7" s="1"/>
  <c r="I42" i="7"/>
  <c r="H42" i="7"/>
  <c r="G42" i="7"/>
  <c r="F42" i="7"/>
  <c r="D42" i="7"/>
  <c r="P41" i="7"/>
  <c r="O41" i="7"/>
  <c r="J41" i="7"/>
  <c r="I41" i="7"/>
  <c r="H41" i="7"/>
  <c r="G41" i="7"/>
  <c r="F41" i="7"/>
  <c r="D41" i="7"/>
  <c r="P40" i="7"/>
  <c r="O40" i="7" s="1"/>
  <c r="J40" i="7" s="1"/>
  <c r="I40" i="7"/>
  <c r="H40" i="7"/>
  <c r="G40" i="7"/>
  <c r="F40" i="7"/>
  <c r="D40" i="7"/>
  <c r="P39" i="7"/>
  <c r="O39" i="7" s="1"/>
  <c r="J39" i="7"/>
  <c r="I39" i="7"/>
  <c r="H39" i="7"/>
  <c r="G39" i="7"/>
  <c r="F39" i="7"/>
  <c r="D39" i="7"/>
  <c r="P38" i="7"/>
  <c r="O38" i="7" s="1"/>
  <c r="J38" i="7" s="1"/>
  <c r="I38" i="7"/>
  <c r="H38" i="7"/>
  <c r="G38" i="7"/>
  <c r="F38" i="7"/>
  <c r="D38" i="7"/>
  <c r="P37" i="7"/>
  <c r="O37" i="7" s="1"/>
  <c r="J37" i="7" s="1"/>
  <c r="I37" i="7"/>
  <c r="H37" i="7"/>
  <c r="G37" i="7"/>
  <c r="F37" i="7"/>
  <c r="D37" i="7"/>
  <c r="P36" i="7"/>
  <c r="O36" i="7" s="1"/>
  <c r="J36" i="7" s="1"/>
  <c r="I36" i="7"/>
  <c r="H36" i="7"/>
  <c r="G36" i="7"/>
  <c r="F36" i="7"/>
  <c r="D36" i="7"/>
  <c r="P35" i="7"/>
  <c r="O35" i="7"/>
  <c r="J35" i="7" s="1"/>
  <c r="I35" i="7"/>
  <c r="H35" i="7"/>
  <c r="G35" i="7"/>
  <c r="F35" i="7"/>
  <c r="D35" i="7"/>
  <c r="P34" i="7"/>
  <c r="O34" i="7" s="1"/>
  <c r="J34" i="7" s="1"/>
  <c r="I34" i="7"/>
  <c r="H34" i="7"/>
  <c r="G34" i="7"/>
  <c r="F34" i="7"/>
  <c r="D34" i="7"/>
  <c r="P33" i="7"/>
  <c r="O33" i="7" s="1"/>
  <c r="J33" i="7"/>
  <c r="I33" i="7"/>
  <c r="H33" i="7"/>
  <c r="G33" i="7"/>
  <c r="F33" i="7"/>
  <c r="D33" i="7"/>
  <c r="P32" i="7"/>
  <c r="O32" i="7" s="1"/>
  <c r="J32" i="7" s="1"/>
  <c r="I32" i="7"/>
  <c r="H32" i="7"/>
  <c r="G32" i="7"/>
  <c r="F32" i="7"/>
  <c r="D32" i="7"/>
  <c r="P31" i="7"/>
  <c r="O31" i="7"/>
  <c r="J31" i="7" s="1"/>
  <c r="I31" i="7"/>
  <c r="H31" i="7"/>
  <c r="G31" i="7"/>
  <c r="F31" i="7"/>
  <c r="D31" i="7"/>
  <c r="P30" i="7"/>
  <c r="O30" i="7" s="1"/>
  <c r="J30" i="7" s="1"/>
  <c r="I30" i="7"/>
  <c r="H30" i="7"/>
  <c r="G30" i="7"/>
  <c r="F30" i="7"/>
  <c r="D30" i="7"/>
  <c r="P29" i="7"/>
  <c r="O29" i="7" s="1"/>
  <c r="J29" i="7" s="1"/>
  <c r="I29" i="7"/>
  <c r="H29" i="7"/>
  <c r="G29" i="7"/>
  <c r="F29" i="7"/>
  <c r="D29" i="7"/>
  <c r="P28" i="7"/>
  <c r="O28" i="7" s="1"/>
  <c r="J28" i="7" s="1"/>
  <c r="I28" i="7"/>
  <c r="H28" i="7"/>
  <c r="G28" i="7"/>
  <c r="F28" i="7"/>
  <c r="D28" i="7"/>
  <c r="P27" i="7"/>
  <c r="O27" i="7" s="1"/>
  <c r="J27" i="7"/>
  <c r="I27" i="7"/>
  <c r="H27" i="7"/>
  <c r="G27" i="7"/>
  <c r="F27" i="7"/>
  <c r="D27" i="7"/>
  <c r="P26" i="7"/>
  <c r="O26" i="7"/>
  <c r="J26" i="7" s="1"/>
  <c r="I26" i="7"/>
  <c r="H26" i="7"/>
  <c r="G26" i="7"/>
  <c r="F26" i="7"/>
  <c r="D26" i="7"/>
  <c r="P25" i="7"/>
  <c r="O25" i="7" s="1"/>
  <c r="J25" i="7" s="1"/>
  <c r="I25" i="7"/>
  <c r="H25" i="7"/>
  <c r="G25" i="7"/>
  <c r="F25" i="7"/>
  <c r="P24" i="7"/>
  <c r="O24" i="7" s="1"/>
  <c r="J24" i="7"/>
  <c r="I24" i="7"/>
  <c r="H24" i="7"/>
  <c r="G24" i="7"/>
  <c r="F24" i="7"/>
  <c r="D24" i="7"/>
  <c r="P23" i="7"/>
  <c r="O23" i="7" s="1"/>
  <c r="J23" i="7" s="1"/>
  <c r="I23" i="7"/>
  <c r="H23" i="7"/>
  <c r="G23" i="7"/>
  <c r="F23" i="7"/>
  <c r="D23" i="7"/>
  <c r="P22" i="7"/>
  <c r="O22" i="7"/>
  <c r="J22" i="7"/>
  <c r="I22" i="7"/>
  <c r="H22" i="7"/>
  <c r="G22" i="7"/>
  <c r="F22" i="7"/>
  <c r="D22" i="7"/>
  <c r="P21" i="7"/>
  <c r="O21" i="7" s="1"/>
  <c r="J21" i="7" s="1"/>
  <c r="I21" i="7"/>
  <c r="H21" i="7"/>
  <c r="G21" i="7"/>
  <c r="F21" i="7"/>
  <c r="D21" i="7"/>
  <c r="P20" i="7"/>
  <c r="O20" i="7" s="1"/>
  <c r="J20" i="7" s="1"/>
  <c r="I20" i="7"/>
  <c r="H20" i="7"/>
  <c r="G20" i="7"/>
  <c r="F20" i="7"/>
  <c r="D20" i="7"/>
  <c r="P19" i="7"/>
  <c r="O19" i="7" s="1"/>
  <c r="J19" i="7" s="1"/>
  <c r="I19" i="7"/>
  <c r="H19" i="7"/>
  <c r="G19" i="7"/>
  <c r="F19" i="7"/>
  <c r="D19" i="7"/>
  <c r="P18" i="7"/>
  <c r="O18" i="7" s="1"/>
  <c r="J18" i="7" s="1"/>
  <c r="I18" i="7"/>
  <c r="H18" i="7"/>
  <c r="G18" i="7"/>
  <c r="F18" i="7"/>
  <c r="D18" i="7"/>
  <c r="P17" i="7"/>
  <c r="O17" i="7"/>
  <c r="J17" i="7"/>
  <c r="I17" i="7"/>
  <c r="H17" i="7"/>
  <c r="G17" i="7"/>
  <c r="F17" i="7"/>
  <c r="D17" i="7"/>
  <c r="P16" i="7"/>
  <c r="O16" i="7" s="1"/>
  <c r="J16" i="7" s="1"/>
  <c r="I16" i="7"/>
  <c r="H16" i="7"/>
  <c r="G16" i="7"/>
  <c r="F16" i="7"/>
  <c r="D16" i="7"/>
  <c r="P15" i="7"/>
  <c r="O15" i="7" s="1"/>
  <c r="J15" i="7" s="1"/>
  <c r="I15" i="7"/>
  <c r="H15" i="7"/>
  <c r="G15" i="7"/>
  <c r="F15" i="7"/>
  <c r="D15" i="7"/>
  <c r="P14" i="7"/>
  <c r="O14" i="7"/>
  <c r="J14" i="7" s="1"/>
  <c r="I14" i="7"/>
  <c r="H14" i="7"/>
  <c r="G14" i="7"/>
  <c r="F14" i="7"/>
  <c r="D14" i="7"/>
  <c r="P13" i="7"/>
  <c r="O13" i="7" s="1"/>
  <c r="J13" i="7" s="1"/>
  <c r="I13" i="7"/>
  <c r="H13" i="7"/>
  <c r="G13" i="7"/>
  <c r="F13" i="7"/>
  <c r="D13" i="7"/>
  <c r="P12" i="7"/>
  <c r="O12" i="7" s="1"/>
  <c r="J12" i="7" s="1"/>
  <c r="I12" i="7"/>
  <c r="H12" i="7"/>
  <c r="G12" i="7"/>
  <c r="F12" i="7"/>
  <c r="D12" i="7"/>
  <c r="P11" i="7"/>
  <c r="O11" i="7"/>
  <c r="J11" i="7"/>
  <c r="I11" i="7"/>
  <c r="H11" i="7"/>
  <c r="G11" i="7"/>
  <c r="F11" i="7"/>
  <c r="D11" i="7"/>
  <c r="P10" i="7"/>
  <c r="O10" i="7"/>
  <c r="J10" i="7" s="1"/>
  <c r="I10" i="7"/>
  <c r="H10" i="7"/>
  <c r="G10" i="7"/>
  <c r="F10" i="7"/>
  <c r="D10" i="7"/>
  <c r="P9" i="7"/>
  <c r="O9" i="7" s="1"/>
  <c r="J9" i="7" s="1"/>
  <c r="I9" i="7"/>
  <c r="H9" i="7"/>
  <c r="G9" i="7"/>
  <c r="F9" i="7"/>
  <c r="D9" i="7"/>
  <c r="P8" i="7"/>
  <c r="O8" i="7"/>
  <c r="J8" i="7" s="1"/>
  <c r="I8" i="7"/>
  <c r="H8" i="7"/>
  <c r="G8" i="7"/>
  <c r="F8" i="7"/>
  <c r="D8" i="7"/>
  <c r="P7" i="7"/>
  <c r="O7" i="7" s="1"/>
  <c r="J7" i="7" s="1"/>
  <c r="I7" i="7"/>
  <c r="H7" i="7"/>
  <c r="G7" i="7"/>
  <c r="F7" i="7"/>
  <c r="D7" i="7"/>
  <c r="P6" i="7"/>
  <c r="O6" i="7" s="1"/>
  <c r="J6" i="7"/>
  <c r="I6" i="7"/>
  <c r="H6" i="7"/>
  <c r="G6" i="7"/>
  <c r="F6" i="7"/>
  <c r="D6" i="7"/>
  <c r="P5" i="7"/>
  <c r="O5" i="7" s="1"/>
  <c r="J5" i="7" s="1"/>
  <c r="I5" i="7"/>
  <c r="H5" i="7"/>
  <c r="G5" i="7"/>
  <c r="F5" i="7"/>
  <c r="D5" i="7"/>
  <c r="P4" i="7"/>
  <c r="O4" i="7" s="1"/>
  <c r="J4" i="7" s="1"/>
  <c r="I4" i="7"/>
  <c r="H4" i="7"/>
  <c r="G4" i="7"/>
  <c r="F4" i="7"/>
  <c r="D4" i="7"/>
  <c r="P3" i="7"/>
  <c r="O3" i="7" s="1"/>
  <c r="J3" i="7"/>
  <c r="I3" i="7"/>
  <c r="H3" i="7"/>
  <c r="G3" i="7"/>
  <c r="F3" i="7"/>
  <c r="D3" i="7"/>
  <c r="P2" i="7"/>
  <c r="O2" i="7" s="1"/>
  <c r="J2" i="7" s="1"/>
  <c r="I2" i="7"/>
  <c r="H2" i="7"/>
  <c r="G2" i="7"/>
  <c r="F2" i="7"/>
  <c r="D2" i="7"/>
  <c r="P380" i="7"/>
  <c r="O380" i="7"/>
  <c r="J380" i="7" s="1"/>
  <c r="I380" i="7"/>
  <c r="H380" i="7"/>
  <c r="G380" i="7"/>
  <c r="F380" i="7"/>
  <c r="D380" i="7"/>
  <c r="P379" i="7"/>
  <c r="O379" i="7" s="1"/>
  <c r="J379" i="7"/>
  <c r="I379" i="7"/>
  <c r="H379" i="7"/>
  <c r="G379" i="7"/>
  <c r="F379" i="7"/>
  <c r="D379" i="7"/>
  <c r="P378" i="7"/>
  <c r="O378" i="7"/>
  <c r="J378" i="7"/>
  <c r="I378" i="7"/>
  <c r="H378" i="7"/>
  <c r="G378" i="7"/>
  <c r="F378" i="7"/>
  <c r="D378" i="7"/>
  <c r="P377" i="7"/>
  <c r="O377" i="7" s="1"/>
  <c r="J377" i="7" s="1"/>
  <c r="I377" i="7"/>
  <c r="H377" i="7"/>
  <c r="G377" i="7"/>
  <c r="F377" i="7"/>
  <c r="D377" i="7"/>
  <c r="P376" i="7"/>
  <c r="O376" i="7" s="1"/>
  <c r="J376" i="7" s="1"/>
  <c r="I376" i="7"/>
  <c r="H376" i="7"/>
  <c r="G376" i="7"/>
  <c r="F376" i="7"/>
  <c r="D376" i="7"/>
  <c r="P375" i="7"/>
  <c r="O375" i="7" s="1"/>
  <c r="J375" i="7" s="1"/>
  <c r="I375" i="7"/>
  <c r="H375" i="7"/>
  <c r="G375" i="7"/>
  <c r="F375" i="7"/>
  <c r="D375" i="7"/>
  <c r="P374" i="7"/>
  <c r="O374" i="7" s="1"/>
  <c r="J374" i="7" s="1"/>
  <c r="I374" i="7"/>
  <c r="H374" i="7"/>
  <c r="G374" i="7"/>
  <c r="F374" i="7"/>
  <c r="D374" i="7"/>
  <c r="P373" i="7"/>
  <c r="O373" i="7" s="1"/>
  <c r="J373" i="7"/>
  <c r="I373" i="7"/>
  <c r="H373" i="7"/>
  <c r="G373" i="7"/>
  <c r="F373" i="7"/>
  <c r="D373" i="7"/>
  <c r="P372" i="7"/>
  <c r="O372" i="7" s="1"/>
  <c r="J372" i="7" s="1"/>
  <c r="I372" i="7"/>
  <c r="H372" i="7"/>
  <c r="G372" i="7"/>
  <c r="F372" i="7"/>
  <c r="D372" i="7"/>
  <c r="P371" i="7"/>
  <c r="O371" i="7"/>
  <c r="J371" i="7"/>
  <c r="I371" i="7"/>
  <c r="H371" i="7"/>
  <c r="G371" i="7"/>
  <c r="F371" i="7"/>
  <c r="D371" i="7"/>
  <c r="P370" i="7"/>
  <c r="O370" i="7" s="1"/>
  <c r="J370" i="7" s="1"/>
  <c r="I370" i="7"/>
  <c r="H370" i="7"/>
  <c r="G370" i="7"/>
  <c r="F370" i="7"/>
  <c r="D370" i="7"/>
  <c r="P369" i="7"/>
  <c r="O369" i="7" s="1"/>
  <c r="J369" i="7" s="1"/>
  <c r="I369" i="7"/>
  <c r="H369" i="7"/>
  <c r="G369" i="7"/>
  <c r="F369" i="7"/>
  <c r="D369" i="7"/>
  <c r="P368" i="7"/>
  <c r="O368" i="7" s="1"/>
  <c r="J368" i="7" s="1"/>
  <c r="I368" i="7"/>
  <c r="H368" i="7"/>
  <c r="G368" i="7"/>
  <c r="F368" i="7"/>
  <c r="D368" i="7"/>
  <c r="P367" i="7"/>
  <c r="O367" i="7" s="1"/>
  <c r="J367" i="7" s="1"/>
  <c r="I367" i="7"/>
  <c r="H367" i="7"/>
  <c r="G367" i="7"/>
  <c r="F367" i="7"/>
  <c r="D367" i="7"/>
  <c r="P366" i="7"/>
  <c r="O366" i="7" s="1"/>
  <c r="J366" i="7" s="1"/>
  <c r="I366" i="7"/>
  <c r="H366" i="7"/>
  <c r="G366" i="7"/>
  <c r="F366" i="7"/>
  <c r="D366" i="7"/>
  <c r="P365" i="7"/>
  <c r="O365" i="7"/>
  <c r="J365" i="7" s="1"/>
  <c r="I365" i="7"/>
  <c r="H365" i="7"/>
  <c r="G365" i="7"/>
  <c r="F365" i="7"/>
  <c r="D365" i="7"/>
  <c r="P364" i="7"/>
  <c r="O364" i="7" s="1"/>
  <c r="J364" i="7"/>
  <c r="I364" i="7"/>
  <c r="H364" i="7"/>
  <c r="G364" i="7"/>
  <c r="F364" i="7"/>
  <c r="D364" i="7"/>
  <c r="P363" i="7"/>
  <c r="O363" i="7"/>
  <c r="J363" i="7" s="1"/>
  <c r="I363" i="7"/>
  <c r="H363" i="7"/>
  <c r="G363" i="7"/>
  <c r="F363" i="7"/>
  <c r="D363" i="7"/>
  <c r="P362" i="7"/>
  <c r="O362" i="7"/>
  <c r="J362" i="7" s="1"/>
  <c r="I362" i="7"/>
  <c r="H362" i="7"/>
  <c r="G362" i="7"/>
  <c r="F362" i="7"/>
  <c r="D362" i="7"/>
  <c r="P361" i="7"/>
  <c r="O361" i="7" s="1"/>
  <c r="J361" i="7" s="1"/>
  <c r="I361" i="7"/>
  <c r="H361" i="7"/>
  <c r="G361" i="7"/>
  <c r="F361" i="7"/>
  <c r="D361" i="7"/>
  <c r="P360" i="7"/>
  <c r="O360" i="7"/>
  <c r="J360" i="7" s="1"/>
  <c r="I360" i="7"/>
  <c r="H360" i="7"/>
  <c r="G360" i="7"/>
  <c r="F360" i="7"/>
  <c r="D360" i="7"/>
  <c r="P359" i="7"/>
  <c r="O359" i="7" s="1"/>
  <c r="J359" i="7" s="1"/>
  <c r="I359" i="7"/>
  <c r="H359" i="7"/>
  <c r="G359" i="7"/>
  <c r="F359" i="7"/>
  <c r="D359" i="7"/>
  <c r="P358" i="7"/>
  <c r="O358" i="7" s="1"/>
  <c r="J358" i="7" s="1"/>
  <c r="I358" i="7"/>
  <c r="H358" i="7"/>
  <c r="G358" i="7"/>
  <c r="F358" i="7"/>
  <c r="D358" i="7"/>
  <c r="P357" i="7"/>
  <c r="O357" i="7" s="1"/>
  <c r="J357" i="7" s="1"/>
  <c r="I357" i="7"/>
  <c r="H357" i="7"/>
  <c r="G357" i="7"/>
  <c r="F357" i="7"/>
  <c r="D357" i="7"/>
  <c r="P356" i="7"/>
  <c r="O356" i="7" s="1"/>
  <c r="J356" i="7" s="1"/>
  <c r="I356" i="7"/>
  <c r="H356" i="7"/>
  <c r="G356" i="7"/>
  <c r="F356" i="7"/>
  <c r="D356" i="7"/>
  <c r="P355" i="7"/>
  <c r="O355" i="7" s="1"/>
  <c r="J355" i="7"/>
  <c r="I355" i="7"/>
  <c r="H355" i="7"/>
  <c r="G355" i="7"/>
  <c r="F355" i="7"/>
  <c r="D355" i="7"/>
  <c r="P354" i="7"/>
  <c r="O354" i="7" s="1"/>
  <c r="J354" i="7" s="1"/>
  <c r="I354" i="7"/>
  <c r="H354" i="7"/>
  <c r="G354" i="7"/>
  <c r="F354" i="7"/>
  <c r="D354" i="7"/>
  <c r="P353" i="7"/>
  <c r="O353" i="7"/>
  <c r="J353" i="7"/>
  <c r="I353" i="7"/>
  <c r="H353" i="7"/>
  <c r="G353" i="7"/>
  <c r="F353" i="7"/>
  <c r="D353" i="7"/>
  <c r="P352" i="7"/>
  <c r="O352" i="7" s="1"/>
  <c r="J352" i="7" s="1"/>
  <c r="I352" i="7"/>
  <c r="H352" i="7"/>
  <c r="G352" i="7"/>
  <c r="F352" i="7"/>
  <c r="D352" i="7"/>
  <c r="P351" i="7"/>
  <c r="O351" i="7" s="1"/>
  <c r="J351" i="7" s="1"/>
  <c r="I351" i="7"/>
  <c r="H351" i="7"/>
  <c r="G351" i="7"/>
  <c r="F351" i="7"/>
  <c r="D351" i="7"/>
  <c r="P350" i="7"/>
  <c r="O350" i="7" s="1"/>
  <c r="J350" i="7" s="1"/>
  <c r="I350" i="7"/>
  <c r="H350" i="7"/>
  <c r="G350" i="7"/>
  <c r="F350" i="7"/>
  <c r="D350" i="7"/>
  <c r="P349" i="7"/>
  <c r="O349" i="7" s="1"/>
  <c r="J349" i="7"/>
  <c r="I349" i="7"/>
  <c r="H349" i="7"/>
  <c r="G349" i="7"/>
  <c r="F349" i="7"/>
  <c r="D349" i="7"/>
  <c r="P348" i="7"/>
  <c r="O348" i="7"/>
  <c r="J348" i="7"/>
  <c r="I348" i="7"/>
  <c r="H348" i="7"/>
  <c r="G348" i="7"/>
  <c r="F348" i="7"/>
  <c r="D348" i="7"/>
  <c r="P347" i="7"/>
  <c r="O347" i="7" s="1"/>
  <c r="J347" i="7" s="1"/>
  <c r="I347" i="7"/>
  <c r="H347" i="7"/>
  <c r="G347" i="7"/>
  <c r="F347" i="7"/>
  <c r="D347" i="7"/>
  <c r="P346" i="7"/>
  <c r="O346" i="7" s="1"/>
  <c r="J346" i="7" s="1"/>
  <c r="I346" i="7"/>
  <c r="H346" i="7"/>
  <c r="G346" i="7"/>
  <c r="F346" i="7"/>
  <c r="D346" i="7"/>
  <c r="P345" i="7"/>
  <c r="O345" i="7"/>
  <c r="J345" i="7"/>
  <c r="I345" i="7"/>
  <c r="H345" i="7"/>
  <c r="G345" i="7"/>
  <c r="F345" i="7"/>
  <c r="D345" i="7"/>
  <c r="P344" i="7"/>
  <c r="O344" i="7"/>
  <c r="J344" i="7" s="1"/>
  <c r="I344" i="7"/>
  <c r="H344" i="7"/>
  <c r="G344" i="7"/>
  <c r="F344" i="7"/>
  <c r="D344" i="7"/>
  <c r="P343" i="7"/>
  <c r="O343" i="7" s="1"/>
  <c r="J343" i="7" s="1"/>
  <c r="I343" i="7"/>
  <c r="H343" i="7"/>
  <c r="G343" i="7"/>
  <c r="F343" i="7"/>
  <c r="D343" i="7"/>
  <c r="P342" i="7"/>
  <c r="O342" i="7"/>
  <c r="J342" i="7" s="1"/>
  <c r="I342" i="7"/>
  <c r="H342" i="7"/>
  <c r="G342" i="7"/>
  <c r="F342" i="7"/>
  <c r="D342" i="7"/>
  <c r="P341" i="7"/>
  <c r="O341" i="7" s="1"/>
  <c r="J341" i="7" s="1"/>
  <c r="I341" i="7"/>
  <c r="H341" i="7"/>
  <c r="G341" i="7"/>
  <c r="F341" i="7"/>
  <c r="D341" i="7"/>
  <c r="P340" i="7"/>
  <c r="O340" i="7" s="1"/>
  <c r="J340" i="7"/>
  <c r="I340" i="7"/>
  <c r="H340" i="7"/>
  <c r="G340" i="7"/>
  <c r="F340" i="7"/>
  <c r="D340" i="7"/>
  <c r="P339" i="7"/>
  <c r="O339" i="7" s="1"/>
  <c r="J339" i="7" s="1"/>
  <c r="I339" i="7"/>
  <c r="H339" i="7"/>
  <c r="G339" i="7"/>
  <c r="F339" i="7"/>
  <c r="D339" i="7"/>
  <c r="P338" i="7"/>
  <c r="O338" i="7" s="1"/>
  <c r="J338" i="7" s="1"/>
  <c r="I338" i="7"/>
  <c r="H338" i="7"/>
  <c r="G338" i="7"/>
  <c r="F338" i="7"/>
  <c r="D338" i="7"/>
  <c r="P337" i="7"/>
  <c r="O337" i="7" s="1"/>
  <c r="J337" i="7" s="1"/>
  <c r="I337" i="7"/>
  <c r="H337" i="7"/>
  <c r="G337" i="7"/>
  <c r="F337" i="7"/>
  <c r="D337" i="7"/>
  <c r="P336" i="7"/>
  <c r="O336" i="7" s="1"/>
  <c r="J336" i="7" s="1"/>
  <c r="I336" i="7"/>
  <c r="H336" i="7"/>
  <c r="G336" i="7"/>
  <c r="F336" i="7"/>
  <c r="D336" i="7"/>
  <c r="P335" i="7"/>
  <c r="O335" i="7"/>
  <c r="J335" i="7" s="1"/>
  <c r="I335" i="7"/>
  <c r="H335" i="7"/>
  <c r="G335" i="7"/>
  <c r="F335" i="7"/>
  <c r="D335" i="7"/>
  <c r="P334" i="7"/>
  <c r="O334" i="7" s="1"/>
  <c r="J334" i="7" s="1"/>
  <c r="I334" i="7"/>
  <c r="H334" i="7"/>
  <c r="G334" i="7"/>
  <c r="F334" i="7"/>
  <c r="D334" i="7"/>
  <c r="P333" i="7"/>
  <c r="O333" i="7"/>
  <c r="J333" i="7" s="1"/>
  <c r="I333" i="7"/>
  <c r="H333" i="7"/>
  <c r="G333" i="7"/>
  <c r="F333" i="7"/>
  <c r="D333" i="7"/>
  <c r="P332" i="7"/>
  <c r="O332" i="7" s="1"/>
  <c r="J332" i="7" s="1"/>
  <c r="I332" i="7"/>
  <c r="H332" i="7"/>
  <c r="G332" i="7"/>
  <c r="F332" i="7"/>
  <c r="D332" i="7"/>
  <c r="P331" i="7"/>
  <c r="O331" i="7" s="1"/>
  <c r="J331" i="7"/>
  <c r="I331" i="7"/>
  <c r="H331" i="7"/>
  <c r="G331" i="7"/>
  <c r="F331" i="7"/>
  <c r="D331" i="7"/>
  <c r="P330" i="7"/>
  <c r="O330" i="7" s="1"/>
  <c r="J330" i="7" s="1"/>
  <c r="I330" i="7"/>
  <c r="H330" i="7"/>
  <c r="G330" i="7"/>
  <c r="F330" i="7"/>
  <c r="D330" i="7"/>
  <c r="P329" i="7"/>
  <c r="O329" i="7" s="1"/>
  <c r="J329" i="7" s="1"/>
  <c r="I329" i="7"/>
  <c r="H329" i="7"/>
  <c r="G329" i="7"/>
  <c r="F329" i="7"/>
  <c r="D329" i="7"/>
  <c r="P328" i="7"/>
  <c r="O328" i="7" s="1"/>
  <c r="J328" i="7"/>
  <c r="I328" i="7"/>
  <c r="H328" i="7"/>
  <c r="G328" i="7"/>
  <c r="F328" i="7"/>
  <c r="D328" i="7"/>
  <c r="P327" i="7"/>
  <c r="O327" i="7"/>
  <c r="J327" i="7" s="1"/>
  <c r="I327" i="7"/>
  <c r="H327" i="7"/>
  <c r="G327" i="7"/>
  <c r="F327" i="7"/>
  <c r="D327" i="7"/>
  <c r="P326" i="7"/>
  <c r="O326" i="7"/>
  <c r="J326" i="7"/>
  <c r="I326" i="7"/>
  <c r="H326" i="7"/>
  <c r="G326" i="7"/>
  <c r="F326" i="7"/>
  <c r="D326" i="7"/>
  <c r="P325" i="7"/>
  <c r="O325" i="7" s="1"/>
  <c r="J325" i="7" s="1"/>
  <c r="I325" i="7"/>
  <c r="H325" i="7"/>
  <c r="G325" i="7"/>
  <c r="F325" i="7"/>
  <c r="D325" i="7"/>
  <c r="P324" i="7"/>
  <c r="O324" i="7" s="1"/>
  <c r="J324" i="7" s="1"/>
  <c r="I324" i="7"/>
  <c r="H324" i="7"/>
  <c r="G324" i="7"/>
  <c r="F324" i="7"/>
  <c r="D324" i="7"/>
  <c r="P323" i="7"/>
  <c r="O323" i="7" s="1"/>
  <c r="J323" i="7" s="1"/>
  <c r="I323" i="7"/>
  <c r="H323" i="7"/>
  <c r="G323" i="7"/>
  <c r="F323" i="7"/>
  <c r="D323" i="7"/>
  <c r="P322" i="7"/>
  <c r="O322" i="7" s="1"/>
  <c r="J322" i="7" s="1"/>
  <c r="I322" i="7"/>
  <c r="H322" i="7"/>
  <c r="G322" i="7"/>
  <c r="F322" i="7"/>
  <c r="D322" i="7"/>
  <c r="P321" i="7"/>
  <c r="O321" i="7"/>
  <c r="J321" i="7"/>
  <c r="I321" i="7"/>
  <c r="H321" i="7"/>
  <c r="G321" i="7"/>
  <c r="F321" i="7"/>
  <c r="D321" i="7"/>
  <c r="P320" i="7"/>
  <c r="O320" i="7" s="1"/>
  <c r="J320" i="7" s="1"/>
  <c r="I320" i="7"/>
  <c r="H320" i="7"/>
  <c r="G320" i="7"/>
  <c r="F320" i="7"/>
  <c r="D320" i="7"/>
  <c r="P319" i="7"/>
  <c r="O319" i="7" s="1"/>
  <c r="J319" i="7" s="1"/>
  <c r="I319" i="7"/>
  <c r="H319" i="7"/>
  <c r="G319" i="7"/>
  <c r="F319" i="7"/>
  <c r="D319" i="7"/>
  <c r="P318" i="7"/>
  <c r="O318" i="7"/>
  <c r="J318" i="7" s="1"/>
  <c r="I318" i="7"/>
  <c r="H318" i="7"/>
  <c r="G318" i="7"/>
  <c r="F318" i="7"/>
  <c r="D318" i="7"/>
  <c r="P317" i="7"/>
  <c r="O317" i="7"/>
  <c r="J317" i="7"/>
  <c r="I317" i="7"/>
  <c r="H317" i="7"/>
  <c r="G317" i="7"/>
  <c r="F317" i="7"/>
  <c r="D317" i="7"/>
  <c r="P316" i="7"/>
  <c r="O316" i="7" s="1"/>
  <c r="J316" i="7" s="1"/>
  <c r="I316" i="7"/>
  <c r="H316" i="7"/>
  <c r="G316" i="7"/>
  <c r="F316" i="7"/>
  <c r="D316" i="7"/>
  <c r="P315" i="7"/>
  <c r="O315" i="7" s="1"/>
  <c r="J315" i="7" s="1"/>
  <c r="I315" i="7"/>
  <c r="H315" i="7"/>
  <c r="G315" i="7"/>
  <c r="F315" i="7"/>
  <c r="D315" i="7"/>
  <c r="P314" i="7"/>
  <c r="O314" i="7" s="1"/>
  <c r="J314" i="7" s="1"/>
  <c r="I314" i="7"/>
  <c r="H314" i="7"/>
  <c r="G314" i="7"/>
  <c r="F314" i="7"/>
  <c r="D314" i="7"/>
  <c r="P313" i="7"/>
  <c r="O313" i="7" s="1"/>
  <c r="J313" i="7"/>
  <c r="I313" i="7"/>
  <c r="H313" i="7"/>
  <c r="G313" i="7"/>
  <c r="F313" i="7"/>
  <c r="D313" i="7"/>
  <c r="P312" i="7"/>
  <c r="O312" i="7" s="1"/>
  <c r="J312" i="7" s="1"/>
  <c r="I312" i="7"/>
  <c r="H312" i="7"/>
  <c r="G312" i="7"/>
  <c r="F312" i="7"/>
  <c r="D312" i="7"/>
  <c r="P311" i="7"/>
  <c r="O311" i="7" s="1"/>
  <c r="J311" i="7" s="1"/>
  <c r="I311" i="7"/>
  <c r="H311" i="7"/>
  <c r="G311" i="7"/>
  <c r="F311" i="7"/>
  <c r="D311" i="7"/>
  <c r="P310" i="7"/>
  <c r="O310" i="7" s="1"/>
  <c r="J310" i="7" s="1"/>
  <c r="I310" i="7"/>
  <c r="H310" i="7"/>
  <c r="G310" i="7"/>
  <c r="F310" i="7"/>
  <c r="D310" i="7"/>
  <c r="P309" i="7"/>
  <c r="O309" i="7" s="1"/>
  <c r="J309" i="7" s="1"/>
  <c r="I309" i="7"/>
  <c r="H309" i="7"/>
  <c r="G309" i="7"/>
  <c r="F309" i="7"/>
  <c r="D309" i="7"/>
  <c r="P308" i="7"/>
  <c r="O308" i="7" s="1"/>
  <c r="J308" i="7" s="1"/>
  <c r="I308" i="7"/>
  <c r="H308" i="7"/>
  <c r="G308" i="7"/>
  <c r="F308" i="7"/>
  <c r="D308" i="7"/>
  <c r="P307" i="7"/>
  <c r="O307" i="7" s="1"/>
  <c r="J307" i="7"/>
  <c r="I307" i="7"/>
  <c r="H307" i="7"/>
  <c r="G307" i="7"/>
  <c r="F307" i="7"/>
  <c r="D307" i="7"/>
  <c r="P306" i="7"/>
  <c r="O306" i="7"/>
  <c r="J306" i="7"/>
  <c r="I306" i="7"/>
  <c r="H306" i="7"/>
  <c r="G306" i="7"/>
  <c r="F306" i="7"/>
  <c r="D306" i="7"/>
  <c r="P305" i="7"/>
  <c r="O305" i="7" s="1"/>
  <c r="J305" i="7" s="1"/>
  <c r="I305" i="7"/>
  <c r="H305" i="7"/>
  <c r="G305" i="7"/>
  <c r="F305" i="7"/>
  <c r="D305" i="7"/>
  <c r="P304" i="7"/>
  <c r="O304" i="7" s="1"/>
  <c r="J304" i="7" s="1"/>
  <c r="I304" i="7"/>
  <c r="H304" i="7"/>
  <c r="G304" i="7"/>
  <c r="F304" i="7"/>
  <c r="D304" i="7"/>
  <c r="P303" i="7"/>
  <c r="O303" i="7" s="1"/>
  <c r="J303" i="7" s="1"/>
  <c r="I303" i="7"/>
  <c r="H303" i="7"/>
  <c r="G303" i="7"/>
  <c r="F303" i="7"/>
  <c r="D303" i="7"/>
  <c r="P302" i="7"/>
  <c r="O302" i="7"/>
  <c r="J302" i="7" s="1"/>
  <c r="I302" i="7"/>
  <c r="H302" i="7"/>
  <c r="G302" i="7"/>
  <c r="F302" i="7"/>
  <c r="D302" i="7"/>
  <c r="P301" i="7"/>
  <c r="O301" i="7" s="1"/>
  <c r="J301" i="7" s="1"/>
  <c r="I301" i="7"/>
  <c r="H301" i="7"/>
  <c r="G301" i="7"/>
  <c r="F301" i="7"/>
  <c r="D301" i="7"/>
  <c r="P300" i="7"/>
  <c r="O300" i="7" s="1"/>
  <c r="J300" i="7" s="1"/>
  <c r="I300" i="7"/>
  <c r="H300" i="7"/>
  <c r="G300" i="7"/>
  <c r="F300" i="7"/>
  <c r="D300" i="7"/>
  <c r="P299" i="7"/>
  <c r="O299" i="7"/>
  <c r="J299" i="7" s="1"/>
  <c r="I299" i="7"/>
  <c r="H299" i="7"/>
  <c r="G299" i="7"/>
  <c r="F299" i="7"/>
  <c r="D299" i="7"/>
  <c r="P298" i="7"/>
  <c r="O298" i="7" s="1"/>
  <c r="J298" i="7" s="1"/>
  <c r="I298" i="7"/>
  <c r="H298" i="7"/>
  <c r="G298" i="7"/>
  <c r="F298" i="7"/>
  <c r="D298" i="7"/>
  <c r="P297" i="7"/>
  <c r="O297" i="7" s="1"/>
  <c r="J297" i="7" s="1"/>
  <c r="I297" i="7"/>
  <c r="H297" i="7"/>
  <c r="G297" i="7"/>
  <c r="F297" i="7"/>
  <c r="D297" i="7"/>
  <c r="P296" i="7"/>
  <c r="O296" i="7" s="1"/>
  <c r="J296" i="7" s="1"/>
  <c r="I296" i="7"/>
  <c r="H296" i="7"/>
  <c r="G296" i="7"/>
  <c r="F296" i="7"/>
  <c r="D296" i="7"/>
  <c r="P295" i="7"/>
  <c r="O295" i="7" s="1"/>
  <c r="J295" i="7" s="1"/>
  <c r="I295" i="7"/>
  <c r="H295" i="7"/>
  <c r="G295" i="7"/>
  <c r="F295" i="7"/>
  <c r="D295" i="7"/>
  <c r="P294" i="7"/>
  <c r="O294" i="7" s="1"/>
  <c r="J294" i="7" s="1"/>
  <c r="I294" i="7"/>
  <c r="H294" i="7"/>
  <c r="G294" i="7"/>
  <c r="F294" i="7"/>
  <c r="D294" i="7"/>
  <c r="P293" i="7"/>
  <c r="O293" i="7"/>
  <c r="J293" i="7" s="1"/>
  <c r="I293" i="7"/>
  <c r="H293" i="7"/>
  <c r="G293" i="7"/>
  <c r="F293" i="7"/>
  <c r="D293" i="7"/>
  <c r="P292" i="7"/>
  <c r="O292" i="7" s="1"/>
  <c r="J292" i="7"/>
  <c r="I292" i="7"/>
  <c r="H292" i="7"/>
  <c r="G292" i="7"/>
  <c r="F292" i="7"/>
  <c r="D292" i="7"/>
  <c r="P291" i="7"/>
  <c r="O291" i="7"/>
  <c r="J291" i="7" s="1"/>
  <c r="I291" i="7"/>
  <c r="H291" i="7"/>
  <c r="G291" i="7"/>
  <c r="F291" i="7"/>
  <c r="D291" i="7"/>
  <c r="P290" i="7"/>
  <c r="O290" i="7"/>
  <c r="J290" i="7" s="1"/>
  <c r="I290" i="7"/>
  <c r="H290" i="7"/>
  <c r="G290" i="7"/>
  <c r="F290" i="7"/>
  <c r="D290" i="7"/>
  <c r="P289" i="7"/>
  <c r="O289" i="7" s="1"/>
  <c r="J289" i="7" s="1"/>
  <c r="I289" i="7"/>
  <c r="H289" i="7"/>
  <c r="G289" i="7"/>
  <c r="F289" i="7"/>
  <c r="D289" i="7"/>
  <c r="P288" i="7"/>
  <c r="O288" i="7" s="1"/>
  <c r="J288" i="7" s="1"/>
  <c r="I288" i="7"/>
  <c r="H288" i="7"/>
  <c r="G288" i="7"/>
  <c r="F288" i="7"/>
  <c r="D288" i="7"/>
  <c r="P287" i="7"/>
  <c r="O287" i="7" s="1"/>
  <c r="J287" i="7" s="1"/>
  <c r="I287" i="7"/>
  <c r="H287" i="7"/>
  <c r="G287" i="7"/>
  <c r="F287" i="7"/>
  <c r="D287" i="7"/>
  <c r="P286" i="7"/>
  <c r="O286" i="7" s="1"/>
  <c r="J286" i="7" s="1"/>
  <c r="I286" i="7"/>
  <c r="H286" i="7"/>
  <c r="G286" i="7"/>
  <c r="F286" i="7"/>
  <c r="D286" i="7"/>
  <c r="P285" i="7"/>
  <c r="O285" i="7" s="1"/>
  <c r="J285" i="7" s="1"/>
  <c r="I285" i="7"/>
  <c r="H285" i="7"/>
  <c r="G285" i="7"/>
  <c r="F285" i="7"/>
  <c r="D285" i="7"/>
  <c r="P284" i="7"/>
  <c r="O284" i="7" s="1"/>
  <c r="J284" i="7" s="1"/>
  <c r="I284" i="7"/>
  <c r="H284" i="7"/>
  <c r="G284" i="7"/>
  <c r="F284" i="7"/>
  <c r="D284" i="7"/>
  <c r="P283" i="7"/>
  <c r="O283" i="7" s="1"/>
  <c r="J283" i="7" s="1"/>
  <c r="I283" i="7"/>
  <c r="H283" i="7"/>
  <c r="G283" i="7"/>
  <c r="F283" i="7"/>
  <c r="D283" i="7"/>
  <c r="P282" i="7"/>
  <c r="O282" i="7" s="1"/>
  <c r="J282" i="7" s="1"/>
  <c r="I282" i="7"/>
  <c r="H282" i="7"/>
  <c r="G282" i="7"/>
  <c r="F282" i="7"/>
  <c r="D282" i="7"/>
  <c r="P281" i="7"/>
  <c r="O281" i="7"/>
  <c r="J281" i="7"/>
  <c r="I281" i="7"/>
  <c r="H281" i="7"/>
  <c r="G281" i="7"/>
  <c r="F281" i="7"/>
  <c r="D281" i="7"/>
  <c r="P280" i="7"/>
  <c r="O280" i="7" s="1"/>
  <c r="J280" i="7" s="1"/>
  <c r="I280" i="7"/>
  <c r="H280" i="7"/>
  <c r="G280" i="7"/>
  <c r="F280" i="7"/>
  <c r="D280" i="7"/>
  <c r="P279" i="7"/>
  <c r="O279" i="7" s="1"/>
  <c r="J279" i="7" s="1"/>
  <c r="I279" i="7"/>
  <c r="H279" i="7"/>
  <c r="G279" i="7"/>
  <c r="F279" i="7"/>
  <c r="D279" i="7"/>
  <c r="P278" i="7"/>
  <c r="O278" i="7"/>
  <c r="J278" i="7"/>
  <c r="I278" i="7"/>
  <c r="H278" i="7"/>
  <c r="G278" i="7"/>
  <c r="F278" i="7"/>
  <c r="D278" i="7"/>
  <c r="P277" i="7"/>
  <c r="O277" i="7" s="1"/>
  <c r="J277" i="7" s="1"/>
  <c r="I277" i="7"/>
  <c r="H277" i="7"/>
  <c r="G277" i="7"/>
  <c r="F277" i="7"/>
  <c r="D277" i="7"/>
  <c r="P276" i="7"/>
  <c r="O276" i="7" s="1"/>
  <c r="J276" i="7" s="1"/>
  <c r="I276" i="7"/>
  <c r="H276" i="7"/>
  <c r="G276" i="7"/>
  <c r="F276" i="7"/>
  <c r="D276" i="7"/>
  <c r="P275" i="7"/>
  <c r="O275" i="7" s="1"/>
  <c r="J275" i="7" s="1"/>
  <c r="I275" i="7"/>
  <c r="H275" i="7"/>
  <c r="G275" i="7"/>
  <c r="F275" i="7"/>
  <c r="D275" i="7"/>
  <c r="P274" i="7"/>
  <c r="O274" i="7" s="1"/>
  <c r="J274" i="7" s="1"/>
  <c r="I274" i="7"/>
  <c r="H274" i="7"/>
  <c r="G274" i="7"/>
  <c r="F274" i="7"/>
  <c r="D274" i="7"/>
  <c r="P273" i="7"/>
  <c r="O273" i="7"/>
  <c r="J273" i="7"/>
  <c r="I273" i="7"/>
  <c r="H273" i="7"/>
  <c r="G273" i="7"/>
  <c r="F273" i="7"/>
  <c r="D273" i="7"/>
  <c r="P272" i="7"/>
  <c r="O272" i="7" s="1"/>
  <c r="J272" i="7" s="1"/>
  <c r="I272" i="7"/>
  <c r="H272" i="7"/>
  <c r="G272" i="7"/>
  <c r="F272" i="7"/>
  <c r="D272" i="7"/>
  <c r="P271" i="7"/>
  <c r="O271" i="7" s="1"/>
  <c r="J271" i="7" s="1"/>
  <c r="I271" i="7"/>
  <c r="H271" i="7"/>
  <c r="G271" i="7"/>
  <c r="F271" i="7"/>
  <c r="D271" i="7"/>
  <c r="P270" i="7"/>
  <c r="O270" i="7"/>
  <c r="J270" i="7" s="1"/>
  <c r="I270" i="7"/>
  <c r="H270" i="7"/>
  <c r="G270" i="7"/>
  <c r="F270" i="7"/>
  <c r="D270" i="7"/>
  <c r="P269" i="7"/>
  <c r="O269" i="7" s="1"/>
  <c r="J269" i="7" s="1"/>
  <c r="I269" i="7"/>
  <c r="H269" i="7"/>
  <c r="G269" i="7"/>
  <c r="F269" i="7"/>
  <c r="D269" i="7"/>
  <c r="P268" i="7"/>
  <c r="O268" i="7" s="1"/>
  <c r="J268" i="7"/>
  <c r="I268" i="7"/>
  <c r="H268" i="7"/>
  <c r="G268" i="7"/>
  <c r="F268" i="7"/>
  <c r="D268" i="7"/>
  <c r="P267" i="7"/>
  <c r="O267" i="7" s="1"/>
  <c r="J267" i="7" s="1"/>
  <c r="I267" i="7"/>
  <c r="H267" i="7"/>
  <c r="G267" i="7"/>
  <c r="F267" i="7"/>
  <c r="D267" i="7"/>
  <c r="P266" i="7"/>
  <c r="O266" i="7"/>
  <c r="J266" i="7" s="1"/>
  <c r="I266" i="7"/>
  <c r="H266" i="7"/>
  <c r="G266" i="7"/>
  <c r="F266" i="7"/>
  <c r="D266" i="7"/>
  <c r="P265" i="7"/>
  <c r="O265" i="7" s="1"/>
  <c r="J265" i="7"/>
  <c r="I265" i="7"/>
  <c r="H265" i="7"/>
  <c r="G265" i="7"/>
  <c r="F265" i="7"/>
  <c r="D265" i="7"/>
  <c r="P264" i="7"/>
  <c r="O264" i="7" s="1"/>
  <c r="J264" i="7" s="1"/>
  <c r="I264" i="7"/>
  <c r="H264" i="7"/>
  <c r="G264" i="7"/>
  <c r="F264" i="7"/>
  <c r="D264" i="7"/>
  <c r="P263" i="7"/>
  <c r="O263" i="7" s="1"/>
  <c r="J263" i="7" s="1"/>
  <c r="I263" i="7"/>
  <c r="H263" i="7"/>
  <c r="G263" i="7"/>
  <c r="F263" i="7"/>
  <c r="D263" i="7"/>
  <c r="P262" i="7"/>
  <c r="O262" i="7" s="1"/>
  <c r="J262" i="7" s="1"/>
  <c r="I262" i="7"/>
  <c r="H262" i="7"/>
  <c r="G262" i="7"/>
  <c r="F262" i="7"/>
  <c r="D262" i="7"/>
  <c r="P261" i="7"/>
  <c r="O261" i="7" s="1"/>
  <c r="J261" i="7" s="1"/>
  <c r="I261" i="7"/>
  <c r="H261" i="7"/>
  <c r="G261" i="7"/>
  <c r="F261" i="7"/>
  <c r="D261" i="7"/>
  <c r="P260" i="7"/>
  <c r="O260" i="7"/>
  <c r="J260" i="7" s="1"/>
  <c r="I260" i="7"/>
  <c r="H260" i="7"/>
  <c r="G260" i="7"/>
  <c r="F260" i="7"/>
  <c r="D260" i="7"/>
  <c r="P259" i="7"/>
  <c r="O259" i="7" s="1"/>
  <c r="J259" i="7"/>
  <c r="I259" i="7"/>
  <c r="H259" i="7"/>
  <c r="G259" i="7"/>
  <c r="F259" i="7"/>
  <c r="D259" i="7"/>
  <c r="P258" i="7"/>
  <c r="O258" i="7" s="1"/>
  <c r="J258" i="7" s="1"/>
  <c r="I258" i="7"/>
  <c r="H258" i="7"/>
  <c r="G258" i="7"/>
  <c r="F258" i="7"/>
  <c r="D258" i="7"/>
  <c r="P257" i="7"/>
  <c r="O257" i="7" s="1"/>
  <c r="J257" i="7" s="1"/>
  <c r="I257" i="7"/>
  <c r="H257" i="7"/>
  <c r="G257" i="7"/>
  <c r="F257" i="7"/>
  <c r="D257" i="7"/>
  <c r="P256" i="7"/>
  <c r="O256" i="7" s="1"/>
  <c r="J256" i="7" s="1"/>
  <c r="I256" i="7"/>
  <c r="H256" i="7"/>
  <c r="G256" i="7"/>
  <c r="F256" i="7"/>
  <c r="D256" i="7"/>
  <c r="P255" i="7"/>
  <c r="O255" i="7"/>
  <c r="J255" i="7" s="1"/>
  <c r="I255" i="7"/>
  <c r="H255" i="7"/>
  <c r="G255" i="7"/>
  <c r="F255" i="7"/>
  <c r="D255" i="7"/>
  <c r="P254" i="7"/>
  <c r="O254" i="7"/>
  <c r="J254" i="7"/>
  <c r="I254" i="7"/>
  <c r="H254" i="7"/>
  <c r="G254" i="7"/>
  <c r="F254" i="7"/>
  <c r="D254" i="7"/>
  <c r="P253" i="7"/>
  <c r="O253" i="7" s="1"/>
  <c r="J253" i="7" s="1"/>
  <c r="I253" i="7"/>
  <c r="H253" i="7"/>
  <c r="G253" i="7"/>
  <c r="F253" i="7"/>
  <c r="D253" i="7"/>
  <c r="P252" i="7"/>
  <c r="O252" i="7" s="1"/>
  <c r="J252" i="7" s="1"/>
  <c r="I252" i="7"/>
  <c r="H252" i="7"/>
  <c r="G252" i="7"/>
  <c r="F252" i="7"/>
  <c r="D252" i="7"/>
  <c r="P251" i="7"/>
  <c r="O251" i="7"/>
  <c r="J251" i="7"/>
  <c r="I251" i="7"/>
  <c r="H251" i="7"/>
  <c r="G251" i="7"/>
  <c r="F251" i="7"/>
  <c r="D251" i="7"/>
  <c r="P250" i="7"/>
  <c r="O250" i="7" s="1"/>
  <c r="J250" i="7" s="1"/>
  <c r="I250" i="7"/>
  <c r="H250" i="7"/>
  <c r="G250" i="7"/>
  <c r="F250" i="7"/>
  <c r="D250" i="7"/>
  <c r="P249" i="7"/>
  <c r="O249" i="7" s="1"/>
  <c r="J249" i="7" s="1"/>
  <c r="I249" i="7"/>
  <c r="H249" i="7"/>
  <c r="G249" i="7"/>
  <c r="F249" i="7"/>
  <c r="D249" i="7"/>
  <c r="P248" i="7"/>
  <c r="O248" i="7" s="1"/>
  <c r="J248" i="7" s="1"/>
  <c r="I248" i="7"/>
  <c r="H248" i="7"/>
  <c r="G248" i="7"/>
  <c r="F248" i="7"/>
  <c r="D248" i="7"/>
  <c r="P247" i="7"/>
  <c r="O247" i="7" s="1"/>
  <c r="J247" i="7" s="1"/>
  <c r="I247" i="7"/>
  <c r="H247" i="7"/>
  <c r="G247" i="7"/>
  <c r="F247" i="7"/>
  <c r="D247" i="7"/>
  <c r="P246" i="7"/>
  <c r="O246" i="7"/>
  <c r="J246" i="7"/>
  <c r="I246" i="7"/>
  <c r="H246" i="7"/>
  <c r="G246" i="7"/>
  <c r="F246" i="7"/>
  <c r="D246" i="7"/>
  <c r="P245" i="7"/>
  <c r="O245" i="7"/>
  <c r="J245" i="7"/>
  <c r="I245" i="7"/>
  <c r="H245" i="7"/>
  <c r="G245" i="7"/>
  <c r="F245" i="7"/>
  <c r="D245" i="7"/>
  <c r="P244" i="7"/>
  <c r="O244" i="7" s="1"/>
  <c r="J244" i="7" s="1"/>
  <c r="I244" i="7"/>
  <c r="H244" i="7"/>
  <c r="G244" i="7"/>
  <c r="F244" i="7"/>
  <c r="D244" i="7"/>
  <c r="P243" i="7"/>
  <c r="O243" i="7" s="1"/>
  <c r="J243" i="7" s="1"/>
  <c r="I243" i="7"/>
  <c r="H243" i="7"/>
  <c r="G243" i="7"/>
  <c r="F243" i="7"/>
  <c r="D243" i="7"/>
  <c r="P242" i="7"/>
  <c r="O242" i="7" s="1"/>
  <c r="J242" i="7" s="1"/>
  <c r="I242" i="7"/>
  <c r="H242" i="7"/>
  <c r="G242" i="7"/>
  <c r="F242" i="7"/>
  <c r="D242" i="7"/>
  <c r="P241" i="7"/>
  <c r="O241" i="7" s="1"/>
  <c r="J241" i="7"/>
  <c r="I241" i="7"/>
  <c r="H241" i="7"/>
  <c r="G241" i="7"/>
  <c r="F241" i="7"/>
  <c r="D241" i="7"/>
  <c r="P240" i="7"/>
  <c r="O240" i="7" s="1"/>
  <c r="J240" i="7" s="1"/>
  <c r="I240" i="7"/>
  <c r="H240" i="7"/>
  <c r="G240" i="7"/>
  <c r="F240" i="7"/>
  <c r="D240" i="7"/>
  <c r="P239" i="7"/>
  <c r="O239" i="7" s="1"/>
  <c r="J239" i="7" s="1"/>
  <c r="I239" i="7"/>
  <c r="H239" i="7"/>
  <c r="G239" i="7"/>
  <c r="F239" i="7"/>
  <c r="D239" i="7"/>
  <c r="P238" i="7"/>
  <c r="O238" i="7" s="1"/>
  <c r="J238" i="7" s="1"/>
  <c r="I238" i="7"/>
  <c r="H238" i="7"/>
  <c r="G238" i="7"/>
  <c r="F238" i="7"/>
  <c r="D238" i="7"/>
  <c r="P237" i="7"/>
  <c r="O237" i="7" s="1"/>
  <c r="J237" i="7" s="1"/>
  <c r="I237" i="7"/>
  <c r="H237" i="7"/>
  <c r="G237" i="7"/>
  <c r="F237" i="7"/>
  <c r="D237" i="7"/>
  <c r="P236" i="7"/>
  <c r="O236" i="7" s="1"/>
  <c r="J236" i="7" s="1"/>
  <c r="I236" i="7"/>
  <c r="H236" i="7"/>
  <c r="G236" i="7"/>
  <c r="F236" i="7"/>
  <c r="D236" i="7"/>
  <c r="P235" i="7"/>
  <c r="O235" i="7" s="1"/>
  <c r="J235" i="7"/>
  <c r="I235" i="7"/>
  <c r="H235" i="7"/>
  <c r="G235" i="7"/>
  <c r="F235" i="7"/>
  <c r="D235" i="7"/>
  <c r="P234" i="7"/>
  <c r="O234" i="7" s="1"/>
  <c r="J234" i="7" s="1"/>
  <c r="I234" i="7"/>
  <c r="H234" i="7"/>
  <c r="G234" i="7"/>
  <c r="F234" i="7"/>
  <c r="D234" i="7"/>
  <c r="P233" i="7"/>
  <c r="O233" i="7" s="1"/>
  <c r="J233" i="7" s="1"/>
  <c r="I233" i="7"/>
  <c r="H233" i="7"/>
  <c r="G233" i="7"/>
  <c r="F233" i="7"/>
  <c r="D233" i="7"/>
  <c r="P232" i="7"/>
  <c r="O232" i="7" s="1"/>
  <c r="J232" i="7" s="1"/>
  <c r="I232" i="7"/>
  <c r="H232" i="7"/>
  <c r="G232" i="7"/>
  <c r="F232" i="7"/>
  <c r="D232" i="7"/>
  <c r="P231" i="7"/>
  <c r="O231" i="7"/>
  <c r="J231" i="7"/>
  <c r="I231" i="7"/>
  <c r="H231" i="7"/>
  <c r="G231" i="7"/>
  <c r="F231" i="7"/>
  <c r="D231" i="7"/>
  <c r="P230" i="7"/>
  <c r="O230" i="7" s="1"/>
  <c r="J230" i="7" s="1"/>
  <c r="I230" i="7"/>
  <c r="H230" i="7"/>
  <c r="G230" i="7"/>
  <c r="F230" i="7"/>
  <c r="D230" i="7"/>
  <c r="P229" i="7"/>
  <c r="O229" i="7" s="1"/>
  <c r="J229" i="7" s="1"/>
  <c r="I229" i="7"/>
  <c r="H229" i="7"/>
  <c r="G229" i="7"/>
  <c r="F229" i="7"/>
  <c r="D229" i="7"/>
  <c r="P228" i="7"/>
  <c r="O228" i="7"/>
  <c r="J228" i="7"/>
  <c r="I228" i="7"/>
  <c r="H228" i="7"/>
  <c r="G228" i="7"/>
  <c r="F228" i="7"/>
  <c r="D228" i="7"/>
  <c r="P227" i="7"/>
  <c r="O227" i="7" s="1"/>
  <c r="J227" i="7" s="1"/>
  <c r="I227" i="7"/>
  <c r="H227" i="7"/>
  <c r="G227" i="7"/>
  <c r="F227" i="7"/>
  <c r="D227" i="7"/>
  <c r="P226" i="7"/>
  <c r="O226" i="7"/>
  <c r="J226" i="7"/>
  <c r="I226" i="7"/>
  <c r="H226" i="7"/>
  <c r="G226" i="7"/>
  <c r="F226" i="7"/>
  <c r="D226" i="7"/>
  <c r="P225" i="7"/>
  <c r="O225" i="7"/>
  <c r="J225" i="7"/>
  <c r="I225" i="7"/>
  <c r="H225" i="7"/>
  <c r="G225" i="7"/>
  <c r="F225" i="7"/>
  <c r="D225" i="7"/>
  <c r="P224" i="7"/>
  <c r="O224" i="7" s="1"/>
  <c r="J224" i="7" s="1"/>
  <c r="I224" i="7"/>
  <c r="H224" i="7"/>
  <c r="G224" i="7"/>
  <c r="F224" i="7"/>
  <c r="D224" i="7"/>
  <c r="P223" i="7"/>
  <c r="O223" i="7" s="1"/>
  <c r="J223" i="7" s="1"/>
  <c r="I223" i="7"/>
  <c r="H223" i="7"/>
  <c r="G223" i="7"/>
  <c r="F223" i="7"/>
  <c r="D223" i="7"/>
  <c r="P222" i="7"/>
  <c r="O222" i="7"/>
  <c r="J222" i="7"/>
  <c r="I222" i="7"/>
  <c r="H222" i="7"/>
  <c r="G222" i="7"/>
  <c r="F222" i="7"/>
  <c r="D222" i="7"/>
  <c r="P221" i="7"/>
  <c r="O221" i="7" s="1"/>
  <c r="J221" i="7" s="1"/>
  <c r="I221" i="7"/>
  <c r="H221" i="7"/>
  <c r="G221" i="7"/>
  <c r="F221" i="7"/>
  <c r="D221" i="7"/>
  <c r="P220" i="7"/>
  <c r="O220" i="7" s="1"/>
  <c r="J220" i="7" s="1"/>
  <c r="I220" i="7"/>
  <c r="H220" i="7"/>
  <c r="G220" i="7"/>
  <c r="F220" i="7"/>
  <c r="D220" i="7"/>
  <c r="P219" i="7"/>
  <c r="O219" i="7"/>
  <c r="J219" i="7"/>
  <c r="I219" i="7"/>
  <c r="H219" i="7"/>
  <c r="G219" i="7"/>
  <c r="F219" i="7"/>
  <c r="D219" i="7"/>
  <c r="P218" i="7"/>
  <c r="O218" i="7" s="1"/>
  <c r="J218" i="7" s="1"/>
  <c r="I218" i="7"/>
  <c r="H218" i="7"/>
  <c r="G218" i="7"/>
  <c r="F218" i="7"/>
  <c r="D218" i="7"/>
  <c r="P217" i="7"/>
  <c r="O217" i="7" s="1"/>
  <c r="J217" i="7" s="1"/>
  <c r="I217" i="7"/>
  <c r="H217" i="7"/>
  <c r="G217" i="7"/>
  <c r="F217" i="7"/>
  <c r="D217" i="7"/>
  <c r="P216" i="7"/>
  <c r="O216" i="7"/>
  <c r="J216" i="7"/>
  <c r="I216" i="7"/>
  <c r="H216" i="7"/>
  <c r="G216" i="7"/>
  <c r="F216" i="7"/>
  <c r="D216" i="7"/>
  <c r="P215" i="7"/>
  <c r="O215" i="7" s="1"/>
  <c r="J215" i="7" s="1"/>
  <c r="I215" i="7"/>
  <c r="H215" i="7"/>
  <c r="G215" i="7"/>
  <c r="F215" i="7"/>
  <c r="D215" i="7"/>
  <c r="P214" i="7"/>
  <c r="O214" i="7" s="1"/>
  <c r="J214" i="7" s="1"/>
  <c r="I214" i="7"/>
  <c r="H214" i="7"/>
  <c r="G214" i="7"/>
  <c r="F214" i="7"/>
  <c r="D214" i="7"/>
  <c r="P213" i="7"/>
  <c r="O213" i="7"/>
  <c r="J213" i="7"/>
  <c r="I213" i="7"/>
  <c r="H213" i="7"/>
  <c r="G213" i="7"/>
  <c r="F213" i="7"/>
  <c r="D213" i="7"/>
  <c r="P212" i="7"/>
  <c r="O212" i="7" s="1"/>
  <c r="J212" i="7" s="1"/>
  <c r="I212" i="7"/>
  <c r="H212" i="7"/>
  <c r="G212" i="7"/>
  <c r="F212" i="7"/>
  <c r="D212" i="7"/>
  <c r="P211" i="7"/>
  <c r="O211" i="7" s="1"/>
  <c r="J211" i="7" s="1"/>
  <c r="I211" i="7"/>
  <c r="H211" i="7"/>
  <c r="G211" i="7"/>
  <c r="F211" i="7"/>
  <c r="D211" i="7"/>
  <c r="P210" i="7"/>
  <c r="O210" i="7" s="1"/>
  <c r="J210" i="7" s="1"/>
  <c r="I210" i="7"/>
  <c r="H210" i="7"/>
  <c r="G210" i="7"/>
  <c r="F210" i="7"/>
  <c r="D210" i="7"/>
  <c r="P209" i="7"/>
  <c r="O209" i="7" s="1"/>
  <c r="J209" i="7" s="1"/>
  <c r="I209" i="7"/>
  <c r="H209" i="7"/>
  <c r="G209" i="7"/>
  <c r="F209" i="7"/>
  <c r="D209" i="7"/>
  <c r="P208" i="7"/>
  <c r="O208" i="7"/>
  <c r="J208" i="7"/>
  <c r="I208" i="7"/>
  <c r="H208" i="7"/>
  <c r="G208" i="7"/>
  <c r="F208" i="7"/>
  <c r="D208" i="7"/>
  <c r="P207" i="7"/>
  <c r="O207" i="7"/>
  <c r="J207" i="7"/>
  <c r="I207" i="7"/>
  <c r="H207" i="7"/>
  <c r="G207" i="7"/>
  <c r="F207" i="7"/>
  <c r="D207" i="7"/>
  <c r="P206" i="7"/>
  <c r="O206" i="7" s="1"/>
  <c r="J206" i="7" s="1"/>
  <c r="I206" i="7"/>
  <c r="H206" i="7"/>
  <c r="G206" i="7"/>
  <c r="F206" i="7"/>
  <c r="D206" i="7"/>
  <c r="P205" i="7"/>
  <c r="O205" i="7" s="1"/>
  <c r="J205" i="7" s="1"/>
  <c r="I205" i="7"/>
  <c r="H205" i="7"/>
  <c r="G205" i="7"/>
  <c r="F205" i="7"/>
  <c r="D205" i="7"/>
  <c r="P204" i="7"/>
  <c r="O204" i="7" s="1"/>
  <c r="J204" i="7" s="1"/>
  <c r="I204" i="7"/>
  <c r="H204" i="7"/>
  <c r="G204" i="7"/>
  <c r="F204" i="7"/>
  <c r="D204" i="7"/>
  <c r="P203" i="7"/>
  <c r="O203" i="7" s="1"/>
  <c r="J203" i="7" s="1"/>
  <c r="I203" i="7"/>
  <c r="H203" i="7"/>
  <c r="G203" i="7"/>
  <c r="F203" i="7"/>
  <c r="D203" i="7"/>
  <c r="P202" i="7"/>
  <c r="O202" i="7" s="1"/>
  <c r="J202" i="7" s="1"/>
  <c r="I202" i="7"/>
  <c r="H202" i="7"/>
  <c r="G202" i="7"/>
  <c r="F202" i="7"/>
  <c r="D202" i="7"/>
  <c r="P201" i="7"/>
  <c r="O201" i="7" s="1"/>
  <c r="J201" i="7" s="1"/>
  <c r="I201" i="7"/>
  <c r="H201" i="7"/>
  <c r="G201" i="7"/>
  <c r="F201" i="7"/>
  <c r="D201" i="7"/>
  <c r="P200" i="7"/>
  <c r="O200" i="7" s="1"/>
  <c r="J200" i="7" s="1"/>
  <c r="I200" i="7"/>
  <c r="H200" i="7"/>
  <c r="G200" i="7"/>
  <c r="F200" i="7"/>
  <c r="D200" i="7"/>
  <c r="P199" i="7"/>
  <c r="O199" i="7" s="1"/>
  <c r="J199" i="7" s="1"/>
  <c r="I199" i="7"/>
  <c r="H199" i="7"/>
  <c r="G199" i="7"/>
  <c r="F199" i="7"/>
  <c r="D199" i="7"/>
  <c r="P198" i="7"/>
  <c r="O198" i="7"/>
  <c r="J198" i="7"/>
  <c r="I198" i="7"/>
  <c r="H198" i="7"/>
  <c r="G198" i="7"/>
  <c r="F198" i="7"/>
  <c r="D198" i="7"/>
  <c r="P197" i="7"/>
  <c r="O197" i="7" s="1"/>
  <c r="J197" i="7" s="1"/>
  <c r="I197" i="7"/>
  <c r="H197" i="7"/>
  <c r="G197" i="7"/>
  <c r="F197" i="7"/>
  <c r="D197" i="7"/>
  <c r="P196" i="7"/>
  <c r="O196" i="7" s="1"/>
  <c r="J196" i="7" s="1"/>
  <c r="I196" i="7"/>
  <c r="H196" i="7"/>
  <c r="G196" i="7"/>
  <c r="F196" i="7"/>
  <c r="D196" i="7"/>
  <c r="P195" i="7"/>
  <c r="O195" i="7"/>
  <c r="J195" i="7"/>
  <c r="I195" i="7"/>
  <c r="H195" i="7"/>
  <c r="G195" i="7"/>
  <c r="F195" i="7"/>
  <c r="D195" i="7"/>
  <c r="P194" i="7"/>
  <c r="O194" i="7" s="1"/>
  <c r="J194" i="7" s="1"/>
  <c r="I194" i="7"/>
  <c r="H194" i="7"/>
  <c r="G194" i="7"/>
  <c r="F194" i="7"/>
  <c r="D194" i="7"/>
  <c r="P193" i="7"/>
  <c r="O193" i="7" s="1"/>
  <c r="J193" i="7" s="1"/>
  <c r="I193" i="7"/>
  <c r="H193" i="7"/>
  <c r="G193" i="7"/>
  <c r="F193" i="7"/>
  <c r="D193" i="7"/>
  <c r="P192" i="7"/>
  <c r="O192" i="7"/>
  <c r="J192" i="7"/>
  <c r="I192" i="7"/>
  <c r="H192" i="7"/>
  <c r="G192" i="7"/>
  <c r="F192" i="7"/>
  <c r="D192" i="7"/>
  <c r="P191" i="7"/>
  <c r="O191" i="7" s="1"/>
  <c r="J191" i="7" s="1"/>
  <c r="I191" i="7"/>
  <c r="H191" i="7"/>
  <c r="G191" i="7"/>
  <c r="F191" i="7"/>
  <c r="D191" i="7"/>
  <c r="P190" i="7"/>
  <c r="O190" i="7"/>
  <c r="J190" i="7"/>
  <c r="I190" i="7"/>
  <c r="H190" i="7"/>
  <c r="G190" i="7"/>
  <c r="F190" i="7"/>
  <c r="D190" i="7"/>
  <c r="P189" i="7"/>
  <c r="O189" i="7" s="1"/>
  <c r="J189" i="7" s="1"/>
  <c r="I189" i="7"/>
  <c r="H189" i="7"/>
  <c r="G189" i="7"/>
  <c r="F189" i="7"/>
  <c r="D189" i="7"/>
  <c r="P188" i="7"/>
  <c r="O188" i="7" s="1"/>
  <c r="J188" i="7" s="1"/>
  <c r="I188" i="7"/>
  <c r="H188" i="7"/>
  <c r="G188" i="7"/>
  <c r="F188" i="7"/>
  <c r="D188" i="7"/>
  <c r="P187" i="7"/>
  <c r="O187" i="7" s="1"/>
  <c r="J187" i="7" s="1"/>
  <c r="I187" i="7"/>
  <c r="H187" i="7"/>
  <c r="G187" i="7"/>
  <c r="F187" i="7"/>
  <c r="D187" i="7"/>
  <c r="P186" i="7"/>
  <c r="O186" i="7" s="1"/>
  <c r="J186" i="7" s="1"/>
  <c r="I186" i="7"/>
  <c r="H186" i="7"/>
  <c r="G186" i="7"/>
  <c r="F186" i="7"/>
  <c r="D186" i="7"/>
  <c r="P185" i="7"/>
  <c r="O185" i="7" s="1"/>
  <c r="J185" i="7"/>
  <c r="I185" i="7"/>
  <c r="H185" i="7"/>
  <c r="G185" i="7"/>
  <c r="F185" i="7"/>
  <c r="D185" i="7"/>
  <c r="P184" i="7"/>
  <c r="O184" i="7"/>
  <c r="J184" i="7" s="1"/>
  <c r="I184" i="7"/>
  <c r="H184" i="7"/>
  <c r="G184" i="7"/>
  <c r="F184" i="7"/>
  <c r="D184" i="7"/>
  <c r="P183" i="7"/>
  <c r="O183" i="7"/>
  <c r="J183" i="7" s="1"/>
  <c r="I183" i="7"/>
  <c r="H183" i="7"/>
  <c r="G183" i="7"/>
  <c r="F183" i="7"/>
  <c r="D183" i="7"/>
  <c r="P182" i="7"/>
  <c r="O182" i="7" s="1"/>
  <c r="J182" i="7"/>
  <c r="I182" i="7"/>
  <c r="H182" i="7"/>
  <c r="G182" i="7"/>
  <c r="F182" i="7"/>
  <c r="D182" i="7"/>
  <c r="P181" i="7"/>
  <c r="O181" i="7" s="1"/>
  <c r="J181" i="7" s="1"/>
  <c r="I181" i="7"/>
  <c r="H181" i="7"/>
  <c r="G181" i="7"/>
  <c r="F181" i="7"/>
  <c r="D181" i="7"/>
  <c r="P180" i="7"/>
  <c r="O180" i="7"/>
  <c r="J180" i="7"/>
  <c r="I180" i="7"/>
  <c r="H180" i="7"/>
  <c r="G180" i="7"/>
  <c r="F180" i="7"/>
  <c r="D180" i="7"/>
  <c r="P179" i="7"/>
  <c r="O179" i="7" s="1"/>
  <c r="J179" i="7" s="1"/>
  <c r="I179" i="7"/>
  <c r="H179" i="7"/>
  <c r="G179" i="7"/>
  <c r="F179" i="7"/>
  <c r="D179" i="7"/>
  <c r="P178" i="7"/>
  <c r="O178" i="7"/>
  <c r="J178" i="7" s="1"/>
  <c r="I178" i="7"/>
  <c r="H178" i="7"/>
  <c r="G178" i="7"/>
  <c r="F178" i="7"/>
  <c r="D178" i="7"/>
  <c r="P177" i="7"/>
  <c r="O177" i="7" s="1"/>
  <c r="J177" i="7" s="1"/>
  <c r="I177" i="7"/>
  <c r="H177" i="7"/>
  <c r="G177" i="7"/>
  <c r="F177" i="7"/>
  <c r="D177" i="7"/>
  <c r="P176" i="7"/>
  <c r="O176" i="7" s="1"/>
  <c r="J176" i="7"/>
  <c r="I176" i="7"/>
  <c r="H176" i="7"/>
  <c r="G176" i="7"/>
  <c r="F176" i="7"/>
  <c r="D176" i="7"/>
  <c r="P175" i="7"/>
  <c r="O175" i="7" s="1"/>
  <c r="J175" i="7" s="1"/>
  <c r="I175" i="7"/>
  <c r="H175" i="7"/>
  <c r="G175" i="7"/>
  <c r="F175" i="7"/>
  <c r="D175" i="7"/>
  <c r="P174" i="7"/>
  <c r="O174" i="7"/>
  <c r="J174" i="7"/>
  <c r="I174" i="7"/>
  <c r="H174" i="7"/>
  <c r="G174" i="7"/>
  <c r="F174" i="7"/>
  <c r="D174" i="7"/>
  <c r="P173" i="7"/>
  <c r="O173" i="7" s="1"/>
  <c r="J173" i="7" s="1"/>
  <c r="I173" i="7"/>
  <c r="H173" i="7"/>
  <c r="G173" i="7"/>
  <c r="F173" i="7"/>
  <c r="D173" i="7"/>
  <c r="P172" i="7"/>
  <c r="O172" i="7" s="1"/>
  <c r="J172" i="7" s="1"/>
  <c r="I172" i="7"/>
  <c r="H172" i="7"/>
  <c r="G172" i="7"/>
  <c r="F172" i="7"/>
  <c r="D172" i="7"/>
  <c r="P171" i="7"/>
  <c r="O171" i="7"/>
  <c r="J171" i="7"/>
  <c r="I171" i="7"/>
  <c r="H171" i="7"/>
  <c r="G171" i="7"/>
  <c r="F171" i="7"/>
  <c r="D171" i="7"/>
  <c r="P170" i="7"/>
  <c r="O170" i="7" s="1"/>
  <c r="J170" i="7"/>
  <c r="I170" i="7"/>
  <c r="H170" i="7"/>
  <c r="G170" i="7"/>
  <c r="F170" i="7"/>
  <c r="D170" i="7"/>
  <c r="P169" i="7"/>
  <c r="O169" i="7" s="1"/>
  <c r="J169" i="7" s="1"/>
  <c r="I169" i="7"/>
  <c r="H169" i="7"/>
  <c r="G169" i="7"/>
  <c r="F169" i="7"/>
  <c r="D169" i="7"/>
  <c r="P168" i="7"/>
  <c r="O168" i="7"/>
  <c r="J168" i="7"/>
  <c r="I168" i="7"/>
  <c r="H168" i="7"/>
  <c r="G168" i="7"/>
  <c r="F168" i="7"/>
  <c r="D168" i="7"/>
  <c r="P167" i="7"/>
  <c r="O167" i="7" s="1"/>
  <c r="J167" i="7" s="1"/>
  <c r="I167" i="7"/>
  <c r="H167" i="7"/>
  <c r="G167" i="7"/>
  <c r="F167" i="7"/>
  <c r="D167" i="7"/>
  <c r="P166" i="7"/>
  <c r="O166" i="7"/>
  <c r="J166" i="7" s="1"/>
  <c r="I166" i="7"/>
  <c r="H166" i="7"/>
  <c r="G166" i="7"/>
  <c r="F166" i="7"/>
  <c r="D166" i="7"/>
  <c r="P165" i="7"/>
  <c r="O165" i="7" s="1"/>
  <c r="J165" i="7" s="1"/>
  <c r="I165" i="7"/>
  <c r="H165" i="7"/>
  <c r="G165" i="7"/>
  <c r="F165" i="7"/>
  <c r="D165" i="7"/>
  <c r="P164" i="7"/>
  <c r="O164" i="7" s="1"/>
  <c r="J164" i="7"/>
  <c r="I164" i="7"/>
  <c r="H164" i="7"/>
  <c r="G164" i="7"/>
  <c r="F164" i="7"/>
  <c r="D164" i="7"/>
  <c r="P163" i="7"/>
  <c r="O163" i="7"/>
  <c r="J163" i="7"/>
  <c r="I163" i="7"/>
  <c r="H163" i="7"/>
  <c r="G163" i="7"/>
  <c r="F163" i="7"/>
  <c r="D163" i="7"/>
  <c r="P162" i="7"/>
  <c r="O162" i="7" s="1"/>
  <c r="J162" i="7" s="1"/>
  <c r="I162" i="7"/>
  <c r="H162" i="7"/>
  <c r="G162" i="7"/>
  <c r="F162" i="7"/>
  <c r="D162" i="7"/>
  <c r="P161" i="7"/>
  <c r="O161" i="7" s="1"/>
  <c r="J161" i="7" s="1"/>
  <c r="I161" i="7"/>
  <c r="H161" i="7"/>
  <c r="G161" i="7"/>
  <c r="F161" i="7"/>
  <c r="D161" i="7"/>
  <c r="P160" i="7"/>
  <c r="O160" i="7" s="1"/>
  <c r="J160" i="7" s="1"/>
  <c r="I160" i="7"/>
  <c r="H160" i="7"/>
  <c r="G160" i="7"/>
  <c r="F160" i="7"/>
  <c r="D160" i="7"/>
  <c r="P159" i="7"/>
  <c r="O159" i="7"/>
  <c r="J159" i="7" s="1"/>
  <c r="I159" i="7"/>
  <c r="H159" i="7"/>
  <c r="G159" i="7"/>
  <c r="F159" i="7"/>
  <c r="D159" i="7"/>
  <c r="P158" i="7"/>
  <c r="O158" i="7" s="1"/>
  <c r="J158" i="7"/>
  <c r="I158" i="7"/>
  <c r="H158" i="7"/>
  <c r="G158" i="7"/>
  <c r="F158" i="7"/>
  <c r="D158" i="7"/>
  <c r="P157" i="7"/>
  <c r="O157" i="7" s="1"/>
  <c r="J157" i="7" s="1"/>
  <c r="I157" i="7"/>
  <c r="H157" i="7"/>
  <c r="G157" i="7"/>
  <c r="F157" i="7"/>
  <c r="D157" i="7"/>
  <c r="P156" i="7"/>
  <c r="O156" i="7" s="1"/>
  <c r="J156" i="7" s="1"/>
  <c r="I156" i="7"/>
  <c r="H156" i="7"/>
  <c r="G156" i="7"/>
  <c r="F156" i="7"/>
  <c r="D156" i="7"/>
  <c r="P155" i="7"/>
  <c r="O155" i="7" s="1"/>
  <c r="J155" i="7" s="1"/>
  <c r="I155" i="7"/>
  <c r="H155" i="7"/>
  <c r="G155" i="7"/>
  <c r="F155" i="7"/>
  <c r="D155" i="7"/>
  <c r="P154" i="7"/>
  <c r="O154" i="7"/>
  <c r="J154" i="7"/>
  <c r="I154" i="7"/>
  <c r="H154" i="7"/>
  <c r="G154" i="7"/>
  <c r="F154" i="7"/>
  <c r="D154" i="7"/>
  <c r="P153" i="7"/>
  <c r="O153" i="7"/>
  <c r="J153" i="7" s="1"/>
  <c r="I153" i="7"/>
  <c r="H153" i="7"/>
  <c r="G153" i="7"/>
  <c r="F153" i="7"/>
  <c r="D153" i="7"/>
  <c r="P152" i="7"/>
  <c r="O152" i="7" s="1"/>
  <c r="J152" i="7"/>
  <c r="I152" i="7"/>
  <c r="H152" i="7"/>
  <c r="G152" i="7"/>
  <c r="F152" i="7"/>
  <c r="D152" i="7"/>
  <c r="P151" i="7"/>
  <c r="O151" i="7" s="1"/>
  <c r="J151" i="7" s="1"/>
  <c r="I151" i="7"/>
  <c r="H151" i="7"/>
  <c r="G151" i="7"/>
  <c r="F151" i="7"/>
  <c r="D151" i="7"/>
  <c r="P150" i="7"/>
  <c r="O150" i="7" s="1"/>
  <c r="J150" i="7" s="1"/>
  <c r="I150" i="7"/>
  <c r="H150" i="7"/>
  <c r="G150" i="7"/>
  <c r="F150" i="7"/>
  <c r="D150" i="7"/>
  <c r="P149" i="7"/>
  <c r="O149" i="7" s="1"/>
  <c r="J149" i="7" s="1"/>
  <c r="I149" i="7"/>
  <c r="H149" i="7"/>
  <c r="G149" i="7"/>
  <c r="F149" i="7"/>
  <c r="D149" i="7"/>
  <c r="P148" i="7"/>
  <c r="O148" i="7"/>
  <c r="J148" i="7" s="1"/>
  <c r="I148" i="7"/>
  <c r="H148" i="7"/>
  <c r="G148" i="7"/>
  <c r="F148" i="7"/>
  <c r="D148" i="7"/>
  <c r="P147" i="7"/>
  <c r="O147" i="7" s="1"/>
  <c r="J147" i="7" s="1"/>
  <c r="I147" i="7"/>
  <c r="H147" i="7"/>
  <c r="G147" i="7"/>
  <c r="F147" i="7"/>
  <c r="D147" i="7"/>
  <c r="P146" i="7"/>
  <c r="O146" i="7" s="1"/>
  <c r="J146" i="7"/>
  <c r="I146" i="7"/>
  <c r="H146" i="7"/>
  <c r="G146" i="7"/>
  <c r="F146" i="7"/>
  <c r="D146" i="7"/>
  <c r="P145" i="7"/>
  <c r="O145" i="7" s="1"/>
  <c r="J145" i="7" s="1"/>
  <c r="I145" i="7"/>
  <c r="H145" i="7"/>
  <c r="G145" i="7"/>
  <c r="F145" i="7"/>
  <c r="D145" i="7"/>
  <c r="P144" i="7"/>
  <c r="O144" i="7"/>
  <c r="J144" i="7"/>
  <c r="I144" i="7"/>
  <c r="H144" i="7"/>
  <c r="G144" i="7"/>
  <c r="F144" i="7"/>
  <c r="D144" i="7"/>
  <c r="P143" i="7"/>
  <c r="O143" i="7" s="1"/>
  <c r="J143" i="7"/>
  <c r="I143" i="7"/>
  <c r="H143" i="7"/>
  <c r="G143" i="7"/>
  <c r="F143" i="7"/>
  <c r="D143" i="7"/>
  <c r="P142" i="7"/>
  <c r="O142" i="7" s="1"/>
  <c r="J142" i="7" s="1"/>
  <c r="I142" i="7"/>
  <c r="H142" i="7"/>
  <c r="G142" i="7"/>
  <c r="F142" i="7"/>
  <c r="D142" i="7"/>
  <c r="P141" i="7"/>
  <c r="O141" i="7"/>
  <c r="J141" i="7" s="1"/>
  <c r="I141" i="7"/>
  <c r="H141" i="7"/>
  <c r="G141" i="7"/>
  <c r="F141" i="7"/>
  <c r="D141" i="7"/>
  <c r="P140" i="7"/>
  <c r="O140" i="7" s="1"/>
  <c r="J140" i="7"/>
  <c r="I140" i="7"/>
  <c r="H140" i="7"/>
  <c r="G140" i="7"/>
  <c r="F140" i="7"/>
  <c r="D140" i="7"/>
  <c r="P139" i="7"/>
  <c r="O139" i="7" s="1"/>
  <c r="J139" i="7" s="1"/>
  <c r="I139" i="7"/>
  <c r="H139" i="7"/>
  <c r="G139" i="7"/>
  <c r="F139" i="7"/>
  <c r="D139" i="7"/>
  <c r="P138" i="7"/>
  <c r="O138" i="7" s="1"/>
  <c r="J138" i="7" s="1"/>
  <c r="I138" i="7"/>
  <c r="H138" i="7"/>
  <c r="G138" i="7"/>
  <c r="F138" i="7"/>
  <c r="D138" i="7"/>
  <c r="P137" i="7"/>
  <c r="O137" i="7" s="1"/>
  <c r="J137" i="7" s="1"/>
  <c r="I137" i="7"/>
  <c r="H137" i="7"/>
  <c r="G137" i="7"/>
  <c r="F137" i="7"/>
  <c r="D137" i="7"/>
  <c r="P136" i="7"/>
  <c r="O136" i="7"/>
  <c r="J136" i="7" s="1"/>
  <c r="I136" i="7"/>
  <c r="H136" i="7"/>
  <c r="G136" i="7"/>
  <c r="F136" i="7"/>
  <c r="D136" i="7"/>
  <c r="P135" i="7"/>
  <c r="O135" i="7"/>
  <c r="J135" i="7" s="1"/>
  <c r="I135" i="7"/>
  <c r="H135" i="7"/>
  <c r="G135" i="7"/>
  <c r="F135" i="7"/>
  <c r="D135" i="7"/>
  <c r="P134" i="7"/>
  <c r="O134" i="7" s="1"/>
  <c r="J134" i="7"/>
  <c r="I134" i="7"/>
  <c r="H134" i="7"/>
  <c r="G134" i="7"/>
  <c r="F134" i="7"/>
  <c r="D134" i="7"/>
  <c r="P133" i="7"/>
  <c r="O133" i="7" s="1"/>
  <c r="J133" i="7" s="1"/>
  <c r="I133" i="7"/>
  <c r="H133" i="7"/>
  <c r="G133" i="7"/>
  <c r="F133" i="7"/>
  <c r="D133" i="7"/>
  <c r="P132" i="7"/>
  <c r="O132" i="7"/>
  <c r="J132" i="7"/>
  <c r="I132" i="7"/>
  <c r="H132" i="7"/>
  <c r="G132" i="7"/>
  <c r="F132" i="7"/>
  <c r="D132" i="7"/>
  <c r="P131" i="7"/>
  <c r="O131" i="7" s="1"/>
  <c r="J131" i="7" s="1"/>
  <c r="I131" i="7"/>
  <c r="H131" i="7"/>
  <c r="G131" i="7"/>
  <c r="F131" i="7"/>
  <c r="D131" i="7"/>
  <c r="P130" i="7"/>
  <c r="O130" i="7"/>
  <c r="J130" i="7" s="1"/>
  <c r="I130" i="7"/>
  <c r="H130" i="7"/>
  <c r="G130" i="7"/>
  <c r="F130" i="7"/>
  <c r="D130" i="7"/>
  <c r="P129" i="7"/>
  <c r="O129" i="7"/>
  <c r="J129" i="7"/>
  <c r="I129" i="7"/>
  <c r="H129" i="7"/>
  <c r="G129" i="7"/>
  <c r="F129" i="7"/>
  <c r="D129" i="7"/>
  <c r="P128" i="7"/>
  <c r="O128" i="7" s="1"/>
  <c r="J128" i="7"/>
  <c r="I128" i="7"/>
  <c r="H128" i="7"/>
  <c r="G128" i="7"/>
  <c r="F128" i="7"/>
  <c r="D128" i="7"/>
  <c r="P127" i="7"/>
  <c r="O127" i="7"/>
  <c r="J127" i="7"/>
  <c r="I127" i="7"/>
  <c r="H127" i="7"/>
  <c r="G127" i="7"/>
  <c r="F127" i="7"/>
  <c r="D127" i="7"/>
  <c r="P126" i="7"/>
  <c r="O126" i="7"/>
  <c r="J126" i="7"/>
  <c r="I126" i="7"/>
  <c r="H126" i="7"/>
  <c r="G126" i="7"/>
  <c r="F126" i="7"/>
  <c r="D126" i="7"/>
  <c r="P125" i="7"/>
  <c r="O125" i="7" s="1"/>
  <c r="J125" i="7" s="1"/>
  <c r="I125" i="7"/>
  <c r="H125" i="7"/>
  <c r="G125" i="7"/>
  <c r="F125" i="7"/>
  <c r="D125" i="7"/>
  <c r="P124" i="7"/>
  <c r="O124" i="7"/>
  <c r="J124" i="7"/>
  <c r="I124" i="7"/>
  <c r="H124" i="7"/>
  <c r="G124" i="7"/>
  <c r="F124" i="7"/>
  <c r="D124" i="7"/>
  <c r="P123" i="7"/>
  <c r="O123" i="7" s="1"/>
  <c r="J123" i="7" s="1"/>
  <c r="I123" i="7"/>
  <c r="H123" i="7"/>
  <c r="G123" i="7"/>
  <c r="F123" i="7"/>
  <c r="D123" i="7"/>
  <c r="P122" i="7"/>
  <c r="O122" i="7" s="1"/>
  <c r="J122" i="7"/>
  <c r="I122" i="7"/>
  <c r="H122" i="7"/>
  <c r="G122" i="7"/>
  <c r="F122" i="7"/>
  <c r="D122" i="7"/>
  <c r="P121" i="7"/>
  <c r="O121" i="7"/>
  <c r="J121" i="7"/>
  <c r="I121" i="7"/>
  <c r="H121" i="7"/>
  <c r="G121" i="7"/>
  <c r="F121" i="7"/>
  <c r="D121" i="7"/>
  <c r="P120" i="7"/>
  <c r="O120" i="7" s="1"/>
  <c r="J120" i="7" s="1"/>
  <c r="I120" i="7"/>
  <c r="H120" i="7"/>
  <c r="G120" i="7"/>
  <c r="F120" i="7"/>
  <c r="D120" i="7"/>
  <c r="P119" i="7"/>
  <c r="O119" i="7" s="1"/>
  <c r="J119" i="7" s="1"/>
  <c r="I119" i="7"/>
  <c r="H119" i="7"/>
  <c r="G119" i="7"/>
  <c r="F119" i="7"/>
  <c r="D119" i="7"/>
  <c r="P118" i="7"/>
  <c r="O118" i="7" s="1"/>
  <c r="J118" i="7" s="1"/>
  <c r="I118" i="7"/>
  <c r="H118" i="7"/>
  <c r="G118" i="7"/>
  <c r="F118" i="7"/>
  <c r="D118" i="7"/>
  <c r="P117" i="7"/>
  <c r="O117" i="7"/>
  <c r="J117" i="7"/>
  <c r="I117" i="7"/>
  <c r="H117" i="7"/>
  <c r="G117" i="7"/>
  <c r="F117" i="7"/>
  <c r="D117" i="7"/>
  <c r="P116" i="7"/>
  <c r="O116" i="7" s="1"/>
  <c r="J116" i="7"/>
  <c r="I116" i="7"/>
  <c r="H116" i="7"/>
  <c r="G116" i="7"/>
  <c r="F116" i="7"/>
  <c r="D116" i="7"/>
  <c r="P115" i="7"/>
  <c r="O115" i="7" s="1"/>
  <c r="J115" i="7" s="1"/>
  <c r="I115" i="7"/>
  <c r="H115" i="7"/>
  <c r="G115" i="7"/>
  <c r="F115" i="7"/>
  <c r="D115" i="7"/>
  <c r="P114" i="7"/>
  <c r="O114" i="7" s="1"/>
  <c r="J114" i="7" s="1"/>
  <c r="I114" i="7"/>
  <c r="H114" i="7"/>
  <c r="G114" i="7"/>
  <c r="F114" i="7"/>
  <c r="D114" i="7"/>
  <c r="P113" i="7"/>
  <c r="O113" i="7" s="1"/>
  <c r="J113" i="7"/>
  <c r="I113" i="7"/>
  <c r="H113" i="7"/>
  <c r="G113" i="7"/>
  <c r="F113" i="7"/>
  <c r="D113" i="7"/>
  <c r="P112" i="7"/>
  <c r="O112" i="7"/>
  <c r="J112" i="7" s="1"/>
  <c r="I112" i="7"/>
  <c r="H112" i="7"/>
  <c r="G112" i="7"/>
  <c r="F112" i="7"/>
  <c r="D112" i="7"/>
  <c r="P111" i="7"/>
  <c r="O111" i="7"/>
  <c r="J111" i="7" s="1"/>
  <c r="I111" i="7"/>
  <c r="H111" i="7"/>
  <c r="G111" i="7"/>
  <c r="F111" i="7"/>
  <c r="D111" i="7"/>
  <c r="P110" i="7"/>
  <c r="O110" i="7" s="1"/>
  <c r="J110" i="7" s="1"/>
  <c r="I110" i="7"/>
  <c r="H110" i="7"/>
  <c r="G110" i="7"/>
  <c r="F110" i="7"/>
  <c r="D110" i="7"/>
  <c r="J10" i="1"/>
  <c r="J11" i="1"/>
  <c r="J12" i="1"/>
  <c r="J13" i="1"/>
  <c r="J14" i="1"/>
  <c r="J15" i="1"/>
  <c r="J16" i="1"/>
  <c r="J17" i="1"/>
  <c r="J46" i="1"/>
  <c r="J47" i="1"/>
  <c r="J58" i="1"/>
  <c r="J59" i="1"/>
  <c r="J60" i="1"/>
  <c r="J61" i="1"/>
  <c r="J70" i="1"/>
  <c r="J71" i="1"/>
  <c r="J72" i="1"/>
  <c r="J73" i="1"/>
  <c r="J74" i="1"/>
  <c r="J75" i="1"/>
  <c r="J82" i="1"/>
  <c r="J83" i="1"/>
  <c r="J84" i="1"/>
  <c r="J85" i="1"/>
  <c r="J86" i="1"/>
  <c r="J87" i="1"/>
  <c r="J88" i="1"/>
  <c r="J89" i="1"/>
  <c r="J118" i="1"/>
  <c r="J119" i="1"/>
  <c r="J130" i="1"/>
  <c r="J131" i="1"/>
  <c r="J132" i="1"/>
  <c r="J133" i="1"/>
  <c r="J142" i="1"/>
  <c r="J143" i="1"/>
  <c r="J144" i="1"/>
  <c r="J145" i="1"/>
  <c r="J146" i="1"/>
  <c r="J147" i="1"/>
  <c r="J154" i="1"/>
  <c r="J155" i="1"/>
  <c r="J156" i="1"/>
  <c r="J157" i="1"/>
  <c r="J158" i="1"/>
  <c r="J159" i="1"/>
  <c r="J160" i="1"/>
  <c r="J161" i="1"/>
  <c r="J190" i="1"/>
  <c r="J191" i="1"/>
  <c r="J202" i="1"/>
  <c r="J203" i="1"/>
  <c r="J204" i="1"/>
  <c r="J205" i="1"/>
  <c r="J214" i="1"/>
  <c r="J215" i="1"/>
  <c r="J216" i="1"/>
  <c r="J217" i="1"/>
  <c r="J218" i="1"/>
  <c r="J219" i="1"/>
  <c r="J226" i="1"/>
  <c r="J227" i="1"/>
  <c r="J228" i="1"/>
  <c r="J229" i="1"/>
  <c r="J230" i="1"/>
  <c r="J231" i="1"/>
  <c r="J232" i="1"/>
  <c r="J233" i="1"/>
  <c r="J262" i="1"/>
  <c r="J263" i="1"/>
  <c r="J274" i="1"/>
  <c r="J275" i="1"/>
  <c r="J276" i="1"/>
  <c r="J277" i="1"/>
  <c r="J286" i="1"/>
  <c r="J287" i="1"/>
  <c r="J288" i="1"/>
  <c r="J289" i="1"/>
  <c r="J290" i="1"/>
  <c r="J291" i="1"/>
  <c r="J298" i="1"/>
  <c r="J299" i="1"/>
  <c r="J300" i="1"/>
  <c r="J301" i="1"/>
  <c r="J302" i="1"/>
  <c r="J303" i="1"/>
  <c r="J304" i="1"/>
  <c r="J305" i="1"/>
  <c r="J334" i="1"/>
  <c r="J335" i="1"/>
  <c r="J346" i="1"/>
  <c r="J347" i="1"/>
  <c r="J348" i="1"/>
  <c r="J349" i="1"/>
  <c r="J358" i="1"/>
  <c r="J359" i="1"/>
  <c r="J360" i="1"/>
  <c r="J361" i="1"/>
  <c r="J362" i="1"/>
  <c r="J363" i="1"/>
  <c r="J370" i="1"/>
  <c r="J371" i="1"/>
  <c r="J372" i="1"/>
  <c r="J373" i="1"/>
  <c r="J374" i="1"/>
  <c r="J375" i="1"/>
  <c r="J376" i="1"/>
  <c r="J37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P3" i="1"/>
  <c r="O3" i="1" s="1"/>
  <c r="J3" i="1" s="1"/>
  <c r="P5" i="1"/>
  <c r="O5" i="1" s="1"/>
  <c r="J5" i="1" s="1"/>
  <c r="P2" i="1"/>
  <c r="O2" i="1" s="1"/>
  <c r="J2" i="1" s="1"/>
  <c r="P4" i="1"/>
  <c r="O4" i="1" s="1"/>
  <c r="J4" i="1" s="1"/>
  <c r="P6" i="1"/>
  <c r="O6" i="1" s="1"/>
  <c r="J6" i="1" s="1"/>
  <c r="P7" i="1"/>
  <c r="O7" i="1" s="1"/>
  <c r="J7" i="1" s="1"/>
  <c r="P8" i="1"/>
  <c r="O8" i="1" s="1"/>
  <c r="J8" i="1" s="1"/>
  <c r="P9" i="1"/>
  <c r="O9" i="1" s="1"/>
  <c r="J9" i="1" s="1"/>
  <c r="P10" i="1"/>
  <c r="O10" i="1" s="1"/>
  <c r="P11" i="1"/>
  <c r="O11" i="1" s="1"/>
  <c r="P12" i="1"/>
  <c r="O12" i="1" s="1"/>
  <c r="P13" i="1"/>
  <c r="O13" i="1" s="1"/>
  <c r="P14" i="1"/>
  <c r="O14" i="1" s="1"/>
  <c r="P15" i="1"/>
  <c r="O15" i="1" s="1"/>
  <c r="P16" i="1"/>
  <c r="O16" i="1" s="1"/>
  <c r="P17" i="1"/>
  <c r="O17" i="1" s="1"/>
  <c r="P18" i="1"/>
  <c r="O18" i="1" s="1"/>
  <c r="J18" i="1" s="1"/>
  <c r="P19" i="1"/>
  <c r="O19" i="1" s="1"/>
  <c r="J19" i="1" s="1"/>
  <c r="P20" i="1"/>
  <c r="O20" i="1" s="1"/>
  <c r="J20" i="1" s="1"/>
  <c r="P21" i="1"/>
  <c r="O21" i="1" s="1"/>
  <c r="J21" i="1" s="1"/>
  <c r="P22" i="1"/>
  <c r="O22" i="1" s="1"/>
  <c r="J22" i="1" s="1"/>
  <c r="P23" i="1"/>
  <c r="O23" i="1" s="1"/>
  <c r="J23" i="1" s="1"/>
  <c r="P24" i="1"/>
  <c r="O24" i="1" s="1"/>
  <c r="J24" i="1" s="1"/>
  <c r="P25" i="1"/>
  <c r="O25" i="1" s="1"/>
  <c r="J25" i="1" s="1"/>
  <c r="P26" i="1"/>
  <c r="O26" i="1" s="1"/>
  <c r="J26" i="1" s="1"/>
  <c r="P27" i="1"/>
  <c r="O27" i="1" s="1"/>
  <c r="J27" i="1" s="1"/>
  <c r="P28" i="1"/>
  <c r="O28" i="1" s="1"/>
  <c r="J28" i="1" s="1"/>
  <c r="P29" i="1"/>
  <c r="O29" i="1" s="1"/>
  <c r="J29" i="1" s="1"/>
  <c r="P30" i="1"/>
  <c r="O30" i="1" s="1"/>
  <c r="J30" i="1" s="1"/>
  <c r="P31" i="1"/>
  <c r="O31" i="1" s="1"/>
  <c r="J31" i="1" s="1"/>
  <c r="P32" i="1"/>
  <c r="O32" i="1" s="1"/>
  <c r="J32" i="1" s="1"/>
  <c r="P33" i="1"/>
  <c r="O33" i="1" s="1"/>
  <c r="J33" i="1" s="1"/>
  <c r="P34" i="1"/>
  <c r="O34" i="1" s="1"/>
  <c r="J34" i="1" s="1"/>
  <c r="P35" i="1"/>
  <c r="O35" i="1" s="1"/>
  <c r="J35" i="1" s="1"/>
  <c r="P36" i="1"/>
  <c r="O36" i="1" s="1"/>
  <c r="J36" i="1" s="1"/>
  <c r="P37" i="1"/>
  <c r="O37" i="1" s="1"/>
  <c r="J37" i="1" s="1"/>
  <c r="P38" i="1"/>
  <c r="O38" i="1" s="1"/>
  <c r="J38" i="1" s="1"/>
  <c r="P39" i="1"/>
  <c r="O39" i="1" s="1"/>
  <c r="J39" i="1" s="1"/>
  <c r="P40" i="1"/>
  <c r="O40" i="1" s="1"/>
  <c r="J40" i="1" s="1"/>
  <c r="P41" i="1"/>
  <c r="O41" i="1" s="1"/>
  <c r="J41" i="1" s="1"/>
  <c r="P42" i="1"/>
  <c r="O42" i="1" s="1"/>
  <c r="J42" i="1" s="1"/>
  <c r="P43" i="1"/>
  <c r="O43" i="1" s="1"/>
  <c r="J43" i="1" s="1"/>
  <c r="P44" i="1"/>
  <c r="O44" i="1" s="1"/>
  <c r="J44" i="1" s="1"/>
  <c r="P45" i="1"/>
  <c r="O45" i="1" s="1"/>
  <c r="J45" i="1" s="1"/>
  <c r="P46" i="1"/>
  <c r="O46" i="1" s="1"/>
  <c r="P47" i="1"/>
  <c r="O47" i="1" s="1"/>
  <c r="P48" i="1"/>
  <c r="O48" i="1" s="1"/>
  <c r="J48" i="1" s="1"/>
  <c r="P49" i="1"/>
  <c r="O49" i="1" s="1"/>
  <c r="J49" i="1" s="1"/>
  <c r="P50" i="1"/>
  <c r="O50" i="1" s="1"/>
  <c r="J50" i="1" s="1"/>
  <c r="P51" i="1"/>
  <c r="O51" i="1" s="1"/>
  <c r="J51" i="1" s="1"/>
  <c r="P52" i="1"/>
  <c r="O52" i="1" s="1"/>
  <c r="J52" i="1" s="1"/>
  <c r="P53" i="1"/>
  <c r="O53" i="1" s="1"/>
  <c r="J53" i="1" s="1"/>
  <c r="P54" i="1"/>
  <c r="O54" i="1" s="1"/>
  <c r="J54" i="1" s="1"/>
  <c r="P55" i="1"/>
  <c r="O55" i="1" s="1"/>
  <c r="J55" i="1" s="1"/>
  <c r="P56" i="1"/>
  <c r="O56" i="1" s="1"/>
  <c r="J56" i="1" s="1"/>
  <c r="P57" i="1"/>
  <c r="O57" i="1" s="1"/>
  <c r="J57" i="1" s="1"/>
  <c r="P58" i="1"/>
  <c r="O58" i="1" s="1"/>
  <c r="P59" i="1"/>
  <c r="O59" i="1" s="1"/>
  <c r="P60" i="1"/>
  <c r="O60" i="1" s="1"/>
  <c r="P61" i="1"/>
  <c r="O61" i="1" s="1"/>
  <c r="P62" i="1"/>
  <c r="O62" i="1" s="1"/>
  <c r="J62" i="1" s="1"/>
  <c r="P63" i="1"/>
  <c r="O63" i="1" s="1"/>
  <c r="J63" i="1" s="1"/>
  <c r="P64" i="1"/>
  <c r="O64" i="1" s="1"/>
  <c r="J64" i="1" s="1"/>
  <c r="P65" i="1"/>
  <c r="O65" i="1" s="1"/>
  <c r="J65" i="1" s="1"/>
  <c r="P66" i="1"/>
  <c r="O66" i="1" s="1"/>
  <c r="J66" i="1" s="1"/>
  <c r="P67" i="1"/>
  <c r="O67" i="1" s="1"/>
  <c r="J67" i="1" s="1"/>
  <c r="P68" i="1"/>
  <c r="O68" i="1" s="1"/>
  <c r="J68" i="1" s="1"/>
  <c r="P69" i="1"/>
  <c r="O69" i="1" s="1"/>
  <c r="J69" i="1" s="1"/>
  <c r="P70" i="1"/>
  <c r="O70" i="1" s="1"/>
  <c r="P71" i="1"/>
  <c r="O71" i="1" s="1"/>
  <c r="P72" i="1"/>
  <c r="O72" i="1" s="1"/>
  <c r="P73" i="1"/>
  <c r="O73" i="1" s="1"/>
  <c r="P74" i="1"/>
  <c r="O74" i="1" s="1"/>
  <c r="P75" i="1"/>
  <c r="O75" i="1" s="1"/>
  <c r="P76" i="1"/>
  <c r="O76" i="1" s="1"/>
  <c r="J76" i="1" s="1"/>
  <c r="P77" i="1"/>
  <c r="O77" i="1" s="1"/>
  <c r="J77" i="1" s="1"/>
  <c r="P78" i="1"/>
  <c r="O78" i="1" s="1"/>
  <c r="J78" i="1" s="1"/>
  <c r="P79" i="1"/>
  <c r="O79" i="1" s="1"/>
  <c r="J79" i="1" s="1"/>
  <c r="P80" i="1"/>
  <c r="O80" i="1" s="1"/>
  <c r="J80" i="1" s="1"/>
  <c r="P81" i="1"/>
  <c r="O81" i="1" s="1"/>
  <c r="J81" i="1" s="1"/>
  <c r="P82" i="1"/>
  <c r="O82" i="1" s="1"/>
  <c r="P83" i="1"/>
  <c r="O83" i="1" s="1"/>
  <c r="P84" i="1"/>
  <c r="O84" i="1" s="1"/>
  <c r="P85" i="1"/>
  <c r="O85" i="1" s="1"/>
  <c r="P86" i="1"/>
  <c r="O86" i="1" s="1"/>
  <c r="P87" i="1"/>
  <c r="O87" i="1" s="1"/>
  <c r="P88" i="1"/>
  <c r="O88" i="1" s="1"/>
  <c r="P89" i="1"/>
  <c r="O89" i="1" s="1"/>
  <c r="P90" i="1"/>
  <c r="O90" i="1" s="1"/>
  <c r="J90" i="1" s="1"/>
  <c r="P91" i="1"/>
  <c r="O91" i="1" s="1"/>
  <c r="J91" i="1" s="1"/>
  <c r="P92" i="1"/>
  <c r="O92" i="1" s="1"/>
  <c r="J92" i="1" s="1"/>
  <c r="P93" i="1"/>
  <c r="O93" i="1" s="1"/>
  <c r="J93" i="1" s="1"/>
  <c r="P94" i="1"/>
  <c r="O94" i="1" s="1"/>
  <c r="J94" i="1" s="1"/>
  <c r="P95" i="1"/>
  <c r="O95" i="1" s="1"/>
  <c r="J95" i="1" s="1"/>
  <c r="P96" i="1"/>
  <c r="O96" i="1" s="1"/>
  <c r="J96" i="1" s="1"/>
  <c r="P97" i="1"/>
  <c r="O97" i="1" s="1"/>
  <c r="J97" i="1" s="1"/>
  <c r="P98" i="1"/>
  <c r="O98" i="1" s="1"/>
  <c r="J98" i="1" s="1"/>
  <c r="P99" i="1"/>
  <c r="O99" i="1" s="1"/>
  <c r="J99" i="1" s="1"/>
  <c r="P100" i="1"/>
  <c r="O100" i="1" s="1"/>
  <c r="J100" i="1" s="1"/>
  <c r="P101" i="1"/>
  <c r="O101" i="1" s="1"/>
  <c r="J101" i="1" s="1"/>
  <c r="P102" i="1"/>
  <c r="O102" i="1" s="1"/>
  <c r="J102" i="1" s="1"/>
  <c r="P103" i="1"/>
  <c r="O103" i="1" s="1"/>
  <c r="J103" i="1" s="1"/>
  <c r="P104" i="1"/>
  <c r="O104" i="1" s="1"/>
  <c r="J104" i="1" s="1"/>
  <c r="P105" i="1"/>
  <c r="O105" i="1" s="1"/>
  <c r="J105" i="1" s="1"/>
  <c r="P106" i="1"/>
  <c r="O106" i="1" s="1"/>
  <c r="J106" i="1" s="1"/>
  <c r="P107" i="1"/>
  <c r="O107" i="1" s="1"/>
  <c r="J107" i="1" s="1"/>
  <c r="P108" i="1"/>
  <c r="O108" i="1" s="1"/>
  <c r="J108" i="1" s="1"/>
  <c r="P109" i="1"/>
  <c r="O109" i="1" s="1"/>
  <c r="J109" i="1" s="1"/>
  <c r="P110" i="1"/>
  <c r="O110" i="1" s="1"/>
  <c r="J110" i="1" s="1"/>
  <c r="P111" i="1"/>
  <c r="O111" i="1" s="1"/>
  <c r="J111" i="1" s="1"/>
  <c r="P112" i="1"/>
  <c r="O112" i="1" s="1"/>
  <c r="J112" i="1" s="1"/>
  <c r="P113" i="1"/>
  <c r="O113" i="1" s="1"/>
  <c r="J113" i="1" s="1"/>
  <c r="P114" i="1"/>
  <c r="O114" i="1" s="1"/>
  <c r="J114" i="1" s="1"/>
  <c r="P115" i="1"/>
  <c r="O115" i="1" s="1"/>
  <c r="J115" i="1" s="1"/>
  <c r="P116" i="1"/>
  <c r="O116" i="1" s="1"/>
  <c r="J116" i="1" s="1"/>
  <c r="P117" i="1"/>
  <c r="O117" i="1" s="1"/>
  <c r="J117" i="1" s="1"/>
  <c r="P118" i="1"/>
  <c r="O118" i="1" s="1"/>
  <c r="P119" i="1"/>
  <c r="O119" i="1" s="1"/>
  <c r="P120" i="1"/>
  <c r="O120" i="1" s="1"/>
  <c r="J120" i="1" s="1"/>
  <c r="P121" i="1"/>
  <c r="O121" i="1" s="1"/>
  <c r="J121" i="1" s="1"/>
  <c r="P122" i="1"/>
  <c r="O122" i="1" s="1"/>
  <c r="J122" i="1" s="1"/>
  <c r="P123" i="1"/>
  <c r="O123" i="1" s="1"/>
  <c r="J123" i="1" s="1"/>
  <c r="P124" i="1"/>
  <c r="O124" i="1" s="1"/>
  <c r="J124" i="1" s="1"/>
  <c r="P125" i="1"/>
  <c r="O125" i="1" s="1"/>
  <c r="J125" i="1" s="1"/>
  <c r="P126" i="1"/>
  <c r="O126" i="1" s="1"/>
  <c r="J126" i="1" s="1"/>
  <c r="P127" i="1"/>
  <c r="O127" i="1" s="1"/>
  <c r="J127" i="1" s="1"/>
  <c r="P128" i="1"/>
  <c r="O128" i="1" s="1"/>
  <c r="J128" i="1" s="1"/>
  <c r="P129" i="1"/>
  <c r="O129" i="1" s="1"/>
  <c r="J129" i="1" s="1"/>
  <c r="P130" i="1"/>
  <c r="O130" i="1" s="1"/>
  <c r="P131" i="1"/>
  <c r="O131" i="1" s="1"/>
  <c r="P132" i="1"/>
  <c r="O132" i="1" s="1"/>
  <c r="P133" i="1"/>
  <c r="O133" i="1" s="1"/>
  <c r="P134" i="1"/>
  <c r="O134" i="1" s="1"/>
  <c r="J134" i="1" s="1"/>
  <c r="P135" i="1"/>
  <c r="O135" i="1" s="1"/>
  <c r="J135" i="1" s="1"/>
  <c r="P136" i="1"/>
  <c r="O136" i="1" s="1"/>
  <c r="J136" i="1" s="1"/>
  <c r="P137" i="1"/>
  <c r="O137" i="1" s="1"/>
  <c r="J137" i="1" s="1"/>
  <c r="P138" i="1"/>
  <c r="O138" i="1" s="1"/>
  <c r="J138" i="1" s="1"/>
  <c r="P139" i="1"/>
  <c r="O139" i="1" s="1"/>
  <c r="J139" i="1" s="1"/>
  <c r="P140" i="1"/>
  <c r="O140" i="1" s="1"/>
  <c r="J140" i="1" s="1"/>
  <c r="P141" i="1"/>
  <c r="O141" i="1" s="1"/>
  <c r="J141" i="1" s="1"/>
  <c r="P142" i="1"/>
  <c r="O142" i="1" s="1"/>
  <c r="P143" i="1"/>
  <c r="O143" i="1" s="1"/>
  <c r="P144" i="1"/>
  <c r="O144" i="1" s="1"/>
  <c r="P145" i="1"/>
  <c r="O145" i="1" s="1"/>
  <c r="P146" i="1"/>
  <c r="O146" i="1" s="1"/>
  <c r="P147" i="1"/>
  <c r="O147" i="1" s="1"/>
  <c r="P148" i="1"/>
  <c r="O148" i="1" s="1"/>
  <c r="J148" i="1" s="1"/>
  <c r="P149" i="1"/>
  <c r="O149" i="1" s="1"/>
  <c r="J149" i="1" s="1"/>
  <c r="P150" i="1"/>
  <c r="O150" i="1" s="1"/>
  <c r="J150" i="1" s="1"/>
  <c r="P151" i="1"/>
  <c r="O151" i="1" s="1"/>
  <c r="J151" i="1" s="1"/>
  <c r="P152" i="1"/>
  <c r="O152" i="1" s="1"/>
  <c r="J152" i="1" s="1"/>
  <c r="P153" i="1"/>
  <c r="O153" i="1" s="1"/>
  <c r="J153" i="1" s="1"/>
  <c r="P154" i="1"/>
  <c r="O154" i="1" s="1"/>
  <c r="P155" i="1"/>
  <c r="O155" i="1" s="1"/>
  <c r="P156" i="1"/>
  <c r="O156" i="1" s="1"/>
  <c r="P157" i="1"/>
  <c r="O157" i="1" s="1"/>
  <c r="P158" i="1"/>
  <c r="O158" i="1" s="1"/>
  <c r="P159" i="1"/>
  <c r="O159" i="1" s="1"/>
  <c r="P160" i="1"/>
  <c r="O160" i="1" s="1"/>
  <c r="P161" i="1"/>
  <c r="O161" i="1" s="1"/>
  <c r="P162" i="1"/>
  <c r="O162" i="1" s="1"/>
  <c r="J162" i="1" s="1"/>
  <c r="P163" i="1"/>
  <c r="O163" i="1" s="1"/>
  <c r="J163" i="1" s="1"/>
  <c r="P164" i="1"/>
  <c r="O164" i="1" s="1"/>
  <c r="J164" i="1" s="1"/>
  <c r="P165" i="1"/>
  <c r="O165" i="1" s="1"/>
  <c r="J165" i="1" s="1"/>
  <c r="P166" i="1"/>
  <c r="O166" i="1" s="1"/>
  <c r="J166" i="1" s="1"/>
  <c r="P167" i="1"/>
  <c r="O167" i="1" s="1"/>
  <c r="J167" i="1" s="1"/>
  <c r="P168" i="1"/>
  <c r="O168" i="1" s="1"/>
  <c r="J168" i="1" s="1"/>
  <c r="P169" i="1"/>
  <c r="O169" i="1" s="1"/>
  <c r="J169" i="1" s="1"/>
  <c r="P170" i="1"/>
  <c r="O170" i="1" s="1"/>
  <c r="J170" i="1" s="1"/>
  <c r="P171" i="1"/>
  <c r="O171" i="1" s="1"/>
  <c r="J171" i="1" s="1"/>
  <c r="P172" i="1"/>
  <c r="O172" i="1" s="1"/>
  <c r="J172" i="1" s="1"/>
  <c r="P173" i="1"/>
  <c r="O173" i="1" s="1"/>
  <c r="J173" i="1" s="1"/>
  <c r="P174" i="1"/>
  <c r="O174" i="1" s="1"/>
  <c r="J174" i="1" s="1"/>
  <c r="P175" i="1"/>
  <c r="O175" i="1" s="1"/>
  <c r="J175" i="1" s="1"/>
  <c r="P176" i="1"/>
  <c r="O176" i="1" s="1"/>
  <c r="J176" i="1" s="1"/>
  <c r="P177" i="1"/>
  <c r="O177" i="1" s="1"/>
  <c r="J177" i="1" s="1"/>
  <c r="P178" i="1"/>
  <c r="O178" i="1" s="1"/>
  <c r="J178" i="1" s="1"/>
  <c r="P179" i="1"/>
  <c r="O179" i="1" s="1"/>
  <c r="J179" i="1" s="1"/>
  <c r="P180" i="1"/>
  <c r="O180" i="1" s="1"/>
  <c r="J180" i="1" s="1"/>
  <c r="P181" i="1"/>
  <c r="O181" i="1" s="1"/>
  <c r="J181" i="1" s="1"/>
  <c r="P182" i="1"/>
  <c r="O182" i="1" s="1"/>
  <c r="J182" i="1" s="1"/>
  <c r="P183" i="1"/>
  <c r="O183" i="1" s="1"/>
  <c r="J183" i="1" s="1"/>
  <c r="P184" i="1"/>
  <c r="O184" i="1" s="1"/>
  <c r="J184" i="1" s="1"/>
  <c r="P185" i="1"/>
  <c r="O185" i="1" s="1"/>
  <c r="J185" i="1" s="1"/>
  <c r="P186" i="1"/>
  <c r="O186" i="1" s="1"/>
  <c r="J186" i="1" s="1"/>
  <c r="P187" i="1"/>
  <c r="O187" i="1" s="1"/>
  <c r="J187" i="1" s="1"/>
  <c r="P188" i="1"/>
  <c r="O188" i="1" s="1"/>
  <c r="J188" i="1" s="1"/>
  <c r="P189" i="1"/>
  <c r="O189" i="1" s="1"/>
  <c r="J189" i="1" s="1"/>
  <c r="P190" i="1"/>
  <c r="O190" i="1" s="1"/>
  <c r="P191" i="1"/>
  <c r="O191" i="1" s="1"/>
  <c r="P192" i="1"/>
  <c r="O192" i="1" s="1"/>
  <c r="J192" i="1" s="1"/>
  <c r="P193" i="1"/>
  <c r="O193" i="1" s="1"/>
  <c r="J193" i="1" s="1"/>
  <c r="P194" i="1"/>
  <c r="O194" i="1" s="1"/>
  <c r="J194" i="1" s="1"/>
  <c r="P195" i="1"/>
  <c r="O195" i="1" s="1"/>
  <c r="J195" i="1" s="1"/>
  <c r="P196" i="1"/>
  <c r="O196" i="1" s="1"/>
  <c r="J196" i="1" s="1"/>
  <c r="P197" i="1"/>
  <c r="O197" i="1" s="1"/>
  <c r="J197" i="1" s="1"/>
  <c r="P198" i="1"/>
  <c r="O198" i="1" s="1"/>
  <c r="J198" i="1" s="1"/>
  <c r="P199" i="1"/>
  <c r="O199" i="1" s="1"/>
  <c r="J199" i="1" s="1"/>
  <c r="P200" i="1"/>
  <c r="O200" i="1" s="1"/>
  <c r="J200" i="1" s="1"/>
  <c r="P201" i="1"/>
  <c r="O201" i="1" s="1"/>
  <c r="J201" i="1" s="1"/>
  <c r="P202" i="1"/>
  <c r="O202" i="1" s="1"/>
  <c r="P203" i="1"/>
  <c r="O203" i="1" s="1"/>
  <c r="P204" i="1"/>
  <c r="O204" i="1" s="1"/>
  <c r="P205" i="1"/>
  <c r="O205" i="1" s="1"/>
  <c r="P206" i="1"/>
  <c r="O206" i="1" s="1"/>
  <c r="J206" i="1" s="1"/>
  <c r="P207" i="1"/>
  <c r="O207" i="1" s="1"/>
  <c r="J207" i="1" s="1"/>
  <c r="P208" i="1"/>
  <c r="O208" i="1" s="1"/>
  <c r="J208" i="1" s="1"/>
  <c r="P209" i="1"/>
  <c r="O209" i="1" s="1"/>
  <c r="J209" i="1" s="1"/>
  <c r="P210" i="1"/>
  <c r="O210" i="1" s="1"/>
  <c r="J210" i="1" s="1"/>
  <c r="P211" i="1"/>
  <c r="O211" i="1" s="1"/>
  <c r="J211" i="1" s="1"/>
  <c r="P212" i="1"/>
  <c r="O212" i="1" s="1"/>
  <c r="J212" i="1" s="1"/>
  <c r="P213" i="1"/>
  <c r="O213" i="1" s="1"/>
  <c r="J213" i="1" s="1"/>
  <c r="P214" i="1"/>
  <c r="O214" i="1" s="1"/>
  <c r="P215" i="1"/>
  <c r="O215" i="1" s="1"/>
  <c r="P216" i="1"/>
  <c r="O216" i="1" s="1"/>
  <c r="P217" i="1"/>
  <c r="O217" i="1" s="1"/>
  <c r="P218" i="1"/>
  <c r="O218" i="1" s="1"/>
  <c r="P219" i="1"/>
  <c r="O219" i="1" s="1"/>
  <c r="P220" i="1"/>
  <c r="O220" i="1" s="1"/>
  <c r="J220" i="1" s="1"/>
  <c r="P221" i="1"/>
  <c r="O221" i="1" s="1"/>
  <c r="J221" i="1" s="1"/>
  <c r="P222" i="1"/>
  <c r="O222" i="1" s="1"/>
  <c r="J222" i="1" s="1"/>
  <c r="P223" i="1"/>
  <c r="O223" i="1" s="1"/>
  <c r="J223" i="1" s="1"/>
  <c r="P224" i="1"/>
  <c r="O224" i="1" s="1"/>
  <c r="J224" i="1" s="1"/>
  <c r="P225" i="1"/>
  <c r="O225" i="1" s="1"/>
  <c r="J225" i="1" s="1"/>
  <c r="P226" i="1"/>
  <c r="O226" i="1" s="1"/>
  <c r="P227" i="1"/>
  <c r="O227" i="1" s="1"/>
  <c r="P228" i="1"/>
  <c r="O228" i="1" s="1"/>
  <c r="P229" i="1"/>
  <c r="O229" i="1" s="1"/>
  <c r="P230" i="1"/>
  <c r="O230" i="1" s="1"/>
  <c r="P231" i="1"/>
  <c r="O231" i="1" s="1"/>
  <c r="P232" i="1"/>
  <c r="O232" i="1" s="1"/>
  <c r="P233" i="1"/>
  <c r="O233" i="1" s="1"/>
  <c r="P234" i="1"/>
  <c r="O234" i="1" s="1"/>
  <c r="J234" i="1" s="1"/>
  <c r="P235" i="1"/>
  <c r="O235" i="1" s="1"/>
  <c r="J235" i="1" s="1"/>
  <c r="P236" i="1"/>
  <c r="O236" i="1" s="1"/>
  <c r="J236" i="1" s="1"/>
  <c r="P237" i="1"/>
  <c r="O237" i="1" s="1"/>
  <c r="J237" i="1" s="1"/>
  <c r="P238" i="1"/>
  <c r="O238" i="1" s="1"/>
  <c r="J238" i="1" s="1"/>
  <c r="P239" i="1"/>
  <c r="O239" i="1" s="1"/>
  <c r="J239" i="1" s="1"/>
  <c r="P240" i="1"/>
  <c r="O240" i="1" s="1"/>
  <c r="J240" i="1" s="1"/>
  <c r="P241" i="1"/>
  <c r="O241" i="1" s="1"/>
  <c r="J241" i="1" s="1"/>
  <c r="P242" i="1"/>
  <c r="O242" i="1" s="1"/>
  <c r="J242" i="1" s="1"/>
  <c r="P243" i="1"/>
  <c r="O243" i="1" s="1"/>
  <c r="J243" i="1" s="1"/>
  <c r="P244" i="1"/>
  <c r="O244" i="1" s="1"/>
  <c r="J244" i="1" s="1"/>
  <c r="P245" i="1"/>
  <c r="O245" i="1" s="1"/>
  <c r="J245" i="1" s="1"/>
  <c r="P246" i="1"/>
  <c r="O246" i="1" s="1"/>
  <c r="J246" i="1" s="1"/>
  <c r="P247" i="1"/>
  <c r="O247" i="1" s="1"/>
  <c r="J247" i="1" s="1"/>
  <c r="P248" i="1"/>
  <c r="O248" i="1" s="1"/>
  <c r="J248" i="1" s="1"/>
  <c r="P249" i="1"/>
  <c r="O249" i="1" s="1"/>
  <c r="J249" i="1" s="1"/>
  <c r="P250" i="1"/>
  <c r="O250" i="1" s="1"/>
  <c r="J250" i="1" s="1"/>
  <c r="P251" i="1"/>
  <c r="O251" i="1" s="1"/>
  <c r="J251" i="1" s="1"/>
  <c r="P252" i="1"/>
  <c r="O252" i="1" s="1"/>
  <c r="J252" i="1" s="1"/>
  <c r="P253" i="1"/>
  <c r="O253" i="1" s="1"/>
  <c r="J253" i="1" s="1"/>
  <c r="P254" i="1"/>
  <c r="O254" i="1" s="1"/>
  <c r="J254" i="1" s="1"/>
  <c r="P255" i="1"/>
  <c r="O255" i="1" s="1"/>
  <c r="J255" i="1" s="1"/>
  <c r="P256" i="1"/>
  <c r="O256" i="1" s="1"/>
  <c r="J256" i="1" s="1"/>
  <c r="P257" i="1"/>
  <c r="O257" i="1" s="1"/>
  <c r="J257" i="1" s="1"/>
  <c r="P258" i="1"/>
  <c r="O258" i="1" s="1"/>
  <c r="J258" i="1" s="1"/>
  <c r="P259" i="1"/>
  <c r="O259" i="1" s="1"/>
  <c r="J259" i="1" s="1"/>
  <c r="P260" i="1"/>
  <c r="O260" i="1" s="1"/>
  <c r="J260" i="1" s="1"/>
  <c r="P261" i="1"/>
  <c r="O261" i="1" s="1"/>
  <c r="J261" i="1" s="1"/>
  <c r="P262" i="1"/>
  <c r="O262" i="1" s="1"/>
  <c r="P263" i="1"/>
  <c r="O263" i="1" s="1"/>
  <c r="P264" i="1"/>
  <c r="O264" i="1" s="1"/>
  <c r="J264" i="1" s="1"/>
  <c r="P265" i="1"/>
  <c r="O265" i="1" s="1"/>
  <c r="J265" i="1" s="1"/>
  <c r="P266" i="1"/>
  <c r="O266" i="1" s="1"/>
  <c r="J266" i="1" s="1"/>
  <c r="P267" i="1"/>
  <c r="O267" i="1" s="1"/>
  <c r="J267" i="1" s="1"/>
  <c r="P268" i="1"/>
  <c r="O268" i="1" s="1"/>
  <c r="J268" i="1" s="1"/>
  <c r="P269" i="1"/>
  <c r="O269" i="1" s="1"/>
  <c r="J269" i="1" s="1"/>
  <c r="P270" i="1"/>
  <c r="O270" i="1" s="1"/>
  <c r="J270" i="1" s="1"/>
  <c r="P271" i="1"/>
  <c r="O271" i="1" s="1"/>
  <c r="J271" i="1" s="1"/>
  <c r="P272" i="1"/>
  <c r="O272" i="1" s="1"/>
  <c r="J272" i="1" s="1"/>
  <c r="P273" i="1"/>
  <c r="O273" i="1" s="1"/>
  <c r="J273" i="1" s="1"/>
  <c r="P274" i="1"/>
  <c r="O274" i="1" s="1"/>
  <c r="P275" i="1"/>
  <c r="O275" i="1" s="1"/>
  <c r="P276" i="1"/>
  <c r="O276" i="1" s="1"/>
  <c r="P277" i="1"/>
  <c r="O277" i="1" s="1"/>
  <c r="P278" i="1"/>
  <c r="O278" i="1" s="1"/>
  <c r="J278" i="1" s="1"/>
  <c r="P279" i="1"/>
  <c r="O279" i="1" s="1"/>
  <c r="J279" i="1" s="1"/>
  <c r="P280" i="1"/>
  <c r="O280" i="1" s="1"/>
  <c r="J280" i="1" s="1"/>
  <c r="P281" i="1"/>
  <c r="O281" i="1" s="1"/>
  <c r="J281" i="1" s="1"/>
  <c r="P282" i="1"/>
  <c r="O282" i="1" s="1"/>
  <c r="J282" i="1" s="1"/>
  <c r="P283" i="1"/>
  <c r="O283" i="1" s="1"/>
  <c r="J283" i="1" s="1"/>
  <c r="P284" i="1"/>
  <c r="O284" i="1" s="1"/>
  <c r="J284" i="1" s="1"/>
  <c r="P285" i="1"/>
  <c r="O285" i="1" s="1"/>
  <c r="J285" i="1" s="1"/>
  <c r="P286" i="1"/>
  <c r="O286" i="1" s="1"/>
  <c r="P287" i="1"/>
  <c r="O287" i="1" s="1"/>
  <c r="P288" i="1"/>
  <c r="O288" i="1" s="1"/>
  <c r="P289" i="1"/>
  <c r="O289" i="1" s="1"/>
  <c r="P290" i="1"/>
  <c r="O290" i="1" s="1"/>
  <c r="P291" i="1"/>
  <c r="O291" i="1" s="1"/>
  <c r="P292" i="1"/>
  <c r="O292" i="1" s="1"/>
  <c r="J292" i="1" s="1"/>
  <c r="P293" i="1"/>
  <c r="O293" i="1" s="1"/>
  <c r="J293" i="1" s="1"/>
  <c r="P294" i="1"/>
  <c r="O294" i="1" s="1"/>
  <c r="J294" i="1" s="1"/>
  <c r="P295" i="1"/>
  <c r="O295" i="1" s="1"/>
  <c r="J295" i="1" s="1"/>
  <c r="P296" i="1"/>
  <c r="O296" i="1" s="1"/>
  <c r="J296" i="1" s="1"/>
  <c r="P297" i="1"/>
  <c r="O297" i="1" s="1"/>
  <c r="J297" i="1" s="1"/>
  <c r="P298" i="1"/>
  <c r="O298" i="1" s="1"/>
  <c r="P299" i="1"/>
  <c r="O299" i="1" s="1"/>
  <c r="P300" i="1"/>
  <c r="O300" i="1" s="1"/>
  <c r="P301" i="1"/>
  <c r="O301" i="1" s="1"/>
  <c r="P302" i="1"/>
  <c r="O302" i="1" s="1"/>
  <c r="P303" i="1"/>
  <c r="O303" i="1" s="1"/>
  <c r="P304" i="1"/>
  <c r="O304" i="1" s="1"/>
  <c r="P305" i="1"/>
  <c r="O305" i="1" s="1"/>
  <c r="P306" i="1"/>
  <c r="O306" i="1" s="1"/>
  <c r="J306" i="1" s="1"/>
  <c r="P307" i="1"/>
  <c r="O307" i="1" s="1"/>
  <c r="J307" i="1" s="1"/>
  <c r="P308" i="1"/>
  <c r="O308" i="1" s="1"/>
  <c r="J308" i="1" s="1"/>
  <c r="P309" i="1"/>
  <c r="O309" i="1" s="1"/>
  <c r="J309" i="1" s="1"/>
  <c r="P310" i="1"/>
  <c r="O310" i="1" s="1"/>
  <c r="J310" i="1" s="1"/>
  <c r="P311" i="1"/>
  <c r="O311" i="1" s="1"/>
  <c r="J311" i="1" s="1"/>
  <c r="P312" i="1"/>
  <c r="O312" i="1" s="1"/>
  <c r="J312" i="1" s="1"/>
  <c r="P313" i="1"/>
  <c r="O313" i="1" s="1"/>
  <c r="J313" i="1" s="1"/>
  <c r="P314" i="1"/>
  <c r="O314" i="1" s="1"/>
  <c r="J314" i="1" s="1"/>
  <c r="P315" i="1"/>
  <c r="O315" i="1" s="1"/>
  <c r="J315" i="1" s="1"/>
  <c r="P316" i="1"/>
  <c r="O316" i="1" s="1"/>
  <c r="J316" i="1" s="1"/>
  <c r="P317" i="1"/>
  <c r="O317" i="1" s="1"/>
  <c r="J317" i="1" s="1"/>
  <c r="P318" i="1"/>
  <c r="O318" i="1" s="1"/>
  <c r="J318" i="1" s="1"/>
  <c r="P319" i="1"/>
  <c r="O319" i="1" s="1"/>
  <c r="J319" i="1" s="1"/>
  <c r="P320" i="1"/>
  <c r="O320" i="1" s="1"/>
  <c r="J320" i="1" s="1"/>
  <c r="P321" i="1"/>
  <c r="O321" i="1" s="1"/>
  <c r="J321" i="1" s="1"/>
  <c r="P322" i="1"/>
  <c r="O322" i="1" s="1"/>
  <c r="J322" i="1" s="1"/>
  <c r="P323" i="1"/>
  <c r="O323" i="1" s="1"/>
  <c r="J323" i="1" s="1"/>
  <c r="P324" i="1"/>
  <c r="O324" i="1" s="1"/>
  <c r="J324" i="1" s="1"/>
  <c r="P325" i="1"/>
  <c r="O325" i="1" s="1"/>
  <c r="J325" i="1" s="1"/>
  <c r="P326" i="1"/>
  <c r="O326" i="1" s="1"/>
  <c r="J326" i="1" s="1"/>
  <c r="P327" i="1"/>
  <c r="O327" i="1" s="1"/>
  <c r="J327" i="1" s="1"/>
  <c r="P328" i="1"/>
  <c r="O328" i="1" s="1"/>
  <c r="J328" i="1" s="1"/>
  <c r="P329" i="1"/>
  <c r="O329" i="1" s="1"/>
  <c r="J329" i="1" s="1"/>
  <c r="P330" i="1"/>
  <c r="O330" i="1" s="1"/>
  <c r="J330" i="1" s="1"/>
  <c r="P331" i="1"/>
  <c r="O331" i="1" s="1"/>
  <c r="J331" i="1" s="1"/>
  <c r="P332" i="1"/>
  <c r="O332" i="1" s="1"/>
  <c r="J332" i="1" s="1"/>
  <c r="P333" i="1"/>
  <c r="O333" i="1" s="1"/>
  <c r="J333" i="1" s="1"/>
  <c r="P334" i="1"/>
  <c r="O334" i="1" s="1"/>
  <c r="P335" i="1"/>
  <c r="O335" i="1" s="1"/>
  <c r="P336" i="1"/>
  <c r="O336" i="1" s="1"/>
  <c r="J336" i="1" s="1"/>
  <c r="P337" i="1"/>
  <c r="O337" i="1" s="1"/>
  <c r="J337" i="1" s="1"/>
  <c r="P338" i="1"/>
  <c r="O338" i="1" s="1"/>
  <c r="J338" i="1" s="1"/>
  <c r="P339" i="1"/>
  <c r="O339" i="1" s="1"/>
  <c r="J339" i="1" s="1"/>
  <c r="P340" i="1"/>
  <c r="O340" i="1" s="1"/>
  <c r="J340" i="1" s="1"/>
  <c r="P341" i="1"/>
  <c r="O341" i="1" s="1"/>
  <c r="J341" i="1" s="1"/>
  <c r="P342" i="1"/>
  <c r="O342" i="1" s="1"/>
  <c r="J342" i="1" s="1"/>
  <c r="P343" i="1"/>
  <c r="O343" i="1" s="1"/>
  <c r="J343" i="1" s="1"/>
  <c r="P344" i="1"/>
  <c r="O344" i="1" s="1"/>
  <c r="J344" i="1" s="1"/>
  <c r="P345" i="1"/>
  <c r="O345" i="1" s="1"/>
  <c r="J345" i="1" s="1"/>
  <c r="P346" i="1"/>
  <c r="O346" i="1" s="1"/>
  <c r="P347" i="1"/>
  <c r="O347" i="1" s="1"/>
  <c r="P348" i="1"/>
  <c r="O348" i="1" s="1"/>
  <c r="P349" i="1"/>
  <c r="O349" i="1" s="1"/>
  <c r="P350" i="1"/>
  <c r="O350" i="1" s="1"/>
  <c r="J350" i="1" s="1"/>
  <c r="P351" i="1"/>
  <c r="O351" i="1" s="1"/>
  <c r="J351" i="1" s="1"/>
  <c r="P352" i="1"/>
  <c r="O352" i="1" s="1"/>
  <c r="J352" i="1" s="1"/>
  <c r="P353" i="1"/>
  <c r="O353" i="1" s="1"/>
  <c r="J353" i="1" s="1"/>
  <c r="P354" i="1"/>
  <c r="O354" i="1" s="1"/>
  <c r="J354" i="1" s="1"/>
  <c r="P355" i="1"/>
  <c r="O355" i="1" s="1"/>
  <c r="J355" i="1" s="1"/>
  <c r="P356" i="1"/>
  <c r="O356" i="1" s="1"/>
  <c r="J356" i="1" s="1"/>
  <c r="P357" i="1"/>
  <c r="O357" i="1" s="1"/>
  <c r="J357" i="1" s="1"/>
  <c r="P358" i="1"/>
  <c r="O358" i="1" s="1"/>
  <c r="P359" i="1"/>
  <c r="O359" i="1" s="1"/>
  <c r="P360" i="1"/>
  <c r="O360" i="1" s="1"/>
  <c r="P361" i="1"/>
  <c r="O361" i="1" s="1"/>
  <c r="P362" i="1"/>
  <c r="O362" i="1" s="1"/>
  <c r="P363" i="1"/>
  <c r="O363" i="1" s="1"/>
  <c r="P364" i="1"/>
  <c r="O364" i="1" s="1"/>
  <c r="J364" i="1" s="1"/>
  <c r="P365" i="1"/>
  <c r="O365" i="1" s="1"/>
  <c r="J365" i="1" s="1"/>
  <c r="P366" i="1"/>
  <c r="O366" i="1" s="1"/>
  <c r="J366" i="1" s="1"/>
  <c r="P367" i="1"/>
  <c r="O367" i="1" s="1"/>
  <c r="J367" i="1" s="1"/>
  <c r="P368" i="1"/>
  <c r="O368" i="1" s="1"/>
  <c r="J368" i="1" s="1"/>
  <c r="P369" i="1"/>
  <c r="O369" i="1" s="1"/>
  <c r="J369" i="1" s="1"/>
  <c r="P370" i="1"/>
  <c r="O370" i="1" s="1"/>
  <c r="P371" i="1"/>
  <c r="O371" i="1" s="1"/>
  <c r="P372" i="1"/>
  <c r="O372" i="1" s="1"/>
  <c r="P373" i="1"/>
  <c r="O373" i="1" s="1"/>
  <c r="P374" i="1"/>
  <c r="O374" i="1" s="1"/>
  <c r="P375" i="1"/>
  <c r="O375" i="1" s="1"/>
  <c r="P376" i="1"/>
  <c r="O376" i="1" s="1"/>
  <c r="P377" i="1"/>
  <c r="O377" i="1" s="1"/>
  <c r="P378" i="1"/>
  <c r="O378" i="1" s="1"/>
  <c r="J378" i="1" s="1"/>
  <c r="P379" i="1"/>
  <c r="O379" i="1" s="1"/>
  <c r="J379" i="1" s="1"/>
  <c r="P380" i="1"/>
  <c r="O380" i="1" s="1"/>
  <c r="J380"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A1" i="6" l="1" a="1"/>
  <c r="A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<sst xmlns="http://schemas.openxmlformats.org/spreadsheetml/2006/main" count="13775" uniqueCount="2444">
  <si>
    <t>PORT Code</t>
  </si>
  <si>
    <t>SB no</t>
  </si>
  <si>
    <t>SB date</t>
  </si>
  <si>
    <t>Details</t>
  </si>
  <si>
    <t>EGM no</t>
  </si>
  <si>
    <t>ROSL</t>
  </si>
  <si>
    <t>GST</t>
  </si>
  <si>
    <t>Gateway</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</si>
  <si>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</si>
  <si>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</si>
  <si>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</si>
  <si>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</si>
  <si>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</si>
  <si>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</si>
  <si>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</si>
  <si>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</si>
  <si>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</si>
  <si>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</si>
  <si>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</si>
  <si>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</si>
  <si>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</si>
  <si>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</si>
  <si>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</si>
  <si>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</si>
  <si>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</si>
  <si>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</si>
  <si>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</si>
  <si>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</si>
  <si>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</si>
  <si>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</si>
  <si>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</si>
  <si>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</si>
  <si>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</si>
  <si>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</si>
  <si>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</si>
  <si>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</si>
  <si>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</si>
  <si>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</si>
  <si>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</si>
  <si>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</si>
  <si>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</si>
  <si>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</si>
  <si>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</si>
  <si>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</si>
  <si>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</si>
  <si>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</si>
  <si>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</si>
  <si>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</si>
  <si>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</si>
  <si>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</si>
  <si>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</si>
  <si>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</si>
  <si>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</si>
  <si>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</si>
  <si>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</si>
  <si>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</si>
  <si>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</si>
  <si>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</si>
  <si>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</si>
  <si>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</si>
  <si>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</si>
  <si>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</si>
  <si>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</si>
  <si>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</si>
  <si>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</si>
  <si>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</si>
  <si>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</si>
  <si>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</si>
  <si>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</si>
  <si>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</si>
  <si>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</si>
  <si>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</si>
  <si>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</si>
  <si>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</si>
  <si>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</si>
  <si>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</si>
  <si>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</si>
  <si>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</si>
  <si>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</si>
  <si>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</si>
  <si>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</si>
  <si>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</si>
  <si>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</si>
  <si>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</si>
  <si>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</si>
  <si>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</si>
  <si>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</si>
  <si>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</si>
  <si>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</si>
  <si>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</si>
  <si>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</si>
  <si>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</si>
  <si>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</si>
  <si>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</si>
  <si>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</si>
  <si>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</si>
  <si>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</si>
  <si>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</si>
  <si>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</si>
  <si>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</si>
  <si>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</si>
  <si>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</si>
  <si>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</si>
  <si>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</si>
  <si>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</si>
  <si>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</si>
  <si>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</si>
  <si>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</si>
  <si>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</si>
  <si>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</si>
  <si>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</si>
  <si>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</si>
  <si>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</si>
  <si>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</si>
  <si>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</si>
  <si>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</si>
  <si>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</si>
  <si>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</si>
  <si>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</si>
  <si>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</si>
  <si>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</si>
  <si>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</si>
  <si>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</si>
  <si>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</si>
  <si>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</si>
  <si>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</si>
  <si>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</si>
  <si>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</si>
  <si>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</si>
  <si>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</si>
  <si>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</si>
  <si>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</si>
  <si>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</si>
  <si>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</si>
  <si>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</si>
  <si>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</si>
  <si>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</si>
  <si>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</si>
  <si>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</si>
  <si>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</si>
  <si>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</si>
  <si>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</si>
  <si>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</si>
  <si>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</si>
  <si>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</si>
  <si>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</si>
  <si>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</si>
  <si>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</si>
  <si>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</si>
  <si>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</si>
  <si>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</si>
  <si>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</si>
  <si>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</si>
  <si>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</si>
  <si>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</si>
  <si>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</si>
  <si>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</si>
  <si>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</si>
  <si>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</si>
  <si>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</si>
  <si>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</si>
  <si>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</si>
  <si>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</si>
  <si>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</si>
  <si>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</si>
  <si>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</si>
  <si>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</si>
  <si>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</si>
  <si>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</si>
  <si>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</si>
  <si>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</si>
  <si>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</si>
  <si>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</si>
  <si>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</si>
  <si>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</si>
  <si>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</si>
  <si>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</si>
  <si>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</si>
  <si>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</si>
  <si>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</si>
  <si>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</si>
  <si>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</si>
  <si>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</si>
  <si>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</si>
  <si>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</si>
  <si>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</si>
  <si>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</si>
  <si>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</si>
  <si>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</si>
  <si>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</si>
  <si>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</si>
  <si>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</si>
  <si>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</si>
  <si>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</si>
  <si>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</si>
  <si>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</si>
  <si>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</si>
  <si>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</si>
  <si>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</si>
  <si>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</si>
  <si>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</si>
  <si>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</si>
  <si>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</si>
  <si>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</si>
  <si>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</si>
  <si>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</si>
  <si>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</si>
  <si>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</si>
  <si>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</si>
  <si>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</si>
  <si>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</si>
  <si>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</si>
  <si>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</si>
  <si>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</si>
  <si>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</si>
  <si>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</si>
  <si>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</si>
  <si>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</si>
  <si>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</si>
  <si>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</si>
  <si>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</si>
  <si>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</si>
  <si>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</si>
  <si>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</si>
  <si>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</si>
  <si>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</si>
  <si>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</si>
  <si>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</si>
  <si>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</si>
  <si>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</si>
  <si>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</si>
  <si>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</si>
  <si>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</si>
  <si>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</si>
  <si>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</si>
  <si>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</si>
  <si>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</si>
  <si>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</si>
  <si>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</si>
  <si>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</si>
  <si>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</si>
  <si>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</si>
  <si>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</si>
  <si>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</si>
  <si>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</si>
  <si>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</si>
  <si>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</si>
  <si>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</si>
  <si>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</si>
  <si>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</si>
  <si>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</si>
  <si>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</si>
  <si>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</si>
  <si>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</si>
  <si>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</si>
  <si>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</si>
  <si>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</si>
  <si>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</si>
  <si>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</si>
  <si>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</si>
  <si>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</si>
  <si>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</si>
  <si>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</si>
  <si>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</si>
  <si>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</si>
  <si>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</si>
  <si>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</si>
  <si>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</si>
  <si>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</si>
  <si>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</si>
  <si>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</si>
  <si>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</si>
  <si>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</si>
  <si>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</si>
  <si>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</si>
  <si>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</si>
  <si>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</si>
  <si>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</si>
  <si>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</si>
  <si>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</si>
  <si>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</si>
  <si>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</si>
  <si>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</si>
  <si>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</si>
  <si>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</si>
  <si>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</si>
  <si>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</si>
  <si>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</si>
  <si>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</si>
  <si>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</si>
  <si>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</si>
  <si>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</si>
  <si>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</si>
  <si>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</si>
  <si>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</si>
  <si>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</si>
  <si>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</si>
  <si>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</si>
  <si>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</si>
  <si>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</si>
  <si>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</si>
  <si>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</si>
  <si>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</si>
  <si>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</si>
  <si>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</si>
  <si>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</si>
  <si>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</si>
  <si>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</si>
  <si>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</si>
  <si>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</si>
  <si>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</si>
  <si>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</si>
  <si>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</si>
  <si>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</si>
  <si>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</si>
  <si>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</si>
  <si>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</si>
  <si>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</si>
  <si>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</si>
  <si>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</si>
  <si>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</si>
  <si>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</si>
  <si>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</si>
  <si>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</si>
  <si>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</si>
  <si>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</si>
  <si>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</si>
  <si>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</si>
  <si>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</si>
  <si>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</si>
  <si>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</si>
  <si>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</si>
  <si>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</si>
  <si>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</si>
  <si>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</si>
  <si>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</si>
  <si>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</si>
  <si>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</si>
  <si>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</si>
  <si>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</si>
  <si>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</si>
  <si>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</si>
  <si>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</si>
  <si>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</si>
  <si>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</si>
  <si>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</si>
  <si>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</si>
  <si>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</si>
  <si>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</si>
  <si>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</si>
  <si>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</si>
  <si>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</si>
  <si>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</si>
  <si>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</si>
  <si>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</si>
  <si>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</si>
  <si>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</si>
  <si>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</si>
  <si>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</si>
  <si>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</si>
  <si>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</si>
  <si>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</si>
  <si>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</si>
  <si>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</si>
  <si>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</si>
  <si>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</si>
  <si>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</si>
  <si>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</si>
  <si>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</si>
  <si>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</si>
  <si>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</si>
  <si>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</si>
  <si>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</si>
  <si>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</si>
  <si>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</si>
  <si>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</si>
  <si>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</si>
  <si>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</si>
  <si>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</si>
  <si>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</si>
  <si>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</si>
  <si>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</si>
  <si>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</si>
  <si>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</si>
  <si>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</si>
  <si>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</si>
  <si>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</si>
  <si>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</si>
  <si>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</si>
  <si>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</si>
  <si>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</si>
  <si>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</si>
  <si>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</si>
  <si>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</si>
  <si>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</si>
  <si>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</si>
  <si>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</si>
  <si>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</si>
  <si>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</si>
  <si>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</si>
  <si>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</si>
  <si>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</si>
  <si>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</si>
  <si>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</si>
  <si>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</si>
  <si>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</si>
  <si>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</si>
  <si>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</si>
  <si>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</si>
  <si>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</si>
  <si>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</si>
  <si>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</si>
  <si>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</si>
  <si>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</si>
  <si>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</si>
  <si>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</si>
  <si>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</si>
  <si>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</si>
  <si>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</si>
  <si>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</si>
  <si>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</si>
  <si>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</si>
  <si>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</si>
  <si>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</si>
  <si>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</si>
  <si>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</si>
  <si>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</si>
  <si>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</si>
  <si>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</si>
  <si>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</si>
  <si>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</si>
  <si>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</si>
  <si>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</si>
  <si>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</si>
  <si>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</si>
  <si>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</si>
  <si>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</si>
  <si>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</si>
  <si>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</si>
  <si>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</si>
  <si>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</si>
  <si>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</si>
  <si>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</si>
  <si>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</si>
  <si>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</si>
  <si>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</si>
  <si>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</si>
  <si>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</si>
  <si>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</si>
  <si>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</si>
  <si>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</si>
  <si>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</si>
  <si>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</si>
  <si>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</si>
  <si>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</si>
  <si>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</si>
  <si>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</si>
  <si>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</si>
  <si>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</si>
  <si>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</si>
  <si>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</si>
  <si>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</si>
  <si>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</si>
  <si>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</si>
  <si>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</si>
  <si>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</si>
  <si>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</si>
  <si>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</si>
  <si>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</si>
  <si>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</si>
  <si>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</si>
  <si>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</si>
  <si>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</si>
  <si>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</si>
  <si>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</si>
  <si>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</si>
  <si>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</si>
  <si>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</si>
  <si>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</si>
  <si>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</si>
  <si>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</si>
  <si>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</si>
  <si>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</si>
  <si>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</si>
  <si>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</si>
  <si>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</si>
  <si>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</si>
  <si>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</si>
  <si>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</si>
  <si>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</si>
  <si>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</si>
  <si>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</si>
  <si>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</si>
  <si>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</si>
  <si>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</si>
  <si>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</si>
  <si>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</si>
  <si>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</si>
  <si>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</si>
  <si>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</si>
  <si>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</si>
  <si>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</si>
  <si>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</si>
  <si>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</si>
  <si>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</si>
  <si>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</si>
  <si>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</si>
  <si>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</si>
  <si>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</si>
  <si>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</si>
  <si>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</si>
  <si>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</si>
  <si>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</si>
  <si>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</si>
  <si>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</si>
  <si>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</si>
  <si>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</si>
  <si>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</si>
  <si>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</si>
  <si>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</si>
  <si>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</si>
  <si>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</si>
  <si>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</si>
  <si>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</si>
  <si>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</si>
  <si>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</si>
  <si>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</si>
  <si>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</si>
  <si>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</si>
  <si>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</si>
  <si>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</si>
  <si>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</si>
  <si>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</si>
  <si>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</si>
  <si>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</si>
  <si>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</si>
  <si>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</si>
  <si>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</si>
  <si>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</si>
  <si>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</si>
  <si>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</si>
  <si>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</si>
  <si>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</si>
  <si>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</si>
  <si>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</si>
  <si>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</si>
  <si>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</si>
  <si>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</si>
  <si>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</si>
  <si>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</si>
  <si>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</si>
  <si>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</si>
  <si>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</si>
  <si>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</si>
  <si>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</si>
  <si>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</si>
  <si>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</si>
  <si>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</si>
  <si>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</si>
  <si>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</si>
  <si>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</si>
  <si>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</si>
  <si>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</si>
  <si>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</si>
  <si>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</si>
  <si>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</si>
  <si>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</si>
  <si>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</si>
  <si>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</si>
  <si>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</si>
  <si>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</si>
  <si>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</si>
  <si>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</si>
  <si>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</si>
  <si>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</si>
  <si>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</si>
  <si>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</si>
  <si>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</si>
  <si>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</si>
  <si>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</si>
  <si>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</si>
  <si>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</si>
  <si>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</si>
  <si>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</si>
  <si>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</si>
  <si>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</si>
  <si>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</si>
  <si>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</si>
  <si>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</si>
  <si>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</si>
  <si>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</si>
  <si>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</si>
  <si>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</si>
  <si>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</si>
  <si>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</si>
  <si>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</si>
  <si>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</si>
  <si>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</si>
  <si>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</si>
  <si>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</si>
  <si>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</si>
  <si>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</si>
  <si>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</si>
  <si>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</si>
  <si>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</si>
  <si>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</si>
  <si>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</si>
  <si>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</si>
  <si>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</si>
  <si>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</si>
  <si>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</si>
  <si>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</si>
  <si>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</si>
  <si>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</si>
  <si>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</si>
  <si>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</si>
  <si>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</si>
  <si>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</si>
  <si>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</si>
  <si>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</si>
  <si>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</si>
  <si>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</si>
  <si>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</si>
  <si>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</si>
  <si>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</si>
  <si>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</si>
  <si>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</si>
  <si>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</si>
  <si>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</si>
  <si>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</si>
  <si>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</si>
  <si>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</si>
  <si>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</si>
  <si>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</si>
  <si>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</si>
  <si>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</si>
  <si>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</si>
  <si>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</si>
  <si>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</si>
  <si>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</si>
  <si>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</si>
  <si>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</si>
  <si>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</si>
  <si>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</si>
  <si>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</si>
  <si>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</si>
  <si>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</si>
  <si>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</si>
  <si>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</si>
  <si>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</si>
  <si>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</si>
  <si>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</si>
  <si>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</si>
  <si>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</si>
  <si>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</si>
  <si>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</si>
  <si>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</si>
  <si>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</si>
  <si>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</si>
  <si>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</si>
  <si>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</si>
  <si>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</si>
  <si>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</si>
  <si>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</si>
  <si>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</si>
  <si>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</si>
  <si>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</si>
  <si>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</si>
  <si>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</si>
  <si>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</si>
  <si>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</si>
  <si>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</si>
  <si>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</si>
  <si>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</si>
  <si>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</si>
  <si>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</si>
  <si>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</si>
  <si>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</si>
  <si>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</si>
  <si>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</si>
  <si>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</si>
  <si>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</si>
  <si>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</si>
  <si>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</si>
  <si>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</si>
  <si>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</si>
  <si>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</si>
  <si>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</si>
  <si>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</si>
  <si>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</si>
  <si>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</si>
  <si>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</si>
  <si>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</si>
  <si>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</si>
  <si>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</si>
  <si>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</si>
  <si>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</si>
  <si>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</si>
  <si>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</si>
  <si>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</si>
  <si>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</si>
  <si>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</si>
  <si>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</si>
  <si>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</si>
  <si>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</si>
  <si>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</si>
  <si>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</si>
  <si>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</si>
  <si>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</si>
  <si>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</si>
  <si>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</si>
  <si>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</si>
  <si>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</si>
  <si>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</si>
  <si>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</si>
  <si>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</si>
  <si>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</si>
  <si>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</si>
  <si>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</si>
  <si>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</si>
  <si>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</si>
  <si>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</si>
  <si>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</si>
  <si>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</si>
  <si>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</si>
  <si>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</si>
  <si>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</si>
  <si>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</si>
  <si>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</si>
  <si>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</si>
  <si>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</si>
  <si>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</si>
  <si>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</si>
  <si>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</si>
  <si>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</si>
  <si>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</si>
  <si>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</si>
  <si>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</si>
  <si>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</si>
  <si>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</si>
  <si>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</si>
  <si>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</si>
  <si>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</si>
  <si>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</si>
  <si>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</si>
  <si>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</si>
  <si>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</si>
  <si>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</si>
  <si>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</si>
  <si>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</si>
  <si>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</si>
  <si>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</si>
  <si>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</si>
  <si>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</si>
  <si>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</si>
  <si>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</si>
  <si>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</si>
  <si>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</si>
  <si>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</si>
  <si>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</si>
  <si>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</si>
  <si>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</si>
  <si>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</si>
  <si>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</si>
  <si>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</si>
  <si>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</si>
  <si>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</si>
  <si>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</si>
  <si>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</si>
  <si>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</si>
  <si>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</si>
  <si>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</si>
  <si>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</si>
  <si>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</si>
  <si>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</si>
  <si>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</si>
  <si>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</si>
  <si>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</si>
  <si>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</si>
  <si>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</si>
  <si>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</si>
  <si>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</si>
  <si>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</si>
  <si>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</si>
  <si>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</si>
  <si>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</si>
  <si>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</si>
  <si>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</si>
  <si>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</si>
  <si>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</si>
  <si>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</si>
  <si>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</si>
  <si>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</si>
  <si>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</si>
  <si>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</si>
  <si>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</si>
  <si>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</si>
  <si>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</si>
  <si>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</si>
  <si>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</si>
  <si>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</si>
  <si>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</si>
  <si>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</si>
  <si>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</si>
  <si>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</si>
  <si>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</si>
  <si>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</si>
  <si>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</si>
  <si>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</si>
  <si>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</si>
  <si>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</si>
  <si>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</si>
  <si>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</si>
  <si>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</si>
  <si>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</si>
  <si>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</si>
  <si>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</si>
  <si>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</si>
  <si>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</si>
  <si>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</si>
  <si>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</si>
  <si>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</si>
  <si>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</si>
  <si>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</si>
  <si>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</si>
  <si>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</si>
  <si>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</si>
  <si>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</si>
  <si>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</si>
  <si>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</si>
  <si>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</si>
  <si>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</si>
  <si>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</si>
  <si>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</si>
  <si>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</si>
  <si>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</si>
  <si>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</si>
  <si>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</si>
  <si>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</si>
  <si>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</si>
  <si>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</si>
  <si>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</si>
  <si>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</si>
  <si>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</si>
  <si>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</si>
  <si>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</si>
  <si>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</si>
  <si>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</si>
  <si>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</si>
  <si>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</si>
  <si>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</si>
  <si>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</si>
  <si>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</si>
  <si>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</si>
  <si>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</si>
  <si>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</si>
  <si>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</si>
  <si>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</si>
  <si>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</si>
  <si>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</si>
  <si>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</si>
  <si>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</si>
  <si>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</si>
  <si>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</si>
  <si>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</si>
  <si>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</si>
  <si>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</si>
  <si>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</si>
  <si>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</si>
  <si>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</si>
  <si>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</si>
  <si>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</si>
  <si>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</si>
  <si>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</si>
  <si>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</si>
  <si>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</si>
  <si>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</si>
  <si>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</si>
  <si>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</si>
  <si>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</si>
  <si>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</si>
  <si>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</si>
  <si>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</si>
  <si>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</si>
  <si>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</si>
  <si>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</si>
  <si>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</si>
  <si>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</si>
  <si>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</si>
  <si>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</si>
  <si>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</si>
  <si>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</si>
  <si>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</si>
  <si>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</si>
  <si>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</si>
  <si>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</si>
  <si>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</si>
  <si>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</si>
  <si>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</si>
  <si>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</si>
  <si>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</si>
  <si>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</si>
  <si>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</si>
  <si>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</si>
  <si>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</si>
  <si>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</si>
  <si>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</si>
  <si>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</si>
  <si>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</si>
  <si>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</si>
  <si>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</si>
  <si>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</si>
  <si>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</si>
  <si>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</si>
  <si>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</si>
  <si>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</si>
  <si>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</si>
  <si>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</si>
  <si>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</si>
  <si>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</si>
  <si>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</si>
  <si>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</si>
  <si>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</si>
  <si>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</si>
  <si>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</si>
  <si>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</si>
  <si>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</si>
  <si>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</si>
  <si>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</si>
  <si>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</si>
  <si>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</si>
  <si>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</si>
  <si>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</si>
  <si>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</si>
  <si>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</si>
  <si>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</si>
  <si>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</si>
  <si>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</si>
  <si>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</si>
  <si>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</si>
  <si>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</si>
  <si>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</si>
  <si>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</si>
  <si>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</si>
  <si>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</si>
  <si>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</si>
  <si>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</si>
  <si>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</si>
  <si>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</si>
  <si>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</si>
  <si>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</si>
  <si>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</si>
  <si>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</si>
  <si>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</si>
  <si>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</si>
  <si>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</si>
  <si>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</si>
  <si>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</si>
  <si>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</si>
  <si>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</si>
  <si>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</si>
  <si>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</si>
  <si>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</si>
  <si>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</si>
  <si>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</si>
  <si>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</si>
  <si>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</si>
  <si>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</si>
  <si>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</si>
  <si>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</si>
  <si>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</si>
  <si>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</si>
  <si>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</si>
  <si>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</si>
  <si>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</si>
  <si>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</si>
  <si>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</si>
  <si>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</si>
  <si>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</si>
  <si>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</si>
  <si>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</si>
  <si>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</si>
  <si>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</si>
  <si>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</si>
  <si>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</si>
  <si>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</si>
  <si>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</si>
  <si>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</si>
  <si>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</si>
  <si>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</si>
  <si>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</si>
  <si>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</si>
  <si>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</si>
  <si>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</si>
  <si>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</si>
  <si>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</si>
  <si>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</si>
  <si>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</si>
  <si>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</si>
  <si>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</si>
  <si>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</si>
  <si>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</si>
  <si>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</si>
  <si>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</si>
  <si>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</si>
  <si>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</si>
  <si>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</si>
  <si>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</si>
  <si>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</si>
  <si>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</si>
  <si>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</si>
  <si>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</si>
  <si>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</si>
  <si>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</si>
  <si>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</si>
  <si>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</si>
  <si>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</si>
  <si>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</si>
  <si>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</si>
  <si>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</si>
  <si>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</si>
  <si>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</si>
  <si>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</si>
  <si>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</si>
  <si>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</si>
  <si>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</si>
  <si>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</si>
  <si>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</si>
  <si>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</si>
  <si>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</si>
  <si>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</si>
  <si>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</si>
  <si>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</si>
  <si>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</si>
  <si>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</si>
  <si>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</si>
  <si>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</si>
  <si>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</si>
  <si>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</si>
  <si>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</si>
  <si>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</si>
  <si>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</si>
  <si>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</si>
  <si>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</si>
  <si>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</si>
  <si>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</si>
  <si>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</si>
  <si>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</si>
  <si>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</si>
  <si>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</si>
  <si>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</si>
  <si>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</si>
  <si>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</si>
  <si>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</si>
  <si>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</si>
  <si>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</si>
  <si>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</si>
  <si>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</si>
  <si>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</si>
  <si>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</si>
  <si>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</si>
  <si>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</si>
  <si>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</si>
  <si>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</si>
  <si>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</si>
  <si>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</si>
  <si>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</si>
  <si>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</si>
  <si>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</si>
  <si>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</si>
  <si>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</si>
  <si>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</si>
  <si>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</si>
  <si>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</si>
  <si>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</si>
  <si>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</si>
  <si>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</si>
  <si>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</si>
  <si>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</si>
  <si>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</si>
  <si>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</si>
  <si>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</si>
  <si>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</si>
  <si>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</si>
  <si>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</si>
  <si>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</si>
  <si>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</si>
  <si>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</si>
  <si>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</si>
  <si>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</si>
  <si>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</si>
  <si>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</si>
  <si>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</si>
  <si>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</si>
  <si>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</si>
  <si>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</si>
  <si>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</si>
  <si>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</si>
  <si>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</si>
  <si>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</si>
  <si>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</si>
  <si>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</si>
  <si>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</si>
  <si>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</si>
  <si>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</si>
  <si>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</si>
  <si>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</si>
  <si>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</si>
  <si>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</si>
  <si>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</si>
  <si>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</si>
  <si>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</si>
  <si>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</si>
  <si>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</si>
  <si>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</si>
  <si>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</si>
  <si>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</si>
  <si>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</si>
  <si>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</si>
  <si>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</si>
  <si>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</si>
  <si>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</si>
  <si>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</si>
  <si>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</si>
  <si>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</si>
  <si>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</si>
  <si>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</si>
  <si>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</si>
  <si>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</si>
  <si>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</si>
  <si>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</si>
  <si>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</si>
  <si>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</si>
  <si>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</si>
  <si>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</si>
  <si>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</si>
  <si>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</si>
  <si>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</si>
  <si>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</si>
  <si>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</si>
  <si>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</si>
  <si>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</si>
  <si>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</si>
  <si>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</si>
  <si>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</si>
  <si>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</si>
  <si>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</si>
  <si>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</si>
  <si>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</si>
  <si>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</si>
  <si>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</si>
  <si>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</si>
  <si>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</si>
  <si>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</si>
  <si>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</si>
  <si>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</si>
  <si>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</si>
  <si>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</si>
  <si>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</si>
  <si>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</si>
  <si>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</si>
  <si>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</si>
  <si>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</si>
  <si>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</si>
  <si>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</si>
  <si>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</si>
  <si>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</si>
  <si>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</si>
  <si>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</si>
  <si>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</si>
  <si>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</si>
  <si>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</si>
  <si>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</si>
  <si>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</si>
  <si>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</si>
  <si>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</si>
  <si>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</si>
  <si>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</si>
  <si>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</si>
  <si>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</si>
  <si>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</si>
  <si>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</si>
  <si>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</si>
  <si>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</si>
  <si>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</si>
  <si>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</si>
  <si>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</si>
  <si>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</si>
  <si>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</si>
  <si>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</si>
  <si>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</si>
  <si>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</si>
  <si>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</si>
  <si>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</si>
  <si>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</si>
  <si>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</si>
  <si>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</si>
  <si>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</si>
  <si>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</si>
  <si>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</si>
  <si>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</si>
  <si>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</si>
  <si>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</si>
  <si>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</si>
  <si>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</si>
  <si>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</si>
  <si>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</si>
  <si>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</si>
  <si>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</si>
  <si>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</si>
  <si>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</si>
  <si>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</si>
  <si>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</si>
  <si>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</si>
  <si>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</si>
  <si>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</si>
  <si>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</si>
  <si>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</si>
  <si>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</si>
  <si>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</si>
  <si>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</si>
  <si>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</si>
  <si>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</si>
  <si>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</si>
  <si>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</si>
  <si>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</si>
  <si>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</si>
  <si>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</si>
  <si>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</si>
  <si>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</si>
  <si>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</si>
  <si>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</si>
  <si>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</si>
  <si>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</si>
  <si>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</si>
  <si>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</si>
  <si>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</si>
  <si>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</si>
  <si>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</si>
  <si>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</si>
  <si>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</si>
  <si>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</si>
  <si>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</si>
  <si>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</si>
  <si>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</si>
  <si>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</si>
  <si>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</si>
  <si>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</si>
  <si>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</si>
  <si>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</si>
  <si>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</si>
  <si>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</si>
  <si>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</si>
  <si>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</si>
  <si>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</si>
  <si>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</si>
  <si>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</si>
  <si>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</si>
  <si>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</si>
  <si>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</si>
  <si>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</si>
  <si>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</si>
  <si>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</si>
  <si>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</si>
  <si>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</si>
  <si>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</si>
  <si>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</si>
  <si>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</si>
  <si>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</si>
  <si>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</si>
  <si>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</si>
  <si>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</si>
  <si>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</si>
  <si>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</si>
  <si>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</si>
  <si>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</si>
  <si>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</si>
  <si>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</si>
  <si>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</si>
  <si>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</si>
  <si>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</si>
  <si>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</si>
  <si>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</si>
  <si>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</si>
  <si>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</si>
  <si>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</si>
  <si>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</si>
  <si>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</si>
  <si>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</si>
  <si>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</si>
  <si>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</si>
  <si>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</si>
  <si>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</si>
  <si>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</si>
  <si>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</si>
  <si>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</si>
  <si>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</si>
  <si>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</si>
  <si>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</si>
  <si>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</si>
  <si>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</si>
  <si>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</si>
  <si>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</si>
  <si>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</si>
  <si>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</si>
  <si>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</si>
  <si>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</si>
  <si>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</si>
  <si>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</si>
  <si>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</si>
  <si>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</si>
  <si>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</si>
  <si>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</si>
  <si>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</si>
  <si>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</si>
  <si>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</si>
  <si>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</si>
  <si>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</si>
  <si>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</si>
  <si>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</si>
  <si>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</si>
  <si>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</si>
  <si>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</si>
  <si>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</si>
  <si>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</si>
  <si>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</si>
  <si>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</si>
  <si>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</si>
  <si>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</si>
  <si>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</si>
  <si>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</si>
  <si>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</si>
  <si>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</si>
  <si>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</si>
  <si>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</si>
  <si>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</si>
  <si>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</si>
  <si>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</si>
  <si>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</si>
  <si>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</si>
  <si>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</si>
  <si>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</si>
  <si>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</si>
  <si>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</si>
  <si>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</si>
  <si>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</si>
  <si>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</si>
  <si>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</si>
  <si>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</si>
  <si>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</si>
  <si>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</si>
  <si>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</si>
  <si>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</si>
  <si>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</si>
  <si>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</si>
  <si>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</si>
  <si>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</si>
  <si>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</si>
  <si>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</si>
  <si>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</si>
  <si>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</si>
  <si>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</si>
  <si>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</si>
  <si>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</si>
  <si>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</si>
  <si>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</si>
  <si>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</si>
  <si>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</si>
  <si>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</si>
  <si>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</si>
  <si>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</si>
  <si>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</si>
  <si>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</si>
  <si>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</si>
  <si>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</si>
  <si>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</si>
  <si>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</si>
  <si>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</si>
  <si>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</si>
  <si>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</si>
  <si>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</si>
  <si>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</si>
  <si>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</si>
  <si>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</si>
  <si>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</si>
  <si>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</si>
  <si>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</si>
  <si>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</si>
  <si>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</si>
  <si>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</si>
  <si>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</si>
  <si>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</si>
  <si>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</si>
  <si>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</si>
  <si>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</si>
  <si>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</si>
  <si>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</si>
  <si>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</si>
  <si>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</si>
  <si>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</si>
  <si>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</si>
  <si>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</si>
  <si>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</si>
  <si>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</si>
  <si>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</si>
  <si>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</si>
  <si>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</si>
  <si>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</si>
  <si>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</si>
  <si>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</si>
  <si>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</si>
  <si>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</si>
  <si>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</si>
  <si>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</si>
  <si>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</si>
  <si>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</si>
  <si>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</si>
  <si>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</si>
  <si>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</si>
  <si>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</si>
  <si>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</si>
  <si>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</si>
  <si>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</si>
  <si>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</si>
  <si>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</si>
  <si>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</si>
  <si>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</si>
  <si>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</si>
  <si>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</si>
  <si>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</si>
  <si>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</si>
  <si>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</si>
  <si>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</si>
  <si>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</si>
  <si>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</si>
  <si>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</si>
  <si>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</si>
  <si>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</si>
  <si>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</si>
  <si>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</si>
  <si>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</si>
  <si>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</si>
  <si>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</si>
  <si>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</si>
  <si>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</si>
  <si>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</si>
  <si>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</si>
  <si>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</si>
  <si>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</si>
  <si>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</si>
  <si>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</si>
  <si>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</si>
  <si>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</si>
  <si>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</si>
  <si>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</si>
  <si>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</si>
  <si>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</si>
  <si>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</si>
  <si>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</si>
  <si>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</si>
  <si>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</si>
  <si>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</si>
  <si>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</si>
  <si>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</si>
  <si>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</si>
  <si>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</si>
  <si>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</si>
  <si>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</si>
  <si>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</si>
  <si>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</si>
  <si>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</si>
  <si>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</si>
  <si>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</si>
  <si>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</si>
  <si>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</si>
  <si>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</si>
  <si>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</si>
  <si>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</si>
  <si>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</si>
  <si>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</si>
  <si>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</si>
  <si>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</si>
  <si>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</si>
  <si>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</si>
  <si>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</si>
  <si>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</si>
  <si>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</si>
  <si>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</si>
  <si>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</si>
  <si>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</si>
  <si>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</si>
  <si>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</si>
  <si>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</si>
  <si>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</si>
  <si>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</si>
  <si>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</si>
  <si>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</si>
  <si>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</si>
  <si>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</si>
  <si>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</si>
  <si>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</si>
  <si>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</si>
  <si>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</si>
  <si>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</si>
  <si>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</si>
  <si>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</si>
  <si>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</si>
  <si>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</si>
  <si>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</si>
  <si>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</si>
  <si>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</si>
  <si>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</si>
  <si>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</si>
  <si>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</si>
  <si>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</si>
  <si>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</si>
  <si>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</si>
  <si>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</si>
  <si>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</si>
  <si>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</si>
  <si>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</si>
  <si>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</si>
  <si>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</si>
  <si>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</si>
  <si>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</si>
  <si>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</si>
  <si>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</si>
  <si>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</si>
  <si>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</si>
  <si>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</si>
  <si>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</si>
  <si>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</si>
  <si>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</si>
  <si>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</si>
  <si>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</si>
  <si>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</si>
  <si>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</si>
  <si>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</si>
  <si>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</si>
  <si>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</si>
  <si>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</si>
  <si>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</si>
  <si>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</si>
  <si>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</si>
  <si>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</si>
  <si>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</si>
  <si>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</si>
  <si>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</si>
  <si>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</si>
  <si>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</si>
  <si>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</si>
  <si>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</si>
  <si>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</si>
  <si>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</si>
  <si>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</si>
  <si>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</si>
  <si>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</si>
  <si>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</si>
  <si>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</si>
  <si>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</si>
  <si>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</si>
  <si>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</si>
  <si>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</si>
  <si>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</si>
  <si>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</si>
  <si>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</si>
  <si>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</si>
  <si>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</si>
  <si>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</si>
  <si>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</si>
  <si>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</si>
  <si>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</si>
  <si>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</si>
  <si>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</si>
  <si>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</si>
  <si>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</si>
  <si>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</si>
  <si>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</si>
  <si>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</si>
  <si>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</si>
  <si>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</si>
  <si>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</si>
  <si>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</si>
  <si>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</si>
  <si>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</si>
  <si>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</si>
  <si>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</si>
  <si>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</si>
  <si>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</si>
  <si>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</si>
  <si>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</si>
  <si>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</si>
  <si>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</si>
  <si>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</si>
  <si>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</si>
  <si>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</si>
  <si>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</si>
  <si>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</si>
  <si>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</si>
  <si>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</si>
  <si>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</si>
  <si>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</si>
  <si>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</si>
  <si>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</si>
  <si>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</si>
  <si>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</si>
  <si>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</si>
  <si>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</si>
  <si>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</si>
  <si>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</si>
  <si>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</si>
  <si>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</si>
  <si>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</si>
  <si>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</si>
  <si>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</si>
  <si>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</si>
  <si>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</si>
  <si>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</si>
  <si>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</si>
  <si>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</si>
  <si>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</si>
  <si>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</si>
  <si>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</si>
  <si>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</si>
  <si>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</si>
  <si>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</si>
  <si>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</si>
  <si>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</si>
  <si>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</si>
  <si>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</si>
  <si>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</si>
  <si>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</si>
  <si>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</si>
  <si>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</si>
  <si>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</si>
  <si>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</si>
  <si>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</si>
  <si>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</si>
  <si>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</si>
  <si>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</si>
  <si>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</si>
  <si>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</si>
  <si>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</si>
  <si>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</si>
  <si>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</si>
  <si>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</si>
  <si>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</si>
  <si>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</si>
  <si>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</si>
  <si>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</si>
  <si>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</si>
  <si>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</si>
  <si>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</si>
  <si>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</si>
  <si>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</si>
  <si>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</si>
  <si>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</si>
  <si>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</si>
  <si>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</si>
  <si>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</si>
  <si>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</si>
  <si>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</si>
  <si>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</si>
  <si>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</si>
  <si>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</si>
  <si>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</si>
  <si>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</si>
  <si>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</si>
  <si>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</si>
  <si>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</si>
  <si>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</si>
  <si>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</si>
  <si>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</si>
  <si>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</si>
  <si>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</si>
  <si>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</si>
  <si>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</si>
  <si>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</si>
  <si>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</si>
  <si>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</si>
  <si>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</si>
  <si>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</si>
  <si>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</si>
  <si>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</si>
  <si>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</si>
  <si>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</si>
  <si>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</si>
  <si>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</si>
  <si>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</si>
  <si>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</si>
  <si>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</si>
  <si>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</si>
  <si>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</si>
  <si>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</si>
  <si>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</si>
  <si>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</si>
  <si>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</si>
  <si>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</si>
  <si>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</si>
  <si>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</si>
  <si>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</si>
  <si>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</si>
  <si>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</si>
  <si>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</si>
  <si>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</si>
  <si>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</si>
  <si>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</si>
  <si>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</si>
  <si>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</si>
  <si>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</si>
  <si>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</si>
  <si>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</si>
  <si>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</si>
  <si>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</si>
  <si>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</si>
  <si>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</si>
  <si>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</si>
  <si>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</si>
  <si>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</si>
  <si>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</si>
  <si>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</si>
  <si>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</si>
  <si>
    <t>Status</t>
  </si>
  <si>
    <t>Grand Total</t>
  </si>
  <si>
    <t>Count of SB no</t>
  </si>
  <si>
    <t>D</t>
  </si>
  <si>
    <t>(All)</t>
  </si>
  <si>
    <t>AWB No. Gateway Port Gateway EGM No. Gateway EGM Date Gateway Site ID Error Code
N.A.  INMUN1  132131  2017-07-25 00:00:00.0  INMUN1  S  Total</t>
  </si>
  <si>
    <t>AWB No. Gateway Port Gateway EGM No. Gateway EGM Date Gateway Site ID Error Code
N.A.  INMUN1  132702  2017-08-04 00:00:00.0  INMUN1  S  Total</t>
  </si>
  <si>
    <t>AWB No. Gateway Port Gateway EGM No. Gateway EGM Date Gateway Site ID Error Code
N.A.  INMUN1  133179  2017-08-11 00:00:00.0  INMUN1  S  Total</t>
  </si>
  <si>
    <t>AWB No. Gateway Port Gateway EGM No. Gateway EGM Date Gateway Site ID Error Code
N.A.  INMUN1  133184  2017-08-11 00:00:00.0  INMUN1  S  Total</t>
  </si>
  <si>
    <t>AWB No. Gateway Port Gateway EGM No. Gateway EGM Date Gateway Site ID Error Code
N.A.  INMUN1  133566  2017-08-18 00:00:00.0  INMUN1  S  Total</t>
  </si>
  <si>
    <t>AWB No. Gateway Port Gateway EGM No. Gateway EGM Date Gateway Site ID Error Code
N.A.  INMUN1  133567  2017-08-18 00:00:00.0  INMUN1  S  Total</t>
  </si>
  <si>
    <t>AWB No. Gateway Port Gateway EGM No. Gateway EGM Date Gateway Site ID Error Code
N.A.  INMUN1  133789  2017-08-23 00:00:00.0  INMUN1  S  Total</t>
  </si>
  <si>
    <t>AWB No. Gateway Port Gateway EGM No. Gateway EGM Date Gateway Site ID Error Code
N.A.  INMUN1  133949  2017-08-26 00:00:00.0  INMUN1  S  Total</t>
  </si>
  <si>
    <t>AWB No. Gateway Port Gateway EGM No. Gateway EGM Date Gateway Site ID Error Code
N.A.  INMUN1  134015  2017-08-28 00:00:00.0  INMUN1  S  Total</t>
  </si>
  <si>
    <t>AWB No. Gateway Port Gateway EGM No. Gateway EGM Date Gateway Site ID Error Code
N.A.  INMUN1  134051  2017-08-28 00:00:00.0  INMUN1  S  Total</t>
  </si>
  <si>
    <t>AWB No. Gateway Port Gateway EGM No. Gateway EGM Date Gateway Site ID Error Code
N.A.  INMUN1  134053  2017-08-28 00:00:00.0  INMUN1  S  Total</t>
  </si>
  <si>
    <t>AWB No. Gateway Port Gateway EGM No. Gateway EGM Date Gateway Site ID Error Code
N.A.  INMUN1  134053  2017-08-28 00:00:00.0  INMUN1  ST  Total</t>
  </si>
  <si>
    <t>AWB No. Gateway Port Gateway EGM No. Gateway EGM Date Gateway Site ID Error Code
N.A.  INMUN1  134134  2017-08-29 00:00:00.0  INMUN1  S  Total</t>
  </si>
  <si>
    <t>AWB No. Gateway Port Gateway EGM No. Gateway EGM Date Gateway Site ID Error Code
N.A.  INMUN1  134147  2017-08-29 00:00:00.0  INMUN1  S  Total</t>
  </si>
  <si>
    <t>AWB No. Gateway Port Gateway EGM No. Gateway EGM Date Gateway Site ID Error Code
N.A.  INMUN1  134209  2017-08-30 00:00:00.0  INMUN1  NC  Total</t>
  </si>
  <si>
    <t>AWB No. Gateway Port Gateway EGM No. Gateway EGM Date Gateway Site ID Error Code
N.A.  INMUN1  134209  2017-08-30 00:00:00.0  INMUN1  S  Total</t>
  </si>
  <si>
    <t>AWB No. Gateway Port Gateway EGM No. Gateway EGM Date Gateway Site ID Error Code
N.A.  INMUN1  134211  2017-08-30 00:00:00.0  INMUN1  S  Total</t>
  </si>
  <si>
    <t>AWB No. Gateway Port Gateway EGM No. Gateway EGM Date Gateway Site ID Error Code
N.A.  INMUN1  134212  2017-08-30 00:00:00.0  INMUN1  S  Total</t>
  </si>
  <si>
    <t>AWB No. Gateway Port Gateway EGM No. Gateway EGM Date Gateway Site ID Error Code
N.A.  INMUN1  134406  2017-09-01 00:00:00.0  INMUN1  S  Total</t>
  </si>
  <si>
    <t>AWB No. Gateway Port Gateway EGM No. Gateway EGM Date Gateway Site ID Error Code
N.A.  INMUN1  134487  2017-09-04 00:00:00.0  INMUN1  S  Total</t>
  </si>
  <si>
    <t>AWB No. Gateway Port Gateway EGM No. Gateway EGM Date Gateway Site ID Error Code
N.A.  INMUN1  134637  2017-09-06 00:00:00.0  INMUN1  S  Total</t>
  </si>
  <si>
    <t>AWB No. Gateway Port Gateway EGM No. Gateway EGM Date Gateway Site ID Error Code
N.A.  INMUN1  134793  2017-09-08 00:00:00.0  INMUN1  C  Total</t>
  </si>
  <si>
    <t>AWB No. Gateway Port Gateway EGM No. Gateway EGM Date Gateway Site ID Error Code
N.A.  INMUN1  134794  2017-09-08 00:00:00.0  INMUN1  S  Total</t>
  </si>
  <si>
    <t>AWB No. Gateway Port Gateway EGM No. Gateway EGM Date Gateway Site ID Error Code
N.A.  INMUN1  134795  2017-09-08 00:00:00.0  INMUN1  S  Total</t>
  </si>
  <si>
    <t>AWB No. Gateway Port Gateway EGM No. Gateway EGM Date Gateway Site ID Error Code
N.A.  INMUN1  134796  2017-09-08 00:00:00.0  INMUN1  S  Total</t>
  </si>
  <si>
    <t>AWB No. Gateway Port Gateway EGM No. Gateway EGM Date Gateway Site ID Error Code
N.A.  INMUN1  134870  2017-09-11 00:00:00.0  INMUN1  S  Total</t>
  </si>
  <si>
    <t>AWB No. Gateway Port Gateway EGM No. Gateway EGM Date Gateway Site ID Error Code
N.A.  INMUN1  134919  2017-09-12 00:00:00.0  INMUN1  S  Total</t>
  </si>
  <si>
    <t>AWB No. Gateway Port Gateway EGM No. Gateway EGM Date Gateway Site ID Error Code
N.A.  INMUN1  134923  2017-09-12 00:00:00.0  INMUN1  S  Total</t>
  </si>
  <si>
    <t>AWB No. Gateway Port Gateway EGM No. Gateway EGM Date Gateway Site ID Error Code
N.A.  INMUN1  135372  2017-09-19 00:00:00.0  INMUN1  S  Total</t>
  </si>
  <si>
    <t>AWB No. Gateway Port Gateway EGM No. Gateway EGM Date Gateway Site ID Error Code
N.A.  INMUN1  135373  2017-09-19 00:00:00.0  INMUN1  S  Total</t>
  </si>
  <si>
    <t>AWB No. Gateway Port Gateway EGM No. Gateway EGM Date Gateway Site ID Error Code
N.A.  INMUN1  135378  2017-09-19 00:00:00.0  INMUN1  S  Total</t>
  </si>
  <si>
    <t>AWB No. Gateway Port Gateway EGM No. Gateway EGM Date Gateway Site ID Error Code
N.A.  INMUN1  135390  2017-09-19 00:00:00.0  INMUN1  S  Total</t>
  </si>
  <si>
    <t>AWB No. Gateway Port Gateway EGM No. Gateway EGM Date Gateway Site ID Error Code
N.A.  INMUN1  135448  2017-09-20 00:00:00.0  INMUN1  S  Total</t>
  </si>
  <si>
    <t>AWB No. Gateway Port Gateway EGM No. Gateway EGM Date Gateway Site ID Error Code
N.A.  INMUN1  135461  2017-09-20 00:00:00.0  INMUN1  S  Total</t>
  </si>
  <si>
    <t>AWB No. Gateway Port Gateway EGM No. Gateway EGM Date Gateway Site ID Error Code
N.A.  INMUN1  135462  2017-09-20 00:00:00.0  INMUN1  S  Total</t>
  </si>
  <si>
    <t>AWB No. Gateway Port Gateway EGM No. Gateway EGM Date Gateway Site ID Error Code
N.A.  INMUN1  135887  2017-09-27 00:00:00.0  INMUN1  S  Total</t>
  </si>
  <si>
    <t>AWB No. Gateway Port Gateway EGM No. Gateway EGM Date Gateway Site ID Error Code
N.A.  INMUN1  135995  2017-09-28 00:00:00.0  INMUN1  S  Total</t>
  </si>
  <si>
    <t>AWB No. Gateway Port Gateway EGM No. Gateway EGM Date Gateway Site ID Error Code
N.A.  INMUN1  136070  2017-09-29 00:00:00.0  INMUN1  S  Total</t>
  </si>
  <si>
    <t>AWB No. Gateway Port Gateway EGM No. Gateway EGM Date Gateway Site ID Error Code
N.A.  INMUN1  136071  2017-09-29 00:00:00.0  INMUN1  S  Total</t>
  </si>
  <si>
    <t>AWB No. Gateway Port Gateway EGM No. Gateway EGM Date Gateway Site ID Error Code
N.A.  INMUN1  136169  2017-10-03 00:00:00.0  INMUN1  S  Total</t>
  </si>
  <si>
    <t>AWB No. Gateway Port Gateway EGM No. Gateway EGM Date Gateway Site ID Error Code
N.A.  INMUN1  136501  2017-10-08 00:00:00.0  INMUN1  S  Total</t>
  </si>
  <si>
    <t>AWB No. Gateway Port Gateway EGM No. Gateway EGM Date Gateway Site ID Error Code
N.A.  INMUN1  136518  2017-10-09 00:00:00.0  INMUN1  S  Total</t>
  </si>
  <si>
    <t>AWB No. Gateway Port Gateway EGM No. Gateway EGM Date Gateway Site ID Error Code
N.A.  INMUN1  136519  2017-10-09 00:00:00.0  INMUN1  S  Total</t>
  </si>
  <si>
    <t>AWB No. Gateway Port Gateway EGM No. Gateway EGM Date Gateway Site ID Error Code
N.A.  INMUN1  136910  2017-10-13 00:00:00.0  INMUN1  S  Total</t>
  </si>
  <si>
    <t>AWB No. Gateway Port Gateway EGM No. Gateway EGM Date Gateway Site ID Error Code
N.A.  INMUN1  137020  2017-10-16 00:00:00.0  INMUN1  S  Total</t>
  </si>
  <si>
    <t>AWB No. Gateway Port Gateway EGM No. Gateway EGM Date Gateway Site ID Error Code
N.A.  INMUN1  137035  2017-10-16 00:00:00.0  INMUN1  S  Total</t>
  </si>
  <si>
    <t>AWB No. Gateway Port Gateway EGM No. Gateway EGM Date Gateway Site ID Error Code
N.A.  INMUN1  137180  2017-10-18 00:00:00.0  INMUN1  ST  Total</t>
  </si>
  <si>
    <t>AWB No. Gateway Port Gateway EGM No. Gateway EGM Date Gateway Site ID Error Code
N.A.  INMUN1  137573  2017-10-25 00:00:00.0  INMUN1  S  Total</t>
  </si>
  <si>
    <t>AWB No. Gateway Port Gateway EGM No. Gateway EGM Date Gateway Site ID Error Code
N.A.  INMUN1  137768  2017-10-28 00:00:00.0  INMUN1  S  Total</t>
  </si>
  <si>
    <t>AWB No. Gateway Port Gateway EGM No. Gateway EGM Date Gateway Site ID Error Code
N.A.  INMUN1  137857  2017-10-30 00:00:00.0  INMUN1  S  Total</t>
  </si>
  <si>
    <t>AWB No. Gateway Port Gateway EGM No. Gateway EGM Date Gateway Site ID Error Code
N.A.  INMUN1  137950  2017-11-01 00:00:00.0  INMUN1  S  Total</t>
  </si>
  <si>
    <t>AWB No. Gateway Port Gateway EGM No. Gateway EGM Date Gateway Site ID Error Code
N.A.  INMUN1  137953  2017-11-01 00:00:00.0  INMUN1  S  Total</t>
  </si>
  <si>
    <t>AWB No. Gateway Port Gateway EGM No. Gateway EGM Date Gateway Site ID Error Code
N.A.  INMUN1  137976  2017-11-01 00:00:00.0  INMUN1  S  Total</t>
  </si>
  <si>
    <t>AWB No. Gateway Port Gateway EGM No. Gateway EGM Date Gateway Site ID Error Code
N.A.  INMUN1  138172  2017-11-03 00:00:00.0  INMUN1  S  Total</t>
  </si>
  <si>
    <t>AWB No. Gateway Port Gateway EGM No. Gateway EGM Date Gateway Site ID Error Code
N.A.  INMUN1  138363  2017-11-07 00:00:00.0  INMUN1  S  Total</t>
  </si>
  <si>
    <t>AWB No. Gateway Port Gateway EGM No. Gateway EGM Date Gateway Site ID Error Code
N.A.  INMUN1  138681  2017-11-13 00:00:00.0  INMUN1  S  Total</t>
  </si>
  <si>
    <t>AWB No. Gateway Port Gateway EGM No. Gateway EGM Date Gateway Site ID Error Code
N.A.  INMUN1  138685  2017-11-13 00:00:00.0  INMUN1  S  Total</t>
  </si>
  <si>
    <t>AWB No. Gateway Port Gateway EGM No. Gateway EGM Date Gateway Site ID Error Code
N.A.  INMUN1  138865  2017-11-15 00:00:00.0  INMUN1  S  Total</t>
  </si>
  <si>
    <t>AWB No. Gateway Port Gateway EGM No. Gateway EGM Date Gateway Site ID Error Code
N.A.  INMUN1  138991  2017-11-17 00:00:00.0  INMUN1  S  Total</t>
  </si>
  <si>
    <t>AWB No. Gateway Port Gateway EGM No. Gateway EGM Date Gateway Site ID Error Code
N.A.  INMUN1  139000  2017-11-17 00:00:00.0  INMUN1  S  Total</t>
  </si>
  <si>
    <t>AWB No. Gateway Port Gateway EGM No. Gateway EGM Date Gateway Site ID Error Code
N.A.  INMUN1  139070  2017-11-17 00:00:00.0  INMUN1  S  Total</t>
  </si>
  <si>
    <t>AWB No. Gateway Port Gateway EGM No. Gateway EGM Date Gateway Site ID Error Code
N.A.  INMUN1  139240  2017-11-21 00:00:00.0  INMUN1  S  Total</t>
  </si>
  <si>
    <t>AWB No. Gateway Port Gateway EGM No. Gateway EGM Date Gateway Site ID Error Code
N.A.  INMUN1  139244  2017-11-21 00:00:00.0  INMUN1  S  Total</t>
  </si>
  <si>
    <t>AWB No. Gateway Port Gateway EGM No. Gateway EGM Date Gateway Site ID Error Code
N.A.  INMUN1  139245  2017-11-21 00:00:00.0  INMUN1  S  Total</t>
  </si>
  <si>
    <t>AWB No. Gateway Port Gateway EGM No. Gateway EGM Date Gateway Site ID Error Code
N.A.  INMUN1  139344  2017-11-22 00:00:00.0  INMUN1  S  Total</t>
  </si>
  <si>
    <t>AWB No. Gateway Port Gateway EGM No. Gateway EGM Date Gateway Site ID Error Code
N.A.  INMUN1  139513  2017-11-24 00:00:00.0  INMUN1  S  Total</t>
  </si>
  <si>
    <t>AWB No. Gateway Port Gateway EGM No. Gateway EGM Date Gateway Site ID Error Code
N.A.  INMUN1  139832  2017-11-30 00:00:00.0  INMUN1  S  Total</t>
  </si>
  <si>
    <t>AWB No. Gateway Port Gateway EGM No. Gateway EGM Date Gateway Site ID Error Code
N.A.  INMUN1  140199  2017-12-06 00:00:00.0  INMUN1  S  Total</t>
  </si>
  <si>
    <t>AWB No. Gateway Port Gateway EGM No. Gateway EGM Date Gateway Site ID Error Code
N.A.  INMUN1  140232  2017-12-07 00:00:00.0  INMUN1  S  Total</t>
  </si>
  <si>
    <t>AWB No. Gateway Port Gateway EGM No. Gateway EGM Date Gateway Site ID Error Code
N.A.  INMUN1  140290  2017-12-07 00:00:00.0  INMUN1  S  Total</t>
  </si>
  <si>
    <t>AWB No. Gateway Port Gateway EGM No. Gateway EGM Date Gateway Site ID Error Code
N.A.  INMUN1  140358  2017-12-08 00:00:00.0  INMUN1  ST  Total</t>
  </si>
  <si>
    <t>AWB No. Gateway Port Gateway EGM No. Gateway EGM Date Gateway Site ID Error Code
N.A.  INMUN1  140361  2017-12-08 00:00:00.0  INMUN1  S  Total</t>
  </si>
  <si>
    <t>AWB No. Gateway Port Gateway EGM No. Gateway EGM Date Gateway Site ID Error Code
N.A.  INMUN1  140625  2017-12-13 00:00:00.0  INMUN1  S  Total</t>
  </si>
  <si>
    <t>AWB No. Gateway Port Gateway EGM No. Gateway EGM Date Gateway Site ID Error Code
N.A.  INMUN1  140630  2017-12-13 00:00:00.0  INMUN1  S  Total</t>
  </si>
  <si>
    <t>AWB No. Gateway Port Gateway EGM No. Gateway EGM Date Gateway Site ID Error Code
N.A.  INMUN1  140648  2017-12-13 00:00:00.0  INMUN1  S  Total</t>
  </si>
  <si>
    <t>AWB No. Gateway Port Gateway EGM No. Gateway EGM Date Gateway Site ID Error Code
N.A.  INMUN1  140703  2017-12-14 00:00:00.0  INMUN1  S  Total</t>
  </si>
  <si>
    <t>AWB No. Gateway Port Gateway EGM No. Gateway EGM Date Gateway Site ID Error Code
N.A.  INMUN1  140712  2017-12-15 00:00:00.0  INMUN1  S  Total</t>
  </si>
  <si>
    <t>AWB No. Gateway Port Gateway EGM No. Gateway EGM Date Gateway Site ID Error Code
N.A.  INMUN1  140925  2017-12-19 00:00:00.0  INMUN1  S  Total</t>
  </si>
  <si>
    <t>AWB No. Gateway Port Gateway EGM No. Gateway EGM Date Gateway Site ID Error Code
N.A.  INMUN1  140930  2017-12-19 00:00:00.0  INMUN1  S  Total</t>
  </si>
  <si>
    <t>AWB No. Gateway Port Gateway EGM No. Gateway EGM Date Gateway Site ID Error Code
N.A.  INMUN1  140931  2017-12-19 00:00:00.0  INMUN1  S  Total</t>
  </si>
  <si>
    <t>AWB No. Gateway Port Gateway EGM No. Gateway EGM Date Gateway Site ID Error Code
N.A.  INMUN1  141045  2017-12-20 00:00:00.0  INMUN1  S  Total</t>
  </si>
  <si>
    <t>AWB No. Gateway Port Gateway EGM No. Gateway EGM Date Gateway Site ID Error Code
N.A.  INMUN1  141077  2017-12-21 00:00:00.0  INMUN1  S  Total</t>
  </si>
  <si>
    <t>AWB No. Gateway Port Gateway EGM No. Gateway EGM Date Gateway Site ID Error Code
N.A.  INMUN1  141078  2017-12-21 00:00:00.0  INMUN1  S  Total</t>
  </si>
  <si>
    <t>AWB No. Gateway Port Gateway EGM No. Gateway EGM Date Gateway Site ID Error Code
N.A.  INMUN1  141142  2017-12-21 00:00:00.0  INMUN1  S  Total</t>
  </si>
  <si>
    <t>AWB No. Gateway Port Gateway EGM No. Gateway EGM Date Gateway Site ID Error Code
N.A.  INMUN1  141230  2017-12-22 00:00:00.0  INMUN1  S  Total</t>
  </si>
  <si>
    <t>AWB No. Gateway Port Gateway EGM No. Gateway EGM Date Gateway Site ID Error Code
N.A.  INMUN1  141231  2017-12-22 00:00:00.0  INMUN1  S  Total</t>
  </si>
  <si>
    <t>AWB No. Gateway Port Gateway EGM No. Gateway EGM Date Gateway Site ID Error Code
N.A.  INMUN1  141255  2017-12-23 00:00:00.0  INMUN1  S  Total</t>
  </si>
  <si>
    <t>AWB No. Gateway Port Gateway EGM No. Gateway EGM Date Gateway Site ID Error Code
N.A.  INMUN1  141264  2017-12-23 00:00:00.0  INMUN1  S  Total</t>
  </si>
  <si>
    <t>AWB No. Gateway Port Gateway EGM No. Gateway EGM Date Gateway Site ID Error Code
N.A.  INMUN1  141297  2017-12-26 00:00:00.0  INMUN1  S  Total</t>
  </si>
  <si>
    <t>AWB No. Gateway Port Gateway EGM No. Gateway EGM Date Gateway Site ID Error Code
N.A.  INMUN1  141426  2017-12-27 00:00:00.0  INMUN1  S  Total</t>
  </si>
  <si>
    <t>AWB No. Gateway Port Gateway EGM No. Gateway EGM Date Gateway Site ID Error Code
N.A.  INMUN1  141502  2017-12-27 00:00:00.0  INMUN1  S  Total</t>
  </si>
  <si>
    <t>AWB No. Gateway Port Gateway EGM No. Gateway EGM Date Gateway Site ID Error Code
N.A.  INMUN1  141756  2018-01-02 00:00:00.0  INMUN1  S  Total</t>
  </si>
  <si>
    <t>AWB No. Gateway Port Gateway EGM No. Gateway EGM Date Gateway Site ID Error Code
N.A.  INMUN1  141770  2018-01-02 00:00:00.0  INMUN1  S  Total</t>
  </si>
  <si>
    <t>AWB No. Gateway Port Gateway EGM No. Gateway EGM Date Gateway Site ID Error Code
N.A.  INMUN1  141855  2018-01-03 00:00:00.0  INMUN1  S  Total</t>
  </si>
  <si>
    <t>AWB No. Gateway Port Gateway EGM No. Gateway EGM Date Gateway Site ID Error Code
N.A.  INMUN1  141901  2018-01-03 00:00:00.0  INMUN1  S  Total</t>
  </si>
  <si>
    <t>AWB No. Gateway Port Gateway EGM No. Gateway EGM Date Gateway Site ID Error Code
N.A.  INMUN1  142133  2018-01-08 00:00:00.0  INMUN1  S  Total</t>
  </si>
  <si>
    <t>AWB No. Gateway Port Gateway EGM No. Gateway EGM Date Gateway Site ID Error Code
N.A.  INMUN1  142204  2018-01-09 00:00:00.0  INMUN1  S  Total</t>
  </si>
  <si>
    <t>AWB No. Gateway Port Gateway EGM No. Gateway EGM Date Gateway Site ID Error Code
N.A.  INMUN1  142479  2018-01-12 00:00:00.0  INMUN1  S  Total</t>
  </si>
  <si>
    <t>AWB No. Gateway Port Gateway EGM No. Gateway EGM Date Gateway Site ID Error Code
N.A.  INMUN1  143166  2018-01-23 00:00:00.0  INMUN1  S  Total</t>
  </si>
  <si>
    <t>AWB No. Gateway Port Gateway EGM No. Gateway EGM Date Gateway Site ID Error Code
N.A.  INMUN1  148326  2018-04-13 00:00:00.0  INMUN1  S  Total</t>
  </si>
  <si>
    <t>AWB No. Gateway Port Gateway EGM No. Gateway EGM Date Gateway Site ID Error Code
N.A.  INMUN1  151099  2018-05-28 00:00:00.0  INMUN1  S  Total</t>
  </si>
  <si>
    <t>AWB No. Gateway Port Gateway EGM No. Gateway EGM Date Gateway Site ID Error Code
N.A.  INMUN1  160432  2018-10-31 00:00:00.0  INMUN1  S  Total</t>
  </si>
  <si>
    <t>AWB No. Gateway Port Gateway EGM No. Gateway EGM Date Gateway Site ID Error Code
N.A.  INMUN1  N.A.  N.A.  N.A.  N.A.  Total</t>
  </si>
  <si>
    <t>AWB No. Gateway Port Gateway EGM No. Gateway EGM Date Gateway Site ID Error Code
N.A.  INNSA1  131685  2017-07-18 00:00:00.0  INNSA1  S  Total</t>
  </si>
  <si>
    <t>AWB No. Gateway Port Gateway EGM No. Gateway EGM Date Gateway Site ID Error Code
N.A.  INNSA1  132025  2017-07-24 00:00:00.0  INNSA1  S  Total</t>
  </si>
  <si>
    <t>AWB No. Gateway Port Gateway EGM No. Gateway EGM Date Gateway Site ID Error Code
N.A.  INNSA1  132146  2017-07-26 00:00:00.0  INNSA1  S  Total</t>
  </si>
  <si>
    <t>AWB No. Gateway Port Gateway EGM No. Gateway EGM Date Gateway Site ID Error Code
N.A.  INNSA1  132332  2017-07-28 00:00:00.0  INNSA1  S  Total</t>
  </si>
  <si>
    <t>AWB No. Gateway Port Gateway EGM No. Gateway EGM Date Gateway Site ID Error Code
N.A.  INNSA1  132431  2017-07-31 00:00:00.0  INNSA1  S  Total</t>
  </si>
  <si>
    <t>AWB No. Gateway Port Gateway EGM No. Gateway EGM Date Gateway Site ID Error Code
N.A.  INNSA1  132481  2017-07-31 00:00:00.0  INNSA1  C  Total</t>
  </si>
  <si>
    <t>AWB No. Gateway Port Gateway EGM No. Gateway EGM Date Gateway Site ID Error Code
N.A.  INNSA1  132629  2017-08-03 00:00:00.0  INNSA1  S  Total</t>
  </si>
  <si>
    <t>AWB No. Gateway Port Gateway EGM No. Gateway EGM Date Gateway Site ID Error Code
N.A.  INNSA1  132731  2017-08-04 00:00:00.0  INNSA1  S  Total</t>
  </si>
  <si>
    <t>AWB No. Gateway Port Gateway EGM No. Gateway EGM Date Gateway Site ID Error Code
N.A.  INNSA1  132737  2017-08-04 00:00:00.0  INNSA1  S  Total</t>
  </si>
  <si>
    <t>AWB No. Gateway Port Gateway EGM No. Gateway EGM Date Gateway Site ID Error Code
N.A.  INNSA1  132812  2017-08-07 00:00:00.0  INNSA1  C  Total</t>
  </si>
  <si>
    <t>AWB No. Gateway Port Gateway EGM No. Gateway EGM Date Gateway Site ID Error Code
N.A.  INNSA1  132938  2017-08-09 00:00:00.0  INNSA1  S  Total</t>
  </si>
  <si>
    <t>AWB No. Gateway Port Gateway EGM No. Gateway EGM Date Gateway Site ID Error Code
N.A.  INNSA1  132991  2017-08-09 00:00:00.0  INNSA1  S  Total</t>
  </si>
  <si>
    <t>AWB No. Gateway Port Gateway EGM No. Gateway EGM Date Gateway Site ID Error Code
N.A.  INNSA1  133031  2017-08-10 00:00:00.0  INNSA1  S  Total</t>
  </si>
  <si>
    <t>AWB No. Gateway Port Gateway EGM No. Gateway EGM Date Gateway Site ID Error Code
N.A.  INNSA1  133033  2017-08-10 00:00:00.0  INNSA1  C  Total</t>
  </si>
  <si>
    <t>AWB No. Gateway Port Gateway EGM No. Gateway EGM Date Gateway Site ID Error Code
N.A.  INNSA1  133033  2017-08-10 00:00:00.0  INNSA1  S  Total</t>
  </si>
  <si>
    <t>AWB No. Gateway Port Gateway EGM No. Gateway EGM Date Gateway Site ID Error Code
N.A.  INNSA1  133227  2017-08-14 00:00:00.0  INNSA1  S  Total</t>
  </si>
  <si>
    <t>AWB No. Gateway Port Gateway EGM No. Gateway EGM Date Gateway Site ID Error Code
N.A.  INNSA1  133243  2017-08-14 00:00:00.0  INNSA1  C  Total</t>
  </si>
  <si>
    <t>AWB No. Gateway Port Gateway EGM No. Gateway EGM Date Gateway Site ID Error Code
N.A.  INNSA1  133314  2017-08-16 00:00:00.0  INNSA1  S  Total</t>
  </si>
  <si>
    <t>AWB No. Gateway Port Gateway EGM No. Gateway EGM Date Gateway Site ID Error Code
N.A.  INNSA1  133327  2017-08-16 00:00:00.0  INNSA1  S  Total</t>
  </si>
  <si>
    <t>AWB No. Gateway Port Gateway EGM No. Gateway EGM Date Gateway Site ID Error Code
N.A.  INNSA1  133453  2017-08-17 00:00:00.0  INNSA1  S  Total</t>
  </si>
  <si>
    <t>AWB No. Gateway Port Gateway EGM No. Gateway EGM Date Gateway Site ID Error Code
N.A.  INNSA1  133604  2017-08-19 00:00:00.0  INNSA1  S  Total</t>
  </si>
  <si>
    <t>AWB No. Gateway Port Gateway EGM No. Gateway EGM Date Gateway Site ID Error Code
N.A.  INNSA1  133611  2017-08-21 00:00:00.0  INNSA1  S  Total</t>
  </si>
  <si>
    <t>AWB No. Gateway Port Gateway EGM No. Gateway EGM Date Gateway Site ID Error Code
N.A.  INNSA1  134040  2017-08-28 00:00:00.0  INNSA1  S  Total</t>
  </si>
  <si>
    <t>AWB No. Gateway Port Gateway EGM No. Gateway EGM Date Gateway Site ID Error Code
N.A.  INNSA1  134167  2017-08-29 00:00:00.0  INNSA1  S  Total</t>
  </si>
  <si>
    <t>AWB No. Gateway Port Gateway EGM No. Gateway EGM Date Gateway Site ID Error Code
N.A.  INNSA1  134260  2017-08-31 00:00:00.0  INNSA1  S  Total</t>
  </si>
  <si>
    <t>AWB No. Gateway Port Gateway EGM No. Gateway EGM Date Gateway Site ID Error Code
N.A.  INNSA1  134462  2017-09-04 00:00:00.0  INNSA1  S  Total</t>
  </si>
  <si>
    <t>AWB No. Gateway Port Gateway EGM No. Gateway EGM Date Gateway Site ID Error Code
N.A.  INNSA1  134474  2017-09-04 00:00:00.0  INNSA1  C  Total</t>
  </si>
  <si>
    <t>AWB No. Gateway Port Gateway EGM No. Gateway EGM Date Gateway Site ID Error Code
N.A.  INNSA1  134474  2017-09-04 00:00:00.0  INNSA1  S  Total</t>
  </si>
  <si>
    <t>AWB No. Gateway Port Gateway EGM No. Gateway EGM Date Gateway Site ID Error Code
N.A.  INNSA1  134500  2017-09-04 00:00:00.0  INNSA1  STC  Total</t>
  </si>
  <si>
    <t>AWB No. Gateway Port Gateway EGM No. Gateway EGM Date Gateway Site ID Error Code
N.A.  INNSA1  134549  2017-09-05 00:00:00.0  INNSA1  S  Total</t>
  </si>
  <si>
    <t>AWB No. Gateway Port Gateway EGM No. Gateway EGM Date Gateway Site ID Error Code
N.A.  INNSA1  134677  2017-09-07 00:00:00.0  INNSA1  S  Total</t>
  </si>
  <si>
    <t>AWB No. Gateway Port Gateway EGM No. Gateway EGM Date Gateway Site ID Error Code
N.A.  INNSA1  134681  2017-09-07 00:00:00.0  INNSA1  S  Total</t>
  </si>
  <si>
    <t>AWB No. Gateway Port Gateway EGM No. Gateway EGM Date Gateway Site ID Error Code
N.A.  INNSA1  134711  2017-09-07 00:00:00.0  INNSA1  ST  Total</t>
  </si>
  <si>
    <t>AWB No. Gateway Port Gateway EGM No. Gateway EGM Date Gateway Site ID Error Code
N.A.  INNSA1  134741  2017-09-08 00:00:00.0  INNSA1  S  Total</t>
  </si>
  <si>
    <t>AWB No. Gateway Port Gateway EGM No. Gateway EGM Date Gateway Site ID Error Code
N.A.  INNSA1  134766  2017-09-08 00:00:00.0  INNSA1  S  Total</t>
  </si>
  <si>
    <t>AWB No. Gateway Port Gateway EGM No. Gateway EGM Date Gateway Site ID Error Code
N.A.  INNSA1  134875  2017-09-11 00:00:00.0  INNSA1  S  Total</t>
  </si>
  <si>
    <t>AWB No. Gateway Port Gateway EGM No. Gateway EGM Date Gateway Site ID Error Code
N.A.  INNSA1  134930  2017-09-12 00:00:00.0  INNSA1  C  Total</t>
  </si>
  <si>
    <t>AWB No. Gateway Port Gateway EGM No. Gateway EGM Date Gateway Site ID Error Code
N.A.  INNSA1  134938  2017-09-12 00:00:00.0  INNSA1  S  Total</t>
  </si>
  <si>
    <t>AWB No. Gateway Port Gateway EGM No. Gateway EGM Date Gateway Site ID Error Code
N.A.  INNSA1  135065  2017-09-14 00:00:00.0  INNSA1  S  Total</t>
  </si>
  <si>
    <t>AWB No. Gateway Port Gateway EGM No. Gateway EGM Date Gateway Site ID Error Code
N.A.  INNSA1  135068  2017-09-14 00:00:00.0  INNSA1  S  Total</t>
  </si>
  <si>
    <t>AWB No. Gateway Port Gateway EGM No. Gateway EGM Date Gateway Site ID Error Code
N.A.  INNSA1  135086  2017-09-14 00:00:00.0  INNSA1  S  Total</t>
  </si>
  <si>
    <t>AWB No. Gateway Port Gateway EGM No. Gateway EGM Date Gateway Site ID Error Code
N.A.  INNSA1  135119  2017-09-14 00:00:00.0  INNSA1  S  Total</t>
  </si>
  <si>
    <t>AWB No. Gateway Port Gateway EGM No. Gateway EGM Date Gateway Site ID Error Code
N.A.  INNSA1  135126  2017-09-14 00:00:00.0  INNSA1  S  Total</t>
  </si>
  <si>
    <t>AWB No. Gateway Port Gateway EGM No. Gateway EGM Date Gateway Site ID Error Code
N.A.  INNSA1  135192  2017-09-15 00:00:00.0  INNSA1  S  Total</t>
  </si>
  <si>
    <t>AWB No. Gateway Port Gateway EGM No. Gateway EGM Date Gateway Site ID Error Code
N.A.  INNSA1  135239  2017-09-18 00:00:00.0  INNSA1  S  Total</t>
  </si>
  <si>
    <t>AWB No. Gateway Port Gateway EGM No. Gateway EGM Date Gateway Site ID Error Code
N.A.  INNSA1  135331  2017-09-19 00:00:00.0  INNSA1  S  Total</t>
  </si>
  <si>
    <t>AWB No. Gateway Port Gateway EGM No. Gateway EGM Date Gateway Site ID Error Code
N.A.  INNSA1  135349  2017-09-19 00:00:00.0  INNSA1  C  Total</t>
  </si>
  <si>
    <t>AWB No. Gateway Port Gateway EGM No. Gateway EGM Date Gateway Site ID Error Code
N.A.  INNSA1  135503  2017-09-21 00:00:00.0  INNSA1  C  Total</t>
  </si>
  <si>
    <t>AWB No. Gateway Port Gateway EGM No. Gateway EGM Date Gateway Site ID Error Code
N.A.  INNSA1  135507  2017-09-21 00:00:00.0  INNSA1  S  Total</t>
  </si>
  <si>
    <t>AWB No. Gateway Port Gateway EGM No. Gateway EGM Date Gateway Site ID Error Code
N.A.  INNSA1  135603  2017-09-22 00:00:00.0  INNSA1  S  Total</t>
  </si>
  <si>
    <t>AWB No. Gateway Port Gateway EGM No. Gateway EGM Date Gateway Site ID Error Code
N.A.  INNSA1  135726  2017-09-25 00:00:00.0  INNSA1  S  Total</t>
  </si>
  <si>
    <t>AWB No. Gateway Port Gateway EGM No. Gateway EGM Date Gateway Site ID Error Code
N.A.  INNSA1  135731  2017-09-25 00:00:00.0  INNSA1  S  Total</t>
  </si>
  <si>
    <t>AWB No. Gateway Port Gateway EGM No. Gateway EGM Date Gateway Site ID Error Code
N.A.  INNSA1  135755  2017-09-25 00:00:00.0  INNSA1  NC  Total</t>
  </si>
  <si>
    <t>AWB No. Gateway Port Gateway EGM No. Gateway EGM Date Gateway Site ID Error Code
N.A.  INNSA1  135895  2017-09-27 00:00:00.0  INNSA1  S  Total</t>
  </si>
  <si>
    <t>AWB No. Gateway Port Gateway EGM No. Gateway EGM Date Gateway Site ID Error Code
N.A.  INNSA1  136123  2017-10-02 00:00:00.0  INNSA1  S  Total</t>
  </si>
  <si>
    <t>AWB No. Gateway Port Gateway EGM No. Gateway EGM Date Gateway Site ID Error Code
N.A.  INNSA1  136144  2017-10-03 00:00:00.0  INNSA1  C  Total</t>
  </si>
  <si>
    <t>AWB No. Gateway Port Gateway EGM No. Gateway EGM Date Gateway Site ID Error Code
N.A.  INNSA1  136151  2017-10-03 00:00:00.0  INNSA1  S  Total</t>
  </si>
  <si>
    <t>AWB No. Gateway Port Gateway EGM No. Gateway EGM Date Gateway Site ID Error Code
N.A.  INNSA1  136158  2017-10-03 00:00:00.0  INNSA1  S  Total</t>
  </si>
  <si>
    <t>AWB No. Gateway Port Gateway EGM No. Gateway EGM Date Gateway Site ID Error Code
N.A.  INNSA1  136163  2017-10-03 00:00:00.0  INNSA1  C  Total</t>
  </si>
  <si>
    <t>AWB No. Gateway Port Gateway EGM No. Gateway EGM Date Gateway Site ID Error Code
N.A.  INNSA1  136204  2017-10-03 00:00:00.0  INNSA1  S  Total</t>
  </si>
  <si>
    <t>AWB No. Gateway Port Gateway EGM No. Gateway EGM Date Gateway Site ID Error Code
N.A.  INNSA1  136236  2017-10-04 00:00:00.0  INNSA1  C  Total</t>
  </si>
  <si>
    <t>AWB No. Gateway Port Gateway EGM No. Gateway EGM Date Gateway Site ID Error Code
N.A.  INNSA1  136238  2017-10-04 00:00:00.0  INNSA1  S  Total</t>
  </si>
  <si>
    <t>AWB No. Gateway Port Gateway EGM No. Gateway EGM Date Gateway Site ID Error Code
N.A.  INNSA1  136252  2017-10-04 00:00:00.0  INNSA1  S  Total</t>
  </si>
  <si>
    <t>AWB No. Gateway Port Gateway EGM No. Gateway EGM Date Gateway Site ID Error Code
N.A.  INNSA1  136637  2017-10-10 00:00:00.0  INNSA1  C  Total</t>
  </si>
  <si>
    <t>AWB No. Gateway Port Gateway EGM No. Gateway EGM Date Gateway Site ID Error Code
N.A.  INNSA1  136639  2017-10-10 00:00:00.0  INNSA1  S  Total</t>
  </si>
  <si>
    <t>AWB No. Gateway Port Gateway EGM No. Gateway EGM Date Gateway Site ID Error Code
N.A.  INNSA1  136648  2017-10-10 00:00:00.0  INNSA1  C  Total</t>
  </si>
  <si>
    <t>AWB No. Gateway Port Gateway EGM No. Gateway EGM Date Gateway Site ID Error Code
N.A.  INNSA1  136898  2017-10-13 00:00:00.0  INNSA1  S  Total</t>
  </si>
  <si>
    <t>AWB No. Gateway Port Gateway EGM No. Gateway EGM Date Gateway Site ID Error Code
N.A.  INNSA1  137096  2017-10-17 00:00:00.0  INNSA1  C  Total</t>
  </si>
  <si>
    <t>AWB No. Gateway Port Gateway EGM No. Gateway EGM Date Gateway Site ID Error Code
N.A.  INNSA1  137147  2017-10-18 00:00:00.0  INNSA1  C  Total</t>
  </si>
  <si>
    <t>AWB No. Gateway Port Gateway EGM No. Gateway EGM Date Gateway Site ID Error Code
N.A.  INNSA1  137147  2017-10-18 00:00:00.0  INNSA1  S  Total</t>
  </si>
  <si>
    <t>AWB No. Gateway Port Gateway EGM No. Gateway EGM Date Gateway Site ID Error Code
N.A.  INNSA1  137304  2017-10-23 00:00:00.0  INNSA1  S  Total</t>
  </si>
  <si>
    <t>AWB No. Gateway Port Gateway EGM No. Gateway EGM Date Gateway Site ID Error Code
N.A.  INNSA1  137348  2017-10-23 00:00:00.0  INNSA1  S  Total</t>
  </si>
  <si>
    <t>AWB No. Gateway Port Gateway EGM No. Gateway EGM Date Gateway Site ID Error Code
N.A.  INNSA1  137353  2017-10-23 00:00:00.0  INNSA1  C  Total</t>
  </si>
  <si>
    <t>AWB No. Gateway Port Gateway EGM No. Gateway EGM Date Gateway Site ID Error Code
N.A.  INNSA1  137366  2017-10-23 00:00:00.0  INNSA1  S  Total</t>
  </si>
  <si>
    <t>AWB No. Gateway Port Gateway EGM No. Gateway EGM Date Gateway Site ID Error Code
N.A.  INNSA1  137367  2017-10-23 00:00:00.0  INNSA1  S  Total</t>
  </si>
  <si>
    <t>AWB No. Gateway Port Gateway EGM No. Gateway EGM Date Gateway Site ID Error Code
N.A.  INNSA1  137370  2017-10-23 00:00:00.0  INNSA1  C  Total</t>
  </si>
  <si>
    <t>AWB No. Gateway Port Gateway EGM No. Gateway EGM Date Gateway Site ID Error Code
N.A.  INNSA1  137386  2017-10-23 00:00:00.0  INNSA1  S  Total</t>
  </si>
  <si>
    <t>AWB No. Gateway Port Gateway EGM No. Gateway EGM Date Gateway Site ID Error Code
N.A.  INNSA1  137453  2017-10-24 00:00:00.0  INNSA1  C  Total</t>
  </si>
  <si>
    <t>AWB No. Gateway Port Gateway EGM No. Gateway EGM Date Gateway Site ID Error Code
N.A.  INNSA1  137830  2017-10-30 00:00:00.0  INNSA1  S  Total</t>
  </si>
  <si>
    <t>AWB No. Gateway Port Gateway EGM No. Gateway EGM Date Gateway Site ID Error Code
N.A.  INNSA1  137889  2017-10-31 00:00:00.0  INNSA1  S  Total</t>
  </si>
  <si>
    <t>AWB No. Gateway Port Gateway EGM No. Gateway EGM Date Gateway Site ID Error Code
N.A.  INNSA1  137969  2017-11-01 00:00:00.0  INNSA1  C  Total</t>
  </si>
  <si>
    <t>AWB No. Gateway Port Gateway EGM No. Gateway EGM Date Gateway Site ID Error Code
N.A.  INNSA1  138138  2017-11-03 00:00:00.0  INNSA1  C  Total</t>
  </si>
  <si>
    <t>AWB No. Gateway Port Gateway EGM No. Gateway EGM Date Gateway Site ID Error Code
N.A.  INNSA1  138138  2017-11-03 00:00:00.0  INNSA1  S  Total</t>
  </si>
  <si>
    <t>AWB No. Gateway Port Gateway EGM No. Gateway EGM Date Gateway Site ID Error Code
N.A.  INNSA1  138232  2017-11-06 00:00:00.0  INNSA1  N  Total</t>
  </si>
  <si>
    <t>AWB No. Gateway Port Gateway EGM No. Gateway EGM Date Gateway Site ID Error Code
N.A.  INNSA1  138234  2017-11-06 00:00:00.0  INNSA1  S  Total</t>
  </si>
  <si>
    <t>AWB No. Gateway Port Gateway EGM No. Gateway EGM Date Gateway Site ID Error Code
N.A.  INNSA1  138449  2017-11-09 00:00:00.0  INNSA1  S  Total</t>
  </si>
  <si>
    <t>AWB No. Gateway Port Gateway EGM No. Gateway EGM Date Gateway Site ID Error Code
N.A.  INNSA1  138455  2017-11-09 00:00:00.0  INNSA1  S  Total</t>
  </si>
  <si>
    <t>AWB No. Gateway Port Gateway EGM No. Gateway EGM Date Gateway Site ID Error Code
N.A.  INNSA1  138478  2017-11-09 00:00:00.0  INNSA1  S  Total</t>
  </si>
  <si>
    <t>AWB No. Gateway Port Gateway EGM No. Gateway EGM Date Gateway Site ID Error Code
N.A.  INNSA1  138641  2017-11-13 00:00:00.0  INNSA1  S  Total</t>
  </si>
  <si>
    <t>AWB No. Gateway Port Gateway EGM No. Gateway EGM Date Gateway Site ID Error Code
N.A.  INNSA1  138710  2017-11-13 00:00:00.0  INNSA1  S  Total</t>
  </si>
  <si>
    <t>AWB No. Gateway Port Gateway EGM No. Gateway EGM Date Gateway Site ID Error Code
N.A.  INNSA1  138732  2017-11-14 00:00:00.0  INNSA1  S  Total</t>
  </si>
  <si>
    <t>AWB No. Gateway Port Gateway EGM No. Gateway EGM Date Gateway Site ID Error Code
N.A.  INNSA1  138758  2017-11-14 00:00:00.0  INNSA1  S  Total</t>
  </si>
  <si>
    <t>AWB No. Gateway Port Gateway EGM No. Gateway EGM Date Gateway Site ID Error Code
N.A.  INNSA1  138837  2017-11-15 00:00:00.0  INNSA1  S  Total</t>
  </si>
  <si>
    <t>AWB No. Gateway Port Gateway EGM No. Gateway EGM Date Gateway Site ID Error Code
N.A.  INNSA1  139138  2017-11-20 00:00:00.0  INNSA1  S  Total</t>
  </si>
  <si>
    <t>AWB No. Gateway Port Gateway EGM No. Gateway EGM Date Gateway Site ID Error Code
N.A.  INNSA1  139142  2017-11-20 00:00:00.0  INNSA1  S  Total</t>
  </si>
  <si>
    <t>AWB No. Gateway Port Gateway EGM No. Gateway EGM Date Gateway Site ID Error Code
N.A.  INNSA1  139301  2017-11-22 00:00:00.0  INNSA1  S  Total</t>
  </si>
  <si>
    <t>AWB No. Gateway Port Gateway EGM No. Gateway EGM Date Gateway Site ID Error Code
N.A.  INNSA1  139557  2017-11-27 00:00:00.0  INNSA1  S  Total</t>
  </si>
  <si>
    <t>AWB No. Gateway Port Gateway EGM No. Gateway EGM Date Gateway Site ID Error Code
N.A.  INNSA1  139647  2017-11-28 00:00:00.0  INNSA1  S  Total</t>
  </si>
  <si>
    <t>AWB No. Gateway Port Gateway EGM No. Gateway EGM Date Gateway Site ID Error Code
N.A.  INNSA1  139757  2017-11-29 00:00:00.0  INNSA1  S  Total</t>
  </si>
  <si>
    <t>AWB No. Gateway Port Gateway EGM No. Gateway EGM Date Gateway Site ID Error Code
N.A.  INNSA1  139773  2017-11-29 00:00:00.0  INNSA1  S  Total</t>
  </si>
  <si>
    <t>AWB No. Gateway Port Gateway EGM No. Gateway EGM Date Gateway Site ID Error Code
N.A.  INNSA1  139792  2017-11-30 00:00:00.0  INNSA1  S  Total</t>
  </si>
  <si>
    <t>AWB No. Gateway Port Gateway EGM No. Gateway EGM Date Gateway Site ID Error Code
N.A.  INNSA1  139986  2017-12-04 00:00:00.0  INNSA1  S  Total</t>
  </si>
  <si>
    <t>AWB No. Gateway Port Gateway EGM No. Gateway EGM Date Gateway Site ID Error Code
N.A.  INNSA1  139999  2017-12-04 00:00:00.0  INNSA1  S  Total</t>
  </si>
  <si>
    <t>AWB No. Gateway Port Gateway EGM No. Gateway EGM Date Gateway Site ID Error Code
N.A.  INNSA1  140041  2017-12-05 00:00:00.0  INNSA1  S  Total</t>
  </si>
  <si>
    <t>AWB No. Gateway Port Gateway EGM No. Gateway EGM Date Gateway Site ID Error Code
N.A.  INNSA1  140047  2017-12-05 00:00:00.0  INNSA1  S  Total</t>
  </si>
  <si>
    <t>AWB No. Gateway Port Gateway EGM No. Gateway EGM Date Gateway Site ID Error Code
N.A.  INNSA1  140365  2017-12-08 00:00:00.0  INNSA1  N  Total</t>
  </si>
  <si>
    <t>AWB No. Gateway Port Gateway EGM No. Gateway EGM Date Gateway Site ID Error Code
N.A.  INNSA1  140402  2017-12-11 00:00:00.0  INNSA1  S  Total</t>
  </si>
  <si>
    <t>AWB No. Gateway Port Gateway EGM No. Gateway EGM Date Gateway Site ID Error Code
N.A.  INNSA1  140472  2017-12-12 00:00:00.0  INNSA1  S  Total</t>
  </si>
  <si>
    <t>AWB No. Gateway Port Gateway EGM No. Gateway EGM Date Gateway Site ID Error Code
N.A.  INNSA1  140487  2017-12-12 00:00:00.0  INNSA1  S  Total</t>
  </si>
  <si>
    <t>AWB No. Gateway Port Gateway EGM No. Gateway EGM Date Gateway Site ID Error Code
N.A.  INNSA1  140586  2017-12-12 00:00:00.0  INNSA1  S  Total</t>
  </si>
  <si>
    <t>AWB No. Gateway Port Gateway EGM No. Gateway EGM Date Gateway Site ID Error Code
N.A.  INNSA1  140677  2017-12-14 00:00:00.0  INNSA1  S  Total</t>
  </si>
  <si>
    <t>AWB No. Gateway Port Gateway EGM No. Gateway EGM Date Gateway Site ID Error Code
N.A.  INNSA1  140724  2017-12-15 00:00:00.0  INNSA1  S  Total</t>
  </si>
  <si>
    <t>AWB No. Gateway Port Gateway EGM No. Gateway EGM Date Gateway Site ID Error Code
N.A.  INNSA1  140726  2017-12-15 00:00:00.0  INNSA1  C  Total</t>
  </si>
  <si>
    <t>AWB No. Gateway Port Gateway EGM No. Gateway EGM Date Gateway Site ID Error Code
N.A.  INNSA1  141039  2017-12-20 00:00:00.0  INNSA1  S  Total</t>
  </si>
  <si>
    <t>AWB No. Gateway Port Gateway EGM No. Gateway EGM Date Gateway Site ID Error Code
N.A.  INNSA1  141083  2017-12-21 00:00:00.0  INNSA1  C  Total</t>
  </si>
  <si>
    <t>AWB No. Gateway Port Gateway EGM No. Gateway EGM Date Gateway Site ID Error Code
N.A.  INNSA1  141116  2017-12-21 00:00:00.0  INNSA1  S  Total</t>
  </si>
  <si>
    <t>AWB No. Gateway Port Gateway EGM No. Gateway EGM Date Gateway Site ID Error Code
N.A.  INNSA1  141170  2017-12-22 00:00:00.0  INNSA1  S  Total</t>
  </si>
  <si>
    <t>AWB No. Gateway Port Gateway EGM No. Gateway EGM Date Gateway Site ID Error Code
N.A.  INNSA1  141344  2017-12-26 00:00:00.0  INNSA1  C  Total</t>
  </si>
  <si>
    <t>AWB No. Gateway Port Gateway EGM No. Gateway EGM Date Gateway Site ID Error Code
N.A.  INNSA1  141394  2017-12-26 00:00:00.0  INNSA1  S  Total</t>
  </si>
  <si>
    <t>AWB No. Gateway Port Gateway EGM No. Gateway EGM Date Gateway Site ID Error Code
N.A.  INNSA1  141463  2017-12-27 00:00:00.0  INNSA1  S  Total</t>
  </si>
  <si>
    <t>AWB No. Gateway Port Gateway EGM No. Gateway EGM Date Gateway Site ID Error Code
N.A.  INNSA1  142173  2018-01-08 00:00:00.0  INNSA1  S  Total</t>
  </si>
  <si>
    <t>AWB No. Gateway Port Gateway EGM No. Gateway EGM Date Gateway Site ID Error Code
N.A.  INNSA1  169501  2019-03-29 00:00:00.0  INNSA1  S  Total</t>
  </si>
  <si>
    <t>AWB No. Gateway Port Gateway EGM No. Gateway EGM Date Gateway Site ID Error Code
N.A.  INNSA1  N.A.  N.A.  N.A.  N.A.  Total</t>
  </si>
  <si>
    <t>AWB No. Gateway Port Gateway EGM No. Gateway EGM Date Gateway Site ID Error Code
N.A.  INPAV1  131777  2017-07-19 00:00:00.0  INPAV1  L  Total</t>
  </si>
  <si>
    <t>AWB No. Gateway Port Gateway EGM No. Gateway EGM Date Gateway Site ID Error Code
N.A.  INPAV1  132205  2017-07-26 00:00:00.0  INPAV1  S  Total</t>
  </si>
  <si>
    <t>AWB No. Gateway Port Gateway EGM No. Gateway EGM Date Gateway Site ID Error Code
N.A.  INPAV1  132210  2017-07-26 00:00:00.0  INPAV1  S  Total</t>
  </si>
  <si>
    <t>AWB No. Gateway Port Gateway EGM No. Gateway EGM Date Gateway Site ID Error Code
N.A.  INPAV1  132215  2017-07-26 00:00:00.0  INPAV1  S  Total</t>
  </si>
  <si>
    <t>AWB No. Gateway Port Gateway EGM No. Gateway EGM Date Gateway Site ID Error Code
N.A.  INPAV1  132218  2017-07-26 00:00:00.0  INPAV1  S  Total</t>
  </si>
  <si>
    <t>AWB No. Gateway Port Gateway EGM No. Gateway EGM Date Gateway Site ID Error Code
N.A.  INPAV1  133387  2017-08-16 00:00:00.0  INPAV1  S  Total</t>
  </si>
  <si>
    <t>AWB No. Gateway Port Gateway EGM No. Gateway EGM Date Gateway Site ID Error Code
N.A.  INPAV1  133808  2017-08-24 00:00:00.0  INPAV1  S  Total</t>
  </si>
  <si>
    <t>AWB No. Gateway Port Gateway EGM No. Gateway EGM Date Gateway Site ID Error Code
N.A.  INPAV1  134057  2017-08-28 00:00:00.0  INPAV1  S  Total</t>
  </si>
  <si>
    <t>AWB No. Gateway Port Gateway EGM No. Gateway EGM Date Gateway Site ID Error Code
N.A.  INPAV1  134063  2017-08-28 00:00:00.0  INPAV1  S  Total</t>
  </si>
  <si>
    <t>AWB No. Gateway Port Gateway EGM No. Gateway EGM Date Gateway Site ID Error Code
N.A.  INPAV1  134066  2017-08-28 00:00:00.0  INPAV1  S  Total</t>
  </si>
  <si>
    <t>AWB No. Gateway Port Gateway EGM No. Gateway EGM Date Gateway Site ID Error Code
N.A.  INPAV1  134074  2017-08-28 00:00:00.0  INPAV1  S  Total</t>
  </si>
  <si>
    <t>AWB No. Gateway Port Gateway EGM No. Gateway EGM Date Gateway Site ID Error Code
N.A.  INPAV1  134495  2017-09-04 00:00:00.0  INPAV1  S  Total</t>
  </si>
  <si>
    <t>AWB No. Gateway Port Gateway EGM No. Gateway EGM Date Gateway Site ID Error Code
N.A.  INPAV1  134667  2017-09-07 00:00:00.0  INMAA1  MC  Total</t>
  </si>
  <si>
    <t>AWB No. Gateway Port Gateway EGM No. Gateway EGM Date Gateway Site ID Error Code
N.A.  INPAV1  137330  2017-10-23 00:00:00.0  INPAV1  S  Total</t>
  </si>
  <si>
    <t>AWB No. Gateway Port Gateway EGM No. Gateway EGM Date Gateway Site ID Error Code
N.A.  INPAV1  137989  2017-11-01 00:00:00.0  INPAV1  S  Total</t>
  </si>
  <si>
    <t>AWB No. Gateway Port Gateway EGM No. Gateway EGM Date Gateway Site ID Error Code
N.A.  INPAV1  137999  2017-11-01 00:00:00.0  INPAV1  S  Total</t>
  </si>
  <si>
    <t>AWB No. Gateway Port Gateway EGM No. Gateway EGM Date Gateway Site ID Error Code
N.A.  INPAV1  138356  2017-11-07 00:00:00.0  INPAV1  S  Total</t>
  </si>
  <si>
    <t>AWB No. Gateway Port Gateway EGM No. Gateway EGM Date Gateway Site ID Error Code
N.A.  INPAV1  139653  2017-11-28 00:00:00.0  INPAV1  S  Total</t>
  </si>
  <si>
    <t>AWB No. Gateway Port Gateway EGM No. Gateway EGM Date Gateway Site ID Error Code
N.A.  INPAV1  139963  2017-12-04 00:00:00.0  INPAV1  S  Total</t>
  </si>
  <si>
    <t>AWB No. Gateway Port Gateway EGM No. Gateway EGM Date Gateway Site ID Error Code
N.A.  INPAV1  139966  2017-12-04 00:00:00.0  INPAV1  S  Total</t>
  </si>
  <si>
    <t>AWB No. Gateway Port Gateway EGM No. Gateway EGM Date Gateway Site ID Error Code
N.A.  INPAV1  140083  2017-12-05 00:00:00.0  INPAV1  S  Total</t>
  </si>
  <si>
    <t>AWB No. Gateway Port Gateway EGM No. Gateway EGM Date Gateway Site ID Error Code
N.A.  INPAV1  140831  2017-12-18 00:00:00.0  INPAV1  S  Total</t>
  </si>
  <si>
    <t>AWB No. Gateway Port Gateway EGM No. Gateway EGM Date Gateway Site ID Error Code
N.A.  INPAV1  141634  2017-12-29 00:00:00.0  INPAV1  S  Total</t>
  </si>
  <si>
    <t>No Record found Total</t>
  </si>
  <si>
    <t>Please Wait.... Total</t>
  </si>
  <si>
    <t>Pivot Table – Gateway vs GST (Count of SB no)</t>
  </si>
  <si>
    <t>Pivot Table – IEC(Details) vs PORT Code (Count of SB no)</t>
  </si>
  <si>
    <t>IEC Extracted</t>
  </si>
  <si>
    <t>0288012101</t>
  </si>
  <si>
    <t>0288014952</t>
  </si>
  <si>
    <t>0302060855</t>
  </si>
  <si>
    <t>0307055078</t>
  </si>
  <si>
    <t>0311014879</t>
  </si>
  <si>
    <t>0314004173</t>
  </si>
  <si>
    <t>0314035087</t>
  </si>
  <si>
    <t>0389025364</t>
  </si>
  <si>
    <t>0397084901</t>
  </si>
  <si>
    <t>0500003491</t>
  </si>
  <si>
    <t>0500016143</t>
  </si>
  <si>
    <t>0500042616</t>
  </si>
  <si>
    <t>0500048967</t>
  </si>
  <si>
    <t>0500050139</t>
  </si>
  <si>
    <t>0500054339</t>
  </si>
  <si>
    <t>0500062609</t>
  </si>
  <si>
    <t>0500068241</t>
  </si>
  <si>
    <t>0500075158</t>
  </si>
  <si>
    <t>0501009990</t>
  </si>
  <si>
    <t>0501016481</t>
  </si>
  <si>
    <t>0501045813</t>
  </si>
  <si>
    <t>0501061428</t>
  </si>
  <si>
    <t>0502021373</t>
  </si>
  <si>
    <t>0502037547</t>
  </si>
  <si>
    <t>0502077905</t>
  </si>
  <si>
    <t>0503010316</t>
  </si>
  <si>
    <t>0503013749</t>
  </si>
  <si>
    <t>0503014761</t>
  </si>
  <si>
    <t>0503019321</t>
  </si>
  <si>
    <t>0503083518</t>
  </si>
  <si>
    <t>0504008455</t>
  </si>
  <si>
    <t>0504011057</t>
  </si>
  <si>
    <t>0504016865</t>
  </si>
  <si>
    <t>0504019392</t>
  </si>
  <si>
    <t>0504038966</t>
  </si>
  <si>
    <t>0504063227</t>
  </si>
  <si>
    <t>0504064011</t>
  </si>
  <si>
    <t>0504064754</t>
  </si>
  <si>
    <t>0504077104</t>
  </si>
  <si>
    <t>0504077171</t>
  </si>
  <si>
    <t>0505000873</t>
  </si>
  <si>
    <t>0505007592</t>
  </si>
  <si>
    <t>0505023954</t>
  </si>
  <si>
    <t>0505032473</t>
  </si>
  <si>
    <t>0505075172</t>
  </si>
  <si>
    <t>0505088681</t>
  </si>
  <si>
    <t>0506004830</t>
  </si>
  <si>
    <t>0506012905</t>
  </si>
  <si>
    <t>0506035182</t>
  </si>
  <si>
    <t>0506046231</t>
  </si>
  <si>
    <t>0506054306</t>
  </si>
  <si>
    <t>0506059944</t>
  </si>
  <si>
    <t>0506062538</t>
  </si>
  <si>
    <t>0506070484</t>
  </si>
  <si>
    <t>0506074285</t>
  </si>
  <si>
    <t>0506074994</t>
  </si>
  <si>
    <t>0507001061</t>
  </si>
  <si>
    <t>0507004761</t>
  </si>
  <si>
    <t>0507018591</t>
  </si>
  <si>
    <t>0507023722</t>
  </si>
  <si>
    <t>0507042034</t>
  </si>
  <si>
    <t>0507051360</t>
  </si>
  <si>
    <t>0507062884</t>
  </si>
  <si>
    <t>0507068645</t>
  </si>
  <si>
    <t>0507081668</t>
  </si>
  <si>
    <t>0508003300</t>
  </si>
  <si>
    <t>0508028078</t>
  </si>
  <si>
    <t>0508073324</t>
  </si>
  <si>
    <t>0508074321</t>
  </si>
  <si>
    <t>0508075416</t>
  </si>
  <si>
    <t>0509003061</t>
  </si>
  <si>
    <t>0509006191</t>
  </si>
  <si>
    <t>0509007406</t>
  </si>
  <si>
    <t>0509025765</t>
  </si>
  <si>
    <t>0509035337</t>
  </si>
  <si>
    <t>0509037844</t>
  </si>
  <si>
    <t>0509047491</t>
  </si>
  <si>
    <t>0509056105</t>
  </si>
  <si>
    <t>0509092110</t>
  </si>
  <si>
    <t>0510005021</t>
  </si>
  <si>
    <t>0510006329</t>
  </si>
  <si>
    <t>0510011683</t>
  </si>
  <si>
    <t>0510012680</t>
  </si>
  <si>
    <t>0510019439</t>
  </si>
  <si>
    <t>0510040519</t>
  </si>
  <si>
    <t>0510056601</t>
  </si>
  <si>
    <t>0510059732</t>
  </si>
  <si>
    <t>0510064663</t>
  </si>
  <si>
    <t>0510085423</t>
  </si>
  <si>
    <t>0511002459</t>
  </si>
  <si>
    <t>0511006519</t>
  </si>
  <si>
    <t>0511026242</t>
  </si>
  <si>
    <t>0511034661</t>
  </si>
  <si>
    <t>0511035675</t>
  </si>
  <si>
    <t>0511063865</t>
  </si>
  <si>
    <t>0511068212</t>
  </si>
  <si>
    <t>0511087098</t>
  </si>
  <si>
    <t>0512002835</t>
  </si>
  <si>
    <t>0512057273</t>
  </si>
  <si>
    <t>0512059152</t>
  </si>
  <si>
    <t>0512062013</t>
  </si>
  <si>
    <t>0512064172</t>
  </si>
  <si>
    <t>0512067872</t>
  </si>
  <si>
    <t>0512072388</t>
  </si>
  <si>
    <t>0512076341</t>
  </si>
  <si>
    <t>0512081786</t>
  </si>
  <si>
    <t>0512084262</t>
  </si>
  <si>
    <t>0513013261</t>
  </si>
  <si>
    <t>0513013971</t>
  </si>
  <si>
    <t>0513021612</t>
  </si>
  <si>
    <t>0513039759</t>
  </si>
  <si>
    <t>0513045228</t>
  </si>
  <si>
    <t>0513056661</t>
  </si>
  <si>
    <t>0514019492</t>
  </si>
  <si>
    <t>0514025026</t>
  </si>
  <si>
    <t>0514026804</t>
  </si>
  <si>
    <t>0514036265</t>
  </si>
  <si>
    <t>0514067969</t>
  </si>
  <si>
    <t>0514078901</t>
  </si>
  <si>
    <t>0514081988</t>
  </si>
  <si>
    <t>0514085720</t>
  </si>
  <si>
    <t>0514087234</t>
  </si>
  <si>
    <t>0515015504</t>
  </si>
  <si>
    <t>0515019372</t>
  </si>
  <si>
    <t>0515019933</t>
  </si>
  <si>
    <t>0515036919</t>
  </si>
  <si>
    <t>0515042064</t>
  </si>
  <si>
    <t>0515060291</t>
  </si>
  <si>
    <t>0515069272</t>
  </si>
  <si>
    <t>0515076741</t>
  </si>
  <si>
    <t>0515918024</t>
  </si>
  <si>
    <t>0515920274</t>
  </si>
  <si>
    <t>0515933520</t>
  </si>
  <si>
    <t>0515934062</t>
  </si>
  <si>
    <t>0516502123</t>
  </si>
  <si>
    <t>0516502832</t>
  </si>
  <si>
    <t>0516515403</t>
  </si>
  <si>
    <t>0516517431</t>
  </si>
  <si>
    <t>0516526065</t>
  </si>
  <si>
    <t>0516900692</t>
  </si>
  <si>
    <t>0516929674</t>
  </si>
  <si>
    <t>0516954725</t>
  </si>
  <si>
    <t>0517500531</t>
  </si>
  <si>
    <t>0517513668</t>
  </si>
  <si>
    <t>0517528762</t>
  </si>
  <si>
    <t>0517542374</t>
  </si>
  <si>
    <t>0517546981</t>
  </si>
  <si>
    <t>0588024317</t>
  </si>
  <si>
    <t>0588044440</t>
  </si>
  <si>
    <t>0588050814</t>
  </si>
  <si>
    <t>0588055964</t>
  </si>
  <si>
    <t>0588062359</t>
  </si>
  <si>
    <t>0588079359</t>
  </si>
  <si>
    <t>0588128180</t>
  </si>
  <si>
    <t>0589036734</t>
  </si>
  <si>
    <t>0589043838</t>
  </si>
  <si>
    <t>0589053850</t>
  </si>
  <si>
    <t>0590022873</t>
  </si>
  <si>
    <t>0591026007</t>
  </si>
  <si>
    <t>0591028549</t>
  </si>
  <si>
    <t>0591032163</t>
  </si>
  <si>
    <t>0591046270</t>
  </si>
  <si>
    <t>0592006832</t>
  </si>
  <si>
    <t>0592023052</t>
  </si>
  <si>
    <t>0593033043</t>
  </si>
  <si>
    <t>0593052561</t>
  </si>
  <si>
    <t>0593056868</t>
  </si>
  <si>
    <t>0593058577</t>
  </si>
  <si>
    <t>0593067517</t>
  </si>
  <si>
    <t>0594000319</t>
  </si>
  <si>
    <t>0594004373</t>
  </si>
  <si>
    <t>0594048621</t>
  </si>
  <si>
    <t>0595008844</t>
  </si>
  <si>
    <t>0595012647</t>
  </si>
  <si>
    <t>0595021255</t>
  </si>
  <si>
    <t>0595025714</t>
  </si>
  <si>
    <t>0595059040</t>
  </si>
  <si>
    <t>0596009488</t>
  </si>
  <si>
    <t>0596061315</t>
  </si>
  <si>
    <t>0597017891</t>
  </si>
  <si>
    <t>0597024561</t>
  </si>
  <si>
    <t>0597069948</t>
  </si>
  <si>
    <t>0598005498</t>
  </si>
  <si>
    <t>0598005536</t>
  </si>
  <si>
    <t>0598032801</t>
  </si>
  <si>
    <t>0598045783</t>
  </si>
  <si>
    <t>0598055665</t>
  </si>
  <si>
    <t>0598059113</t>
  </si>
  <si>
    <t>0599007931</t>
  </si>
  <si>
    <t>0599059206</t>
  </si>
  <si>
    <t>0609003542</t>
  </si>
  <si>
    <t>0615002285</t>
  </si>
  <si>
    <t>0616907401</t>
  </si>
  <si>
    <t>0709012331</t>
  </si>
  <si>
    <t>0713000201</t>
  </si>
  <si>
    <t>1210001128</t>
  </si>
  <si>
    <t>1216900370</t>
  </si>
  <si>
    <t>1306014115</t>
  </si>
  <si>
    <t>1308012381</t>
  </si>
  <si>
    <t>1314000233</t>
  </si>
  <si>
    <t>1414003447</t>
  </si>
  <si>
    <t>2189000734</t>
  </si>
  <si>
    <t>2203003405</t>
  </si>
  <si>
    <t>2416910671</t>
  </si>
  <si>
    <t>2915001367</t>
  </si>
  <si>
    <t>3000004394</t>
  </si>
  <si>
    <t>3003005391</t>
  </si>
  <si>
    <t>3011014116</t>
  </si>
  <si>
    <t>3014016713</t>
  </si>
  <si>
    <t>3091000621</t>
  </si>
  <si>
    <t>3097011234</t>
  </si>
  <si>
    <t>3104003254</t>
  </si>
  <si>
    <t>3303004897</t>
  </si>
  <si>
    <t>3306001678</t>
  </si>
  <si>
    <t>3307004344</t>
  </si>
  <si>
    <t>3311006062</t>
  </si>
  <si>
    <t>3393002155</t>
  </si>
  <si>
    <t>3397001846</t>
  </si>
  <si>
    <t>5212012333</t>
  </si>
  <si>
    <t>AABCZ1026D</t>
  </si>
  <si>
    <t>AAECE6932C</t>
  </si>
  <si>
    <t>AAHCC0755A</t>
  </si>
  <si>
    <t>AAKFD0331P</t>
  </si>
  <si>
    <t>AAKFN5762C</t>
  </si>
  <si>
    <t>AGEPB3375R</t>
  </si>
  <si>
    <t>DOOPK1147B</t>
  </si>
  <si>
    <t xml:space="preserve">No Record </t>
  </si>
  <si>
    <t>0288014952 Total</t>
  </si>
  <si>
    <t>0302060855 Total</t>
  </si>
  <si>
    <t>0307055078 Total</t>
  </si>
  <si>
    <t>0311014879 Total</t>
  </si>
  <si>
    <t>0314004173 Total</t>
  </si>
  <si>
    <t>0314035087 Total</t>
  </si>
  <si>
    <t>0389025364 Total</t>
  </si>
  <si>
    <t>0397084901 Total</t>
  </si>
  <si>
    <t>0500003491 Total</t>
  </si>
  <si>
    <t>0500016143 Total</t>
  </si>
  <si>
    <t>0500042616 Total</t>
  </si>
  <si>
    <t>0500048967 Total</t>
  </si>
  <si>
    <t>0500050139 Total</t>
  </si>
  <si>
    <t>0500054339 Total</t>
  </si>
  <si>
    <t>0500062609 Total</t>
  </si>
  <si>
    <t>0500068241 Total</t>
  </si>
  <si>
    <t>0500075158 Total</t>
  </si>
  <si>
    <t>0501009990 Total</t>
  </si>
  <si>
    <t>0501016481 Total</t>
  </si>
  <si>
    <t>0501045813 Total</t>
  </si>
  <si>
    <t>0501061428 Total</t>
  </si>
  <si>
    <t>0502021373 Total</t>
  </si>
  <si>
    <t>0502037547 Total</t>
  </si>
  <si>
    <t>0502077905 Total</t>
  </si>
  <si>
    <t>0503010316 Total</t>
  </si>
  <si>
    <t>0503013749 Total</t>
  </si>
  <si>
    <t>0503014761 Total</t>
  </si>
  <si>
    <t>0503019321 Total</t>
  </si>
  <si>
    <t>0503083518 Total</t>
  </si>
  <si>
    <t>0504008455 Total</t>
  </si>
  <si>
    <t>0504011057 Total</t>
  </si>
  <si>
    <t>0504016865 Total</t>
  </si>
  <si>
    <t>0504019392 Total</t>
  </si>
  <si>
    <t>0504038966 Total</t>
  </si>
  <si>
    <t>0504063227 Total</t>
  </si>
  <si>
    <t>0504064011 Total</t>
  </si>
  <si>
    <t>0504064754 Total</t>
  </si>
  <si>
    <t>0504077104 Total</t>
  </si>
  <si>
    <t>0504077171 Total</t>
  </si>
  <si>
    <t>0505000873 Total</t>
  </si>
  <si>
    <t>0505007592 Total</t>
  </si>
  <si>
    <t>0505023954 Total</t>
  </si>
  <si>
    <t>0505032473 Total</t>
  </si>
  <si>
    <t>0505075172 Total</t>
  </si>
  <si>
    <t>0505088681 Total</t>
  </si>
  <si>
    <t>0506004830 Total</t>
  </si>
  <si>
    <t>0506012905 Total</t>
  </si>
  <si>
    <t>0506035182 Total</t>
  </si>
  <si>
    <t>0506046231 Total</t>
  </si>
  <si>
    <t>0506054306 Total</t>
  </si>
  <si>
    <t>0506059944 Total</t>
  </si>
  <si>
    <t>0506062538 Total</t>
  </si>
  <si>
    <t>0506070484 Total</t>
  </si>
  <si>
    <t>0506074285 Total</t>
  </si>
  <si>
    <t>0506074994 Total</t>
  </si>
  <si>
    <t>0507001061 Total</t>
  </si>
  <si>
    <t>0507004761 Total</t>
  </si>
  <si>
    <t>0507018591 Total</t>
  </si>
  <si>
    <t>0507023722 Total</t>
  </si>
  <si>
    <t>0507042034 Total</t>
  </si>
  <si>
    <t>0507051360 Total</t>
  </si>
  <si>
    <t>0507062884 Total</t>
  </si>
  <si>
    <t>0507068645 Total</t>
  </si>
  <si>
    <t>0507081668 Total</t>
  </si>
  <si>
    <t>0508003300 Total</t>
  </si>
  <si>
    <t>0508028078 Total</t>
  </si>
  <si>
    <t>0508073324 Total</t>
  </si>
  <si>
    <t>0508074321 Total</t>
  </si>
  <si>
    <t>0508075416 Total</t>
  </si>
  <si>
    <t>0509003061 Total</t>
  </si>
  <si>
    <t>0509006191 Total</t>
  </si>
  <si>
    <t>0509007406 Total</t>
  </si>
  <si>
    <t>0509025765 Total</t>
  </si>
  <si>
    <t>0509035337 Total</t>
  </si>
  <si>
    <t>0509037844 Total</t>
  </si>
  <si>
    <t>0509047491 Total</t>
  </si>
  <si>
    <t>0509056105 Total</t>
  </si>
  <si>
    <t>0509092110 Total</t>
  </si>
  <si>
    <t>0510005021 Total</t>
  </si>
  <si>
    <t>0510006329 Total</t>
  </si>
  <si>
    <t>0510011683 Total</t>
  </si>
  <si>
    <t>0510012680 Total</t>
  </si>
  <si>
    <t>0510019439 Total</t>
  </si>
  <si>
    <t>0510040519 Total</t>
  </si>
  <si>
    <t>0510056601 Total</t>
  </si>
  <si>
    <t>0510059732 Total</t>
  </si>
  <si>
    <t>0510064663 Total</t>
  </si>
  <si>
    <t>0510085423 Total</t>
  </si>
  <si>
    <t>0511002459 Total</t>
  </si>
  <si>
    <t>0511006519 Total</t>
  </si>
  <si>
    <t>0511026242 Total</t>
  </si>
  <si>
    <t>0511034661 Total</t>
  </si>
  <si>
    <t>0511035675 Total</t>
  </si>
  <si>
    <t>0511063865 Total</t>
  </si>
  <si>
    <t>0511068212 Total</t>
  </si>
  <si>
    <t>0511087098 Total</t>
  </si>
  <si>
    <t>0512002835 Total</t>
  </si>
  <si>
    <t>0512057273 Total</t>
  </si>
  <si>
    <t>0512059152 Total</t>
  </si>
  <si>
    <t>0512062013 Total</t>
  </si>
  <si>
    <t>0512064172 Total</t>
  </si>
  <si>
    <t>0512067872 Total</t>
  </si>
  <si>
    <t>0512072388 Total</t>
  </si>
  <si>
    <t>0512076341 Total</t>
  </si>
  <si>
    <t>0512081786 Total</t>
  </si>
  <si>
    <t>0512084262 Total</t>
  </si>
  <si>
    <t>0513013261 Total</t>
  </si>
  <si>
    <t>0513013971 Total</t>
  </si>
  <si>
    <t>0513021612 Total</t>
  </si>
  <si>
    <t>0513039759 Total</t>
  </si>
  <si>
    <t>0513045228 Total</t>
  </si>
  <si>
    <t>0513056661 Total</t>
  </si>
  <si>
    <t>0514019492 Total</t>
  </si>
  <si>
    <t>0514025026 Total</t>
  </si>
  <si>
    <t>0514026804 Total</t>
  </si>
  <si>
    <t>0514036265 Total</t>
  </si>
  <si>
    <t>0514067969 Total</t>
  </si>
  <si>
    <t>0514078901 Total</t>
  </si>
  <si>
    <t>0514081988 Total</t>
  </si>
  <si>
    <t>0514085720 Total</t>
  </si>
  <si>
    <t>0514087234 Total</t>
  </si>
  <si>
    <t>0515015504 Total</t>
  </si>
  <si>
    <t>0515019372 Total</t>
  </si>
  <si>
    <t>0515019933 Total</t>
  </si>
  <si>
    <t>0515036919 Total</t>
  </si>
  <si>
    <t>0515042064 Total</t>
  </si>
  <si>
    <t>0515060291 Total</t>
  </si>
  <si>
    <t>0515069272 Total</t>
  </si>
  <si>
    <t>0515076741 Total</t>
  </si>
  <si>
    <t>0515918024 Total</t>
  </si>
  <si>
    <t>0515920274 Total</t>
  </si>
  <si>
    <t>0515933520 Total</t>
  </si>
  <si>
    <t>0515934062 Total</t>
  </si>
  <si>
    <t>0516502123 Total</t>
  </si>
  <si>
    <t>0516502832 Total</t>
  </si>
  <si>
    <t>0516515403 Total</t>
  </si>
  <si>
    <t>0516517431 Total</t>
  </si>
  <si>
    <t>0516526065 Total</t>
  </si>
  <si>
    <t>0516900692 Total</t>
  </si>
  <si>
    <t>0516929674 Total</t>
  </si>
  <si>
    <t>0516954725 Total</t>
  </si>
  <si>
    <t>0517500531 Total</t>
  </si>
  <si>
    <t>0517513668 Total</t>
  </si>
  <si>
    <t>0517528762 Total</t>
  </si>
  <si>
    <t>0517542374 Total</t>
  </si>
  <si>
    <t>0517546981 Total</t>
  </si>
  <si>
    <t>0588024317 Total</t>
  </si>
  <si>
    <t>0588044440 Total</t>
  </si>
  <si>
    <t>0588050814 Total</t>
  </si>
  <si>
    <t>0588055964 Total</t>
  </si>
  <si>
    <t>0588062359 Total</t>
  </si>
  <si>
    <t>0588079359 Total</t>
  </si>
  <si>
    <t>0588128180 Total</t>
  </si>
  <si>
    <t>0589036734 Total</t>
  </si>
  <si>
    <t>0589043838 Total</t>
  </si>
  <si>
    <t>0589053850 Total</t>
  </si>
  <si>
    <t>0590022873 Total</t>
  </si>
  <si>
    <t>0591026007 Total</t>
  </si>
  <si>
    <t>0591028549 Total</t>
  </si>
  <si>
    <t>0591032163 Total</t>
  </si>
  <si>
    <t>0591046270 Total</t>
  </si>
  <si>
    <t>0592006832 Total</t>
  </si>
  <si>
    <t>0592023052 Total</t>
  </si>
  <si>
    <t>0593033043 Total</t>
  </si>
  <si>
    <t>0593052561 Total</t>
  </si>
  <si>
    <t>0593056868 Total</t>
  </si>
  <si>
    <t>0593058577 Total</t>
  </si>
  <si>
    <t>0593067517 Total</t>
  </si>
  <si>
    <t>0594000319 Total</t>
  </si>
  <si>
    <t>0594004373 Total</t>
  </si>
  <si>
    <t>0594048621 Total</t>
  </si>
  <si>
    <t>0595008844 Total</t>
  </si>
  <si>
    <t>0595012647 Total</t>
  </si>
  <si>
    <t>0595021255 Total</t>
  </si>
  <si>
    <t>0595025714 Total</t>
  </si>
  <si>
    <t>0595059040 Total</t>
  </si>
  <si>
    <t>0596009488 Total</t>
  </si>
  <si>
    <t>0596061315 Total</t>
  </si>
  <si>
    <t>0597017891 Total</t>
  </si>
  <si>
    <t>0597024561 Total</t>
  </si>
  <si>
    <t>0597069948 Total</t>
  </si>
  <si>
    <t>0598005498 Total</t>
  </si>
  <si>
    <t>0598005536 Total</t>
  </si>
  <si>
    <t>0598032801 Total</t>
  </si>
  <si>
    <t>0598045783 Total</t>
  </si>
  <si>
    <t>0598055665 Total</t>
  </si>
  <si>
    <t>0598059113 Total</t>
  </si>
  <si>
    <t>0599007931 Total</t>
  </si>
  <si>
    <t>0599059206 Total</t>
  </si>
  <si>
    <t>0609003542 Total</t>
  </si>
  <si>
    <t>0615002285 Total</t>
  </si>
  <si>
    <t>0616907401 Total</t>
  </si>
  <si>
    <t>0709012331 Total</t>
  </si>
  <si>
    <t>0713000201 Total</t>
  </si>
  <si>
    <t>1210001128 Total</t>
  </si>
  <si>
    <t>1216900370 Total</t>
  </si>
  <si>
    <t>1306014115 Total</t>
  </si>
  <si>
    <t>1308012381 Total</t>
  </si>
  <si>
    <t>1314000233 Total</t>
  </si>
  <si>
    <t>1414003447 Total</t>
  </si>
  <si>
    <t>2189000734 Total</t>
  </si>
  <si>
    <t>2203003405 Total</t>
  </si>
  <si>
    <t>2416910671 Total</t>
  </si>
  <si>
    <t>2915001367 Total</t>
  </si>
  <si>
    <t>3000004394 Total</t>
  </si>
  <si>
    <t>3003005391 Total</t>
  </si>
  <si>
    <t>3011014116 Total</t>
  </si>
  <si>
    <t>3014016713 Total</t>
  </si>
  <si>
    <t>3091000621 Total</t>
  </si>
  <si>
    <t>3097011234 Total</t>
  </si>
  <si>
    <t>3104003254 Total</t>
  </si>
  <si>
    <t>3303004897 Total</t>
  </si>
  <si>
    <t>3306001678 Total</t>
  </si>
  <si>
    <t>3307004344 Total</t>
  </si>
  <si>
    <t>3311006062 Total</t>
  </si>
  <si>
    <t>3393002155 Total</t>
  </si>
  <si>
    <t>3397001846 Total</t>
  </si>
  <si>
    <t>5212012333 Total</t>
  </si>
  <si>
    <t>AABCZ1026D Total</t>
  </si>
  <si>
    <t>AAECE6932C Total</t>
  </si>
  <si>
    <t>AAHCC0755A Total</t>
  </si>
  <si>
    <t>AAKFD0331P Total</t>
  </si>
  <si>
    <t>AAKFN5762C Total</t>
  </si>
  <si>
    <t>AGEPB3375R Total</t>
  </si>
  <si>
    <t>DOOPK1147B Total</t>
  </si>
  <si>
    <t>No Record  Total</t>
  </si>
  <si>
    <t>Gateway_clean</t>
  </si>
  <si>
    <t>Gateway_Extracted</t>
  </si>
  <si>
    <t>INMUN1</t>
  </si>
  <si>
    <t>INNSA1</t>
  </si>
  <si>
    <t>INPAV1</t>
  </si>
  <si>
    <t>Computed Field 1: Clean_Status</t>
  </si>
  <si>
    <r>
      <t xml:space="preserve">Computed Field </t>
    </r>
    <r>
      <rPr>
        <sz val="11"/>
        <color theme="1"/>
        <rFont val="Aptos Narrow"/>
        <family val="2"/>
        <scheme val="minor"/>
      </rPr>
      <t>2</t>
    </r>
    <r>
      <rPr>
        <sz val="11"/>
        <color theme="1"/>
        <rFont val="Aptos Narrow"/>
        <family val="2"/>
        <scheme val="minor"/>
      </rPr>
      <t>:EGM_Flag</t>
    </r>
  </si>
  <si>
    <t>Computed Field 3:ROSL_Flag</t>
  </si>
  <si>
    <t>Computed Field 4:EGM_Flag</t>
  </si>
  <si>
    <t>Computed Field 5:Gateway_Flag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</si>
</sst>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4" fontId="0" fillId="0" borderId="0" xfId="0" applyNumberFormat="1"/>
    <xf numFmtId="0" fontId="0" fillId="0" borderId="0" xfId="0" pivotButton="1"/>
    <xf numFmtId="0" fontId="16" fillId="0" borderId="0" xfId="0" applyFont="1"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color rgb="FF9C0006"/>
      </font>
      <fill>
        <patternFill>
          <bgColor rgb="FFFFC7CE"/>
        </patternFill>
      </fill>
    </dxf>
    <dxf>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man S Chippa" refreshedDate="45987.814216550927" createdVersion="8" refreshedVersion="8" minRefreshableVersion="3" recordCount="379" xr:uid="{D31CC75C-228A-4A24-9F9B-55000B5D61A7}">
  <cacheSource type="worksheet">
    <worksheetSource name="tblShipments"/>
  </cacheSource>
  <cacheFields count="12">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14">
      <sharedItems/>
    </cacheField>
    <cacheField name="IEC Extracted" numFmtId="14">
      <sharedItems count="227">
        <s v="0597024561"/>
        <s v="0506074994"/>
        <s v="0505023954"/>
        <s v="0508003300"/>
        <s v="0596009488"/>
        <s v="0506070484"/>
        <s v="0514019492"/>
        <s v="0513056661"/>
        <s v="0593058577"/>
        <s v="0516929674"/>
        <s v="0506046231"/>
        <s v="0591026007"/>
        <s v="0500016143"/>
        <s v="1308012381"/>
        <s v="0588055964"/>
        <s v="3306001678"/>
        <s v="0517528762"/>
        <s v="0509037844"/>
        <s v="0596061315"/>
        <s v="0598005498"/>
        <s v="0609003542"/>
        <s v="0510011683"/>
        <s v="0510056601"/>
        <s v="0502021373"/>
        <s v="0507051360"/>
        <s v="0515042064"/>
        <s v="0592023052"/>
        <s v="0509007406"/>
        <s v="0502037547"/>
        <s v="0511034661"/>
        <s v="0513045228"/>
        <s v="0507068645"/>
        <s v="0593056868"/>
        <s v="0500062609"/>
        <s v="0588050814"/>
        <s v="0515918024"/>
        <s v="0502077905"/>
        <s v="0506054306"/>
        <s v="0500042616"/>
        <s v="3097011234"/>
        <s v="AAKFN5762C"/>
        <s v="0517542374"/>
        <s v="0595025714"/>
        <s v="0514026804"/>
        <s v="0598045783"/>
        <s v="0509025765"/>
        <s v="0598055665"/>
        <s v="0517546981"/>
        <s v="0590022873"/>
        <s v="0314035087"/>
        <s v="0503083518"/>
        <s v="0510040519"/>
        <s v="0514081988"/>
        <s v="0512062013"/>
        <s v="0513021612"/>
        <s v="0509092110"/>
        <s v="0599007931"/>
        <s v="0514087234"/>
        <s v="0509006191"/>
        <s v="0507062884"/>
        <s v="0512002835"/>
        <s v="0589053850"/>
        <s v="0516515403"/>
        <s v="0512072388"/>
        <s v="0504064754"/>
        <s v="0511026242"/>
        <s v="0288012101"/>
        <s v="0595012647"/>
        <s v="0591028549"/>
        <s v="3104003254"/>
        <s v="0504038966"/>
        <s v="0505000873"/>
        <s v="0507042034"/>
        <s v="0510085423"/>
        <s v="0591046270"/>
        <s v="0508074321"/>
        <s v="0510059732"/>
        <s v="0500075158"/>
        <s v="0507001061"/>
        <s v="0510064663"/>
        <s v="AAHCC0755A"/>
        <s v="0512081786"/>
        <s v="0515069272"/>
        <s v="0517513668"/>
        <s v="0505088681"/>
        <s v="0509003061"/>
        <s v="2416910671"/>
        <s v="0595021255"/>
        <s v="0516954725"/>
        <s v="0507081668"/>
        <s v="0508073324"/>
        <s v="0506035182"/>
        <s v="0597069948"/>
        <s v="0509056105"/>
        <s v="0311014879"/>
        <s v="0516900692"/>
        <s v="AABCZ1026D"/>
        <s v="0616907401"/>
        <s v="0516517431"/>
        <s v="0507023722"/>
        <s v="0594004373"/>
        <s v="0504016865"/>
        <s v="0516502832"/>
        <s v="3311006062"/>
        <s v="0512059152"/>
        <s v="0505032473"/>
        <s v="AAKFD0331P"/>
        <s v="0512067872"/>
        <s v="0511087098"/>
        <s v="0515060291"/>
        <s v="0506004830"/>
        <s v="1314000233"/>
        <s v="0515920274"/>
        <s v="0513013261"/>
        <s v="0709012331"/>
        <s v="AAECE6932C"/>
        <s v="0511063865"/>
        <s v="0598059113"/>
        <s v="0514025026"/>
        <s v="0506062538"/>
        <s v="0508075416"/>
        <s v="0504064011"/>
        <s v="0503013749"/>
        <s v="0511035675"/>
        <s v="0514036265"/>
        <s v="0593067517"/>
        <s v="0515076741"/>
        <s v="0307055078"/>
        <s v="0598005536"/>
        <s v="0501045813"/>
        <s v="1216900370"/>
        <s v="0517500531"/>
        <s v="0397084901"/>
        <s v="3397001846"/>
        <s v="0594048621"/>
        <s v="DOOPK1147B"/>
        <s v="0510005021"/>
        <s v="0509035337"/>
        <s v="0599059206"/>
        <s v="0515036919"/>
        <s v="0588079359"/>
        <s v="2915001367"/>
        <s v="0506012905"/>
        <s v="0504063227"/>
        <s v="0588024317"/>
        <s v="0514085720"/>
        <s v="0514067969"/>
        <s v="0516502123"/>
        <s v="0588128180"/>
        <s v="0501061428"/>
        <s v="0500003491"/>
        <s v="0314004173"/>
        <s v="0505007592"/>
        <s v="0510012680"/>
        <s v="0512084262"/>
        <s v="0591032163"/>
        <s v="2189000734"/>
        <s v="0503014761"/>
        <s v="0302060855"/>
        <s v="0594000319"/>
        <s v="0500054339"/>
        <s v="0501009990"/>
        <s v="0512076341"/>
        <s v="0500048967"/>
        <s v="0511002459"/>
        <s v="0508028078"/>
        <s v="0506059944"/>
        <s v="0597017891"/>
        <s v="0288014952"/>
        <s v="3014016713"/>
        <s v="3303004897"/>
        <s v="0506074285"/>
        <s v="0598032801"/>
        <s v="0515933520"/>
        <s v="0515019933"/>
        <s v="0615002285"/>
        <s v="0504008455"/>
        <s v="0515019372"/>
        <s v="0512057273"/>
        <s v="0504011057"/>
        <s v="5212012333"/>
        <s v="0588044440"/>
        <s v="0507004761"/>
        <s v="0515015504"/>
        <s v="3091000621"/>
        <s v="1414003447"/>
        <s v="0509047491"/>
        <s v="3307004344"/>
        <s v="0595059040"/>
        <s v="0589043838"/>
        <s v="0592006832"/>
        <s v="0510019439"/>
        <s v="0514078901"/>
        <s v="0511068212"/>
        <s v="3393002155"/>
        <s v="3003005391"/>
        <s v="0512064172"/>
        <s v="0516526065"/>
        <s v="0504077104"/>
        <s v="0588062359"/>
        <s v="2203003405"/>
        <s v="3000004394"/>
        <s v="0504019392"/>
        <s v="0501016481"/>
        <s v="0504077171"/>
        <s v="0500050139"/>
        <s v="0593033043"/>
        <s v="0595008844"/>
        <s v="0505075172"/>
        <s v="0515934062"/>
        <s v="1306014115"/>
        <s v="0713000201"/>
        <s v="3011014116"/>
        <s v="0593052561"/>
        <s v="0389025364"/>
        <s v="0589036734"/>
        <s v="0513013971"/>
        <s v="0510006329"/>
        <s v="0507018591"/>
        <s v="No Record "/>
        <s v="0503010316"/>
        <s v="0511006519"/>
        <s v="0500068241"/>
        <s v="0513039759"/>
        <s v="0503019321"/>
        <s v="1210001128"/>
        <s v="AGEPB3375R"/>
      </sharedItems>
    </cacheField>
    <cacheField name="Details" numFmtId="0">
      <sharedItems longText="1"/>
    </cacheField>
    <cacheField name="Status" numFmtId="0">
      <sharedItems count="231" longText="1">
        <s v="Current Que LEO Date EP Copy Print Status DBK Scroll No Scroll Date EGM Integration Status_x000a_HIST  12 JUL 2017 00:07  Y  21243/2017  28 AUG 2017 00:08  Y "/>
        <s v="Current Que LEO Date EP Copy Print Status DBK Scroll No Scroll Date EGM Integration Status_x000a_HIST  04 JUL 2017 00:07  Y  21243/2017  28 AUG 2017 00:08  Y "/>
        <s v="Current Que LEO Date EP Copy Print Status DBK Scroll No Scroll Date EGM Integration Status_x000a_HIST  07 JUL 2017 00:07  Y  21243/2017  28 AUG 2017 00:08  Y "/>
        <s v="Current Que LEO Date EP Copy Print Status DBK Scroll No Scroll Date EGM Integration Status_x000a_HIST  27 JUL 2017 00:07  R  N.A.  N.A.  Y "/>
        <s v="Current Que LEO Date EP Copy Print Status DBK Scroll No Scroll Date EGM Integration Status_x000a_HIST  28 JUL 2017 00:07  Y  21484/2017  07 SEP 2017 00:09  Y "/>
        <s v="Current Que LEO Date EP Copy Print Status DBK Scroll No Scroll Date EGM Integration Status_x000a_HIST  28 JUL 2017 00:07  Y  22528/2017  10 NOV 2017 00:11  Y "/>
        <s v="Current Que LEO Date EP Copy Print Status DBK Scroll No Scroll Date EGM Integration Status_x000a_HIST  31 JUL 2017 00:07  Y  N.A.  N.A.  Y "/>
        <s v="Current Que LEO Date EP Copy Print Status DBK Scroll No Scroll Date EGM Integration Status_x000a_HIST  29 JUL 2017 00:07  Y  21484/2017  07 SEP 2017 00:09  Y "/>
        <s v="Current Que LEO Date EP Copy Print Status DBK Scroll No Scroll Date EGM Integration Status_x000a_HIST  31 JUL 2017 00:07  Y  22032/2017  06 OCT 2017 00:10  Y "/>
        <s v="Current Que LEO Date EP Copy Print Status DBK Scroll No Scroll Date EGM Integration Status_x000a_HIST  31 JUL 2017 00:07  Y  21484/2017  07 SEP 2017 00:09  Y "/>
        <s v="Current Que LEO Date EP Copy Print Status DBK Scroll No Scroll Date EGM Integration Status_x000a_HIST  02 AUG 2017 00:08  Y  21484/2017  07 SEP 2017 00:09  Y "/>
        <s v="Current Que LEO Date EP Copy Print Status DBK Scroll No Scroll Date EGM Integration Status_x000a_HIST  01 AUG 2017 00:08  Y  29620/2018  13 SEP 2018 00:09  Y "/>
        <s v="Current Que LEO Date EP Copy Print Status DBK Scroll No Scroll Date EGM Integration Status_x000a_HIST  04 AUG 2017 00:08  Y  21593/2017  12 SEP 2017 00:09  Y "/>
        <s v="Current Que LEO Date EP Copy Print Status DBK Scroll No Scroll Date EGM Integration Status_x000a_HIST  03 AUG 2017 00:08  Y  21593/2017  12 SEP 2017 00:09  Y "/>
        <s v="Current Que LEO Date EP Copy Print Status DBK Scroll No Scroll Date EGM Integration Status_x000a_HIST  02 AUG 2017 00:08  Y  21593/2017  12 SEP 2017 00:09  Y "/>
        <s v="Current Que LEO Date EP Copy Print Status DBK Scroll No Scroll Date EGM Integration Status_x000a_HIST  04 AUG 2017 00:08  Y  21484/2017  07 SEP 2017 00:09  Y "/>
        <s v="Current Que LEO Date EP Copy Print Status DBK Scroll No Scroll Date EGM Integration Status_x000a_HIST  03 AUG 2017 00:08  Y  21652/2017  14 SEP 2017 00:09  Y "/>
        <s v="Current Que LEO Date EP Copy Print Status DBK Scroll No Scroll Date EGM Integration Status_x000a_HIST  10 AUG 2017 00:08  Y  21593/2017  12 SEP 2017 00:09  Y "/>
        <s v="Current Que LEO Date EP Copy Print Status DBK Scroll No Scroll Date EGM Integration Status_x000a_HIST  03 AUG 2017 00:08  Y  21484/2017  07 SEP 2017 00:09  Y "/>
        <s v="Current Que LEO Date EP Copy Print Status DBK Scroll No Scroll Date EGM Integration Status_x000a_HIST  11 AUG 2017 00:08  Y  21593/2017  12 SEP 2017 00:09  Y "/>
        <s v="Current Que LEO Date EP Copy Print Status DBK Scroll No Scroll Date EGM Integration Status_x000a_HIST  10 AUG 2017 00:08  Y  N.A.  N.A.  Y "/>
        <s v="Current Que LEO Date EP Copy Print Status DBK Scroll No Scroll Date EGM Integration Status_x000a_HIST  05 AUG 2017 00:08  Y  21593/2017  12 SEP 2017 00:09  Y "/>
        <s v="Current Que LEO Date EP Copy Print Status DBK Scroll No Scroll Date EGM Integration Status_x000a_HIST  08 AUG 2017 00:08  Y  21652/2017  14 SEP 2017 00:09  Y "/>
        <s v="Current Que LEO Date EP Copy Print Status DBK Scroll No Scroll Date EGM Integration Status_x000a_HIST  05 AUG 2017 00:08  Y  21484/2017  07 SEP 2017 00:09  Y "/>
        <s v="Current Que LEO Date EP Copy Print Status DBK Scroll No Scroll Date EGM Integration Status_x000a_HIST  08 AUG 2017 00:08  Y  21593/2017  12 SEP 2017 00:09  Y "/>
        <s v="Current Que LEO Date EP Copy Print Status DBK Scroll No Scroll Date EGM Integration Status_x000a_HIST  05 AUG 2017 00:08  Y  N.A.  N.A.  Y "/>
        <s v="Current Que LEO Date EP Copy Print Status DBK Scroll No Scroll Date EGM Integration Status_x000a_HIST  18 AUG 2017 00:08  Y  21593/2017  12 SEP 2017 00:09  Y "/>
        <s v="Current Que LEO Date EP Copy Print Status DBK Scroll No Scroll Date EGM Integration Status_x000a_HIST  07 AUG 2017 00:08  Y  21593/2017  12 SEP 2017 00:09  Y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Current Que LEO Date EP Copy Print Status DBK Scroll No Scroll Date EGM Integration Status_x000a_HIST  11 AUG 2017 00:08  Y  21652/2017  14 SEP 2017 00:09  Y "/>
        <s v="Current Que LEO Date EP Copy Print Status DBK Scroll No Scroll Date EGM Integration Status_x000a_HIST  10 AUG 2017 00:08  Y  21652/2017  14 SEP 2017 00:09  Y "/>
        <s v="Current Que LEO Date EP Copy Print Status DBK Scroll No Scroll Date EGM Integration Status_x000a_HIST  14 AUG 2017 00:08  Y  21652/2017  14 SEP 2017 00:09  Y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Current Que LEO Date EP Copy Print Status DBK Scroll No Scroll Date EGM Integration Status_x000a_HIST  16 AUG 2017 00:08  Y  21593/2017  12 SEP 2017 00:09  Y "/>
        <s v="Current Que LEO Date EP Copy Print Status DBK Scroll No Scroll Date EGM Integration Status_x000a_HIST  21 AUG 2017 00:08  Y  24432/2018  25 MAR 2018 00:03  Y "/>
        <s v="Current Que LEO Date EP Copy Print Status DBK Scroll No Scroll Date EGM Integration Status_x000a_HIST  14 AUG 2017 00:08  Y  N.A.  N.A.  Y "/>
        <s v="Current Que LEO Date EP Copy Print Status DBK Scroll No Scroll Date EGM Integration Status_x000a_HIST  16 AUG 2017 00:08  Y  21843/2017  21 SEP 2017 00:09  Y "/>
        <s v="Current Que LEO Date EP Copy Print Status DBK Scroll No Scroll Date EGM Integration Status_x000a_HIST  24 AUG 2017 00:08  Y  21652/2017  14 SEP 2017 00:09  Y "/>
        <s v="Current Que LEO Date EP Copy Print Status DBK Scroll No Scroll Date EGM Integration Status_x000a_HIST  16 AUG 2017 00:08  Y  N.A.  N.A.  Y "/>
        <s v="Current Que LEO Date EP Copy Print Status DBK Scroll No Scroll Date EGM Integration Status_x000a_HIST  17 AUG 2017 00:08  Y  21843/2017  21 SEP 2017 00:09  Y "/>
        <s v="Current Que LEO Date EP Copy Print Status DBK Scroll No Scroll Date EGM Integration Status_x000a_HIST  18 AUG 2017 00:08  Y  21652/2017  14 SEP 2017 00:09  Y "/>
        <s v="Current Que LEO Date EP Copy Print Status DBK Scroll No Scroll Date EGM Integration Status_x000a_HIST  17 AUG 2017 00:08  Y  21652/2017  14 SEP 2017 00:09  Y "/>
        <s v="Current Que LEO Date EP Copy Print Status DBK Scroll No Scroll Date EGM Integration Status_x000a_HIST  19 AUG 2017 00:08  Y  21843/2017  21 SEP 2017 00:09  Y "/>
        <s v="Current Que LEO Date EP Copy Print Status DBK Scroll No Scroll Date EGM Integration Status_x000a_HIST  23 AUG 2017 00:08  Y  21652/2017  14 SEP 2017 00:09  Y "/>
        <s v="Current Que LEO Date EP Copy Print Status DBK Scroll No Scroll Date EGM Integration Status_x000a_HIST  21 AUG 2017 00:08  Y  21652/2017  14 SEP 2017 00:09  Y "/>
        <s v="Current Que LEO Date EP Copy Print Status DBK Scroll No Scroll Date EGM Integration Status_x000a_HIST  24 AUG 2017 00:08  Y  21843/2017  21 SEP 2017 00:09  Y "/>
        <s v="Current Que LEO Date EP Copy Print Status DBK Scroll No Scroll Date EGM Integration Status_x000a_HIST  19 AUG 2017 00:08  R  N.A.  N.A.  Y "/>
        <s v="Current Que LEO Date EP Copy Print Status DBK Scroll No Scroll Date EGM Integration Status_x000a_HIST  25 AUG 2017 00:08  Y  21843/2017  21 SEP 2017 00:09  Y "/>
        <s v="Current Que LEO Date EP Copy Print Status DBK Scroll No Scroll Date EGM Integration Status_x000a_HIST  23 AUG 2017 00:08  Y  N.A.  N.A.  Y "/>
        <s v="Current Que LEO Date EP Copy Print Status DBK Scroll No Scroll Date EGM Integration Status_x000a_HIST  26 AUG 2017 00:08  Y  21652/2017  14 SEP 2017 00:09  Y "/>
        <s v="Current Que LEO Date EP Copy Print Status DBK Scroll No Scroll Date EGM Integration Status_x000a_HIST  24 AUG 2017 00:08  Y  23643/2018  31 JAN 2018 00:01  Y "/>
        <s v="Current Que LEO Date EP Copy Print Status DBK Scroll No Scroll Date EGM Integration Status_x000a_HIST  24 AUG 2017 00:08  Y  N.A.  N.A.  Y "/>
        <s v="Current Que LEO Date EP Copy Print Status DBK Scroll No Scroll Date EGM Integration Status_x000a_HIST  25 AUG 2017 00:08  Y  21652/2017  14 SEP 2017 00:09  Y "/>
        <s v="Current Que LEO Date EP Copy Print Status DBK Scroll No Scroll Date EGM Integration Status_x000a_HIST  01 SEP 2017 00:09  Y  21843/2017  21 SEP 2017 00:09  Y "/>
        <s v="Current Que LEO Date EP Copy Print Status DBK Scroll No Scroll Date EGM Integration Status_x000a_HIST  25 AUG 2017 00:08  Y  N.A.  N.A.  Y "/>
        <s v="Current Que LEO Date EP Copy Print Status DBK Scroll No Scroll Date EGM Integration Status_x000a_HIST  04 SEP 2017 00:09  Y  21843/2017  21 SEP 2017 00:09  Y "/>
        <s v="Current Que LEO Date EP Copy Print Status DBK Scroll No Scroll Date EGM Integration Status_x000a_HIST  26 AUG 2017 00:08  Y  21843/2017  21 SEP 2017 00:09  Y "/>
        <s v="Current Que LEO Date EP Copy Print Status DBK Scroll No Scroll Date EGM Integration Status_x000a_HIST  29 AUG 2017 00:08  Y  N.A.  N.A.  Y "/>
        <s v="Current Que LEO Date EP Copy Print Status DBK Scroll No Scroll Date EGM Integration Status_x000a_HIST  28 AUG 2017 00:08  Y  21652/2017  14 SEP 2017 00:09  Y "/>
        <s v="Current Que LEO Date EP Copy Print Status DBK Scroll No Scroll Date EGM Integration Status_x000a_HIST  26 AUG 2017 00:08  Y  N.A.  N.A.  Y "/>
        <s v="Current Que LEO Date EP Copy Print Status DBK Scroll No Scroll Date EGM Integration Status_x000a_HIST  26 AUG 2017 00:08  Y  24432/2018  25 MAR 2018 00:03  Y "/>
        <s v="Current Que LEO Date EP Copy Print Status DBK Scroll No Scroll Date EGM Integration Status_x000a_HIST  29 AUG 2017 00:08  Y  21843/2017  21 SEP 2017 00:09  Y "/>
        <s v="Current Que LEO Date EP Copy Print Status DBK Scroll No Scroll Date EGM Integration Status_x000a_HIST  30 AUG 2017 00:08  Y  21843/2017  21 SEP 2017 00:09  Y "/>
        <s v="Current Que LEO Date EP Copy Print Status DBK Scroll No Scroll Date EGM Integration Status_x000a_HIST  01 SEP 2017 00:09  Y  N.A.  N.A.  Y "/>
        <s v="Current Que LEO Date EP Copy Print Status DBK Scroll No Scroll Date EGM Integration Status_x000a_HIST  01 SEP 2017 00:09  Y  24432/2018  25 MAR 2018 00:03  Y "/>
        <s v="Current Que LEO Date EP Copy Print Status DBK Scroll No Scroll Date EGM Integration Status_x000a_HIST  05 SEP 2017 00:09  Y  N.A.  N.A.  Y "/>
        <s v="Current Que LEO Date EP Copy Print Status DBK Scroll No Scroll Date EGM Integration Status_x000a_HIST  05 SEP 2017 00:09  Y  21843/2017  21 SEP 2017 00:09  Y "/>
        <s v="Current Que LEO Date EP Copy Print Status DBK Scroll No Scroll Date EGM Integration Status_x000a_HIST  06 SEP 2017 00:09  Y  21843/2017  21 SEP 2017 00:09  Y "/>
        <s v="Current Que LEO Date EP Copy Print Status DBK Scroll No Scroll Date EGM Integration Status_x000a_HIST  08 SEP 2017 00:09  Y  21843/2017  21 SEP 2017 00:09  Y "/>
        <s v="Current Que LEO Date EP Copy Print Status DBK Scroll No Scroll Date EGM Integration Status_x000a_HIST  07 SEP 2017 00:09  Y  21843/2017  21 SEP 2017 00:09  Y "/>
        <s v="Current Que LEO Date EP Copy Print Status DBK Scroll No Scroll Date EGM Integration Status_x000a_HIST  15 SEP 2017 00:09  Y  N.A.  N.A.  Y "/>
        <s v="Current Que LEO Date EP Copy Print Status DBK Scroll No Scroll Date EGM Integration Status_x000a_HIST  14 SEP 2017 00:09  Y  21907/2017  26 SEP 2017 00:09  Y "/>
        <s v="Current Que LEO Date EP Copy Print Status DBK Scroll No Scroll Date EGM Integration Status_x000a_HIST  12 SEP 2017 00:09  Y  22032/2017  06 OCT 2017 00:10  Y "/>
        <s v="Current Que LEO Date EP Copy Print Status DBK Scroll No Scroll Date EGM Integration Status_x000a_HIST  06 SEP 2017 00:09  Y  N.A.  N.A.  Y "/>
        <s v="Current Que LEO Date EP Copy Print Status DBK Scroll No Scroll Date EGM Integration Status_x000a_HIST  11 SEP 2017 00:09  Y  N.A.  N.A.  Y "/>
        <s v="Current Que LEO Date EP Copy Print Status DBK Scroll No Scroll Date EGM Integration Status_x000a_HIST  08 SEP 2017 00:09  Y  24432/2018  25 MAR 2018 00:03  Y "/>
        <s v="Current Que LEO Date EP Copy Print Status DBK Scroll No Scroll Date EGM Integration Status_x000a_HIST  12 SEP 2017 00:09  Y  21843/2017  21 SEP 2017 00:09  Y "/>
        <s v="Current Que LEO Date EP Copy Print Status DBK Scroll No Scroll Date EGM Integration Status_x000a_HIST  13 SEP 2017 00:09  Y  22032/2017  06 OCT 2017 00:10  Y "/>
        <s v="Current Que LEO Date EP Copy Print Status DBK Scroll No Scroll Date EGM Integration Status_x000a_HIST  14 SEP 2017 00:09  Y  N.A.  N.A.  Y "/>
        <s v="Current Que LEO Date EP Copy Print Status DBK Scroll No Scroll Date EGM Integration Status_x000a_HIST  13 SEP 2017 00:09  Y  N.A.  N.A.  Y "/>
        <s v="Current Que LEO Date EP Copy Print Status DBK Scroll No Scroll Date EGM Integration Status_x000a_HIST  13 SEP 2017 00:09  Y  21843/2017  21 SEP 2017 00:09  Y "/>
        <s v="Current Que LEO Date EP Copy Print Status DBK Scroll No Scroll Date EGM Integration Status_x000a_HIST  14 SEP 2017 00:09  Y  21843/2017  21 SEP 2017 00:09  Y "/>
        <s v="Current Que LEO Date EP Copy Print Status DBK Scroll No Scroll Date EGM Integration Status_x000a_HIST  15 SEP 2017 00:09  Y  22032/2017  06 OCT 2017 00:10  Y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Current Que LEO Date EP Copy Print Status DBK Scroll No Scroll Date EGM Integration Status_x000a_HIST  14 SEP 2017 00:09  Y  22032/2017  06 OCT 2017 00:10  Y "/>
        <s v="Current Que LEO Date EP Copy Print Status DBK Scroll No Scroll Date EGM Integration Status_x000a_HIST  21 SEP 2017 00:09  Y  22374/2017  31 OCT 2017 00:10  Y "/>
        <s v="Current Que LEO Date EP Copy Print Status DBK Scroll No Scroll Date EGM Integration Status_x000a_HIST  14 SEP 2017 00:09  Y  24432/2018  25 MAR 2018 00:03  Y "/>
        <s v="Current Que LEO Date EP Copy Print Status DBK Scroll No Scroll Date EGM Integration Status_x000a_HIST  18 SEP 2017 00:09  Y  22032/2017  06 OCT 2017 00:10  Y "/>
        <s v="Current Que LEO Date EP Copy Print Status DBK Scroll No Scroll Date EGM Integration Status_x000a_HIST  16 SEP 2017 00:09  Y  22032/2017  06 OCT 2017 00:10  Y "/>
        <s v="Current Que LEO Date EP Copy Print Status DBK Scroll No Scroll Date EGM Integration Status_x000a_HIST  18 SEP 2017 00:09  Y  22137/2017  13 OCT 2017 00:10  Y "/>
        <s v="Current Que LEO Date EP Copy Print Status DBK Scroll No Scroll Date EGM Integration Status_x000a_HIST  16 SEP 2017 00:09  Y  N.A.  N.A.  Y "/>
        <s v="Current Que LEO Date EP Copy Print Status DBK Scroll No Scroll Date EGM Integration Status_x000a_HIST  20 SEP 2017 00:09  Y  22137/2017  13 OCT 2017 00:10  Y "/>
        <s v="Current Que LEO Date EP Copy Print Status DBK Scroll No Scroll Date EGM Integration Status_x000a_HIST  03 OCT 2017 00:10  Y  N.A.  N.A.  Y "/>
        <s v="Current Que LEO Date EP Copy Print Status DBK Scroll No Scroll Date EGM Integration Status_x000a_HIST  19 SEP 2017 00:09  Y  N.A.  N.A.  Y "/>
        <s v="Current Que LEO Date EP Copy Print Status DBK Scroll No Scroll Date EGM Integration Status_x000a_HIST  21 SEP 2017 00:09  Y  22137/2017  13 OCT 2017 00:10  Y "/>
        <s v="Current Que LEO Date EP Copy Print Status DBK Scroll No Scroll Date EGM Integration Status_x000a_HIST  23 SEP 2017 00:09  Y  22137/2017  13 OCT 2017 00:10  Y "/>
        <s v="Current Que LEO Date EP Copy Print Status DBK Scroll No Scroll Date EGM Integration Status_x000a_HIST  21 SEP 2017 00:09  Y  22032/2017  06 OCT 2017 00:10  Y "/>
        <s v="Current Que LEO Date EP Copy Print Status DBK Scroll No Scroll Date EGM Integration Status_x000a_HIST  22 SEP 2017 00:09  Y  22137/2017  13 OCT 2017 00:10  Y "/>
        <s v="Current Que LEO Date EP Copy Print Status DBK Scroll No Scroll Date EGM Integration Status_x000a_HIST  23 SEP 2017 00:09  Y  22260/2017  24 OCT 2017 00:10  Y "/>
        <s v="Current Que LEO Date EP Copy Print Status DBK Scroll No Scroll Date EGM Integration Status_x000a_HIST  25 SEP 2017 00:09  Y  N.A.  N.A.  Y "/>
        <s v="Current Que LEO Date EP Copy Print Status DBK Scroll No Scroll Date EGM Integration Status_x000a_HIST  23 SEP 2017 00:09  Y  22528/2017  10 NOV 2017 00:11  Y "/>
        <s v="Current Que LEO Date EP Copy Print Status DBK Scroll No Scroll Date EGM Integration Status_x000a_HIST  25 SEP 2017 00:09  Y  22260/2017  24 OCT 2017 00:10  Y "/>
        <s v="Current Que LEO Date EP Copy Print Status DBK Scroll No Scroll Date EGM Integration Status_x000a_HIST  22 SEP 2017 00:09  Y  22374/2017  31 OCT 2017 00:10  Y "/>
        <s v="Current Que LEO Date EP Copy Print Status DBK Scroll No Scroll Date EGM Integration Status_x000a_HIST  26 SEP 2017 00:09  Y  N.A.  N.A.  Y "/>
        <s v="Current Que LEO Date EP Copy Print Status DBK Scroll No Scroll Date EGM Integration Status_x000a_HIST  11 OCT 2017 00:10  Y  22374/2017  31 OCT 2017 00:10  Y "/>
        <s v="Current Que LEO Date EP Copy Print Status DBK Scroll No Scroll Date EGM Integration Status_x000a_HIST  27 SEP 2017 00:09  Y  22260/2017  24 OCT 2017 00:10  Y "/>
        <s v="Current Que LEO Date EP Copy Print Status DBK Scroll No Scroll Date EGM Integration Status_x000a_HIST  28 SEP 2017 00:09  Y  22137/2017  13 OCT 2017 00:10  Y "/>
        <s v="Current Que LEO Date EP Copy Print Status DBK Scroll No Scroll Date EGM Integration Status_x000a_HIST  28 SEP 2017 00:09  Y  22260/2017  24 OCT 2017 00:10  Y "/>
        <s v="Current Que LEO Date EP Copy Print Status DBK Scroll No Scroll Date EGM Integration Status_x000a_HIST  29 SEP 2017 00:09  Y  22374/2017  31 OCT 2017 00:10  Y "/>
        <s v="Current Que LEO Date EP Copy Print Status DBK Scroll No Scroll Date EGM Integration Status_x000a_HIST  29 SEP 2017 00:09  Y  22528/2017  10 NOV 2017 00:11  Y "/>
        <s v="Current Que LEO Date EP Copy Print Status DBK Scroll No Scroll Date EGM Integration Status_x000a_HIST  04 OCT 2017 00:10  Y  N.A.  N.A.  Y "/>
        <s v="Current Que LEO Date EP Copy Print Status DBK Scroll No Scroll Date EGM Integration Status_x000a_HIST  04 OCT 2017 00:10  Y  22260/2017  24 OCT 2017 00:10  Y "/>
        <s v="Current Que LEO Date EP Copy Print Status DBK Scroll No Scroll Date EGM Integration Status_x000a_HIST  29 SEP 2017 00:09  Y  22260/2017  24 OCT 2017 00:10  Y "/>
        <s v="Current Que LEO Date EP Copy Print Status DBK Scroll No Scroll Date EGM Integration Status_x000a_HIST  06 OCT 2017 00:10  Y  22374/2017  31 OCT 2017 00:10  Y "/>
        <s v="Current Que LEO Date EP Copy Print Status DBK Scroll No Scroll Date EGM Integration Status_x000a_HIST  06 OCT 2017 00:10  Y  22260/2017  24 OCT 2017 00:10  Y "/>
        <s v="Current Que LEO Date EP Copy Print Status DBK Scroll No Scroll Date EGM Integration Status_x000a_HIST  06 OCT 2017 00:10  Y  24432/2018  25 MAR 2018 00:03  Y "/>
        <s v="Current Que LEO Date EP Copy Print Status DBK Scroll No Scroll Date EGM Integration Status_x000a_HIST  09 OCT 2017 00:10  Y  22374/2017  31 OCT 2017 00:10  Y "/>
        <s v="Current Que LEO Date EP Copy Print Status DBK Scroll No Scroll Date EGM Integration Status_x000a_HIST  04 OCT 2017 00:10  Y  22374/2017  31 OCT 2017 00:10  Y "/>
        <s v="Current Que LEO Date EP Copy Print Status DBK Scroll No Scroll Date EGM Integration Status_x000a_HIST  10 OCT 2017 00:10  Y  22374/2017  31 OCT 2017 00:10  Y "/>
        <s v="Current Que LEO Date EP Copy Print Status DBK Scroll No Scroll Date EGM Integration Status_x000a_HIST  05 OCT 2017 00:10  Y  22260/2017  24 OCT 2017 00:10  Y "/>
        <s v="Current Que LEO Date EP Copy Print Status DBK Scroll No Scroll Date EGM Integration Status_x000a_HIST  05 OCT 2017 00:10  Y  N.A.  N.A.  Y "/>
        <s v="Current Que LEO Date EP Copy Print Status DBK Scroll No Scroll Date EGM Integration Status_x000a_HIST  07 OCT 2017 00:10  Y  22374/2017  31 OCT 2017 00:10  Y "/>
        <s v="Current Que LEO Date EP Copy Print Status DBK Scroll No Scroll Date EGM Integration Status_x000a_HIST  09 OCT 2017 00:10  Y  N.A.  N.A.  Y "/>
        <s v="Current Que LEO Date EP Copy Print Status DBK Scroll No Scroll Date EGM Integration Status_x000a_HIST  07 OCT 2017 00:10  Y  N.A.  N.A.  Y "/>
        <s v="Current Que LEO Date EP Copy Print Status DBK Scroll No Scroll Date EGM Integration Status_x000a_HIST  12 OCT 2017 00:10  Y  N.A.  N.A.  Y "/>
        <s v="Current Que LEO Date EP Copy Print Status DBK Scroll No Scroll Date EGM Integration Status_x000a_HIST  10 OCT 2017 00:10  Y  N.A.  N.A.  Y "/>
        <s v="Current Que LEO Date EP Copy Print Status DBK Scroll No Scroll Date EGM Integration Status_x000a_HIST  16 OCT 2017 00:10  Y  N.A.  N.A.  Y "/>
        <s v="Current Que LEO Date EP Copy Print Status DBK Scroll No Scroll Date EGM Integration Status_x000a_HIST  12 OCT 2017 00:10  Y  22374/2017  31 OCT 2017 00:10  Y "/>
        <s v="Current Que LEO Date EP Copy Print Status DBK Scroll No Scroll Date EGM Integration Status_x000a_HIST  13 OCT 2017 00:10  Y  22374/2017  31 OCT 2017 00:10  Y "/>
        <s v="Current Que LEO Date EP Copy Print Status DBK Scroll No Scroll Date EGM Integration Status_x000a_HIST  13 OCT 2017 00:10  Y  22528/2017  10 NOV 2017 00:11  Y "/>
        <s v="Current Que LEO Date EP Copy Print Status DBK Scroll No Scroll Date EGM Integration Status_x000a_HIST  16 OCT 2017 00:10  Y  22374/2017  31 OCT 2017 00:10  Y "/>
        <s v="Current Que LEO Date EP Copy Print Status DBK Scroll No Scroll Date EGM Integration Status_x000a_HIST  17 OCT 2017 00:10  Y  22374/2017  31 OCT 2017 00:10  Y "/>
        <s v="Current Que LEO Date EP Copy Print Status DBK Scroll No Scroll Date EGM Integration Status_x000a_HIST  17 OCT 2017 00:10  Y  N.A.  N.A.  Y "/>
        <s v="Current Que LEO Date EP Copy Print Status DBK Scroll No Scroll Date EGM Integration Status_x000a_HIST  30 OCT 2017 00:10  Y  22528/2017  10 NOV 2017 00:11  Y "/>
        <s v="Current Que LEO Date EP Copy Print Status DBK Scroll No Scroll Date EGM Integration Status_x000a_HIST  18 OCT 2017 00:10  Y  N.A.  N.A.  Y "/>
        <s v="Current Que LEO Date EP Copy Print Status DBK Scroll No Scroll Date EGM Integration Status_x000a_HIST  24 OCT 2017 00:10  Y  N.A.  N.A.  Y "/>
        <s v="Current Que LEO Date EP Copy Print Status DBK Scroll No Scroll Date EGM Integration Status_x000a_HIST  20 OCT 2017 00:10  Y  N.A.  N.A.  Y "/>
        <s v="Current Que LEO Date EP Copy Print Status DBK Scroll No Scroll Date EGM Integration Status_x000a_HIST  23 OCT 2017 00:10  Y  24432/2018  25 MAR 2018 00:03  Y "/>
        <s v="Current Que LEO Date EP Copy Print Status DBK Scroll No Scroll Date EGM Integration Status_x000a_HIST  26 OCT 2017 00:10  Y  22528/2017  10 NOV 2017 00:11  Y "/>
        <s v="Current Que LEO Date EP Copy Print Status DBK Scroll No Scroll Date EGM Integration Status_x000a_HIST  28 OCT 2017 00:10  Y  22528/2017  10 NOV 2017 00:11  Y "/>
        <s v="Current Que LEO Date EP Copy Print Status DBK Scroll No Scroll Date EGM Integration Status_x000a_HIST  27 OCT 2017 00:10  Y  22753/2017  24 NOV 2017 00:11  Y "/>
        <s v="Current Que LEO Date EP Copy Print Status DBK Scroll No Scroll Date EGM Integration Status_x000a_HIST  01 NOV 2017 00:11  Y  N.A.  N.A.  Y "/>
        <s v="Current Que LEO Date EP Copy Print Status DBK Scroll No Scroll Date EGM Integration Status_x000a_HIST  30 OCT 2017 00:10  Y  N.A.  N.A.  Y "/>
        <s v="Current Que LEO Date EP Copy Print Status DBK Scroll No Scroll Date EGM Integration Status_x000a_HIST  01 NOV 2017 00:11  Y  22753/2017  24 NOV 2017 00:11  Y "/>
        <s v="Current Que LEO Date EP Copy Print Status DBK Scroll No Scroll Date EGM Integration Status_x000a_HIST  02 NOV 2017 00:11  Y  N.A.  N.A.  Y "/>
        <s v="Current Que LEO Date EP Copy Print Status DBK Scroll No Scroll Date EGM Integration Status_x000a_HIST  09 NOV 2017 00:11  Y  22753/2017  24 NOV 2017 00:11  Y "/>
        <s v="Current Que LEO Date EP Copy Print Status DBK Scroll No Scroll Date EGM Integration Status_x000a_HIST  10 NOV 2017 00:11  Y  22753/2017  24 NOV 2017 00:11  Y "/>
        <s v="Current Que LEO Date EP Copy Print Status DBK Scroll No Scroll Date EGM Integration Status_x000a_HIST  13 NOV 2017 00:11  Y  22753/2017  24 NOV 2017 00:11  Y "/>
        <s v="Current Que LEO Date EP Copy Print Status DBK Scroll No Scroll Date EGM Integration Status_x000a_HIST  08 NOV 2017 00:11  Y  22753/2017  24 NOV 2017 00:11  Y "/>
        <s v="Current Que LEO Date EP Copy Print Status DBK Scroll No Scroll Date EGM Integration Status_x000a_HIST  07 NOV 2017 00:11  Y  22753/2017  24 NOV 2017 00:11  Y "/>
        <s v="Current Que LEO Date EP Copy Print Status DBK Scroll No Scroll Date EGM Integration Status_x000a_HIST  10 NOV 2017 00:11  Y  22850/2017  30 NOV 2017 00:11  Y "/>
        <s v="Current Que LEO Date EP Copy Print Status DBK Scroll No Scroll Date EGM Integration Status_x000a_HIST  06 NOV 2017 00:11  Y  23643/2018  31 JAN 2018 00:01  Y "/>
        <s v="Current Que LEO Date EP Copy Print Status DBK Scroll No Scroll Date EGM Integration Status_x000a_HIST  16 DEC 2017 00:12  Y  N.A.  N.A.  Y "/>
        <s v="Current Que LEO Date EP Copy Print Status DBK Scroll No Scroll Date EGM Integration Status_x000a_HIST  14 NOV 2017 00:11  Y  24432/2018  25 MAR 2018 00:03  Y "/>
        <s v="Current Que LEO Date EP Copy Print Status DBK Scroll No Scroll Date EGM Integration Status_x000a_HIST  13 NOV 2017 00:11  Y  24432/2018  25 MAR 2018 00:03  Y "/>
        <s v="Current Que LEO Date EP Copy Print Status DBK Scroll No Scroll Date EGM Integration Status_x000a_HIST  15 NOV 2017 00:11  Y  22753/2017  24 NOV 2017 00:11  Y "/>
        <s v="Current Que LEO Date EP Copy Print Status DBK Scroll No Scroll Date EGM Integration Status_x000a_HIST  17 NOV 2017 00:11  Y  22753/2017  24 NOV 2017 00:11  Y "/>
        <s v="Current Que LEO Date EP Copy Print Status DBK Scroll No Scroll Date EGM Integration Status_x000a_HIST  18 NOV 2017 00:11  Y  22850/2017  30 NOV 2017 00:11  Y "/>
        <s v="Current Que LEO Date EP Copy Print Status DBK Scroll No Scroll Date EGM Integration Status_x000a_HIST  25 NOV 2017 00:11  Y  23003/2017  12 DEC 2017 00:12  Y "/>
        <s v="Current Que LEO Date EP Copy Print Status DBK Scroll No Scroll Date EGM Integration Status_x000a_HIST  28 NOV 2017 00:11  Y  23003/2017  12 DEC 2017 00:12  Y "/>
        <s v="Current Que LEO Date EP Copy Print Status DBK Scroll No Scroll Date EGM Integration Status_x000a_HIST  22 NOV 2017 00:11  Y  N.A.  N.A.  Y "/>
        <s v="Current Que LEO Date EP Copy Print Status DBK Scroll No Scroll Date EGM Integration Status_x000a_HIST  24 NOV 2017 00:11  Y  23003/2017  12 DEC 2017 00:12  Y "/>
        <s v="Current Que LEO Date EP Copy Print Status DBK Scroll No Scroll Date EGM Integration Status_x000a_HIST  24 NOV 2017 00:11  Y  22915/2017  05 DEC 2017 00:12  Y "/>
        <s v="Current Que LEO Date EP Copy Print Status DBK Scroll No Scroll Date EGM Integration Status_x000a_HIST  23 NOV 2017 00:11  Y  22915/2017  05 DEC 2017 00:12  Y "/>
        <s v="Current Que LEO Date EP Copy Print Status DBK Scroll No Scroll Date EGM Integration Status_x000a_HIST  23 NOV 2017 00:11  Y  22850/2017  30 NOV 2017 00:11  Y "/>
        <s v="Current Que LEO Date EP Copy Print Status DBK Scroll No Scroll Date EGM Integration Status_x000a_HIST  30 NOV 2017 00:11  Y  23003/2017  12 DEC 2017 00:12  Y "/>
        <s v="Current Que LEO Date EP Copy Print Status DBK Scroll No Scroll Date EGM Integration Status_x000a_HIST  25 NOV 2017 00:11  Y  22915/2017  05 DEC 2017 00:12  Y "/>
        <s v="Current Que LEO Date EP Copy Print Status DBK Scroll No Scroll Date EGM Integration Status_x000a_HIST  25 NOV 2017 00:11  Y  N.A.  N.A.  Y "/>
        <s v="Current Que LEO Date EP Copy Print Status DBK Scroll No Scroll Date EGM Integration Status_x000a_HIST  28 NOV 2017 00:11  Y  24208/2018  09 MAR 2018 00:03  Y "/>
        <s v="Current Que LEO Date EP Copy Print Status DBK Scroll No Scroll Date EGM Integration Status_x000a_HIST  30 NOV 2017 00:11  Y  24432/2018  25 MAR 2018 00:03  Y "/>
        <s v="Current Que LEO Date EP Copy Print Status DBK Scroll No Scroll Date EGM Integration Status_x000a_HIST  29 NOV 2017 00:11  Y  24432/2018  25 MAR 2018 00:03  Y "/>
        <s v="Current Que LEO Date EP Copy Print Status DBK Scroll No Scroll Date EGM Integration Status_x000a_HIST  01 DEC 2017 00:12  Y  N.A.  N.A.  Y "/>
        <s v="Current Que LEO Date EP Copy Print Status DBK Scroll No Scroll Date EGM Integration Status_x000a_HIST  04 DEC 2017 00:12  Y  N.A.  N.A.  Y "/>
        <s v="Current Que LEO Date EP Copy Print Status DBK Scroll No Scroll Date EGM Integration Status_x000a_HIST  04 DEC 2017 00:12  Y  23143/2017  22 DEC 2017 00:12  Y "/>
        <s v="Current Que LEO Date EP Copy Print Status DBK Scroll No Scroll Date EGM Integration Status_x000a_HIST  04 DEC 2017 00:12  R  N.A.  N.A.  Y "/>
        <s v="Current Que LEO Date EP Copy Print Status DBK Scroll No Scroll Date EGM Integration Status_x000a_HIST  06 DEC 2017 00:12  Y  23043/2017  15 DEC 2017 00:12  Y "/>
        <s v="Current Que LEO Date EP Copy Print Status DBK Scroll No Scroll Date EGM Integration Status_x000a_HIST  04 DEC 2017 00:12  Y  23043/2017  15 DEC 2017 00:12  Y "/>
        <s v="Current Que LEO Date EP Copy Print Status DBK Scroll No Scroll Date EGM Integration Status_x000a_HIST  01 DEC 2017 00:12  Y  23003/2017  12 DEC 2017 00:12  Y "/>
        <s v="Current Que LEO Date EP Copy Print Status DBK Scroll No Scroll Date EGM Integration Status_x000a_HIST  05 DEC 2017 00:12  Y  23003/2017  12 DEC 2017 00:12  Y "/>
        <s v="Current Que LEO Date EP Copy Print Status DBK Scroll No Scroll Date EGM Integration Status_x000a_HIST  05 DEC 2017 00:12  Y  24432/2018  25 MAR 2018 00:03  Y "/>
        <s v="Current Que LEO Date EP Copy Print Status DBK Scroll No Scroll Date EGM Integration Status_x000a_HIST  04 DEC 2017 00:12  Y  23003/2017  12 DEC 2017 00:12  Y "/>
        <s v="Current Que LEO Date EP Copy Print Status DBK Scroll No Scroll Date EGM Integration Status_x000a_HIST  07 DEC 2017 00:12  Y  23143/2017  22 DEC 2017 00:12  Y "/>
        <s v="Current Que LEO Date EP Copy Print Status DBK Scroll No Scroll Date EGM Integration Status_x000a_HIST  07 DEC 2017 00:12  Y  N.A.  N.A.  Y "/>
        <s v="Current Que LEO Date EP Copy Print Status DBK Scroll No Scroll Date EGM Integration Status_x000a_HIST  06 DEC 2017 00:12  Y  N.A.  N.A.  Y "/>
        <s v="Current Que LEO Date EP Copy Print Status DBK Scroll No Scroll Date EGM Integration Status_x000a_HIST  06 DEC 2017 00:12  Y  23143/2017  22 DEC 2017 00:12  Y "/>
        <s v="Current Que LEO Date EP Copy Print Status DBK Scroll No Scroll Date EGM Integration Status_x000a_HIST  07 DEC 2017 00:12  Y  23003/2017  12 DEC 2017 00:12  Y "/>
        <s v="Current Que LEO Date EP Copy Print Status DBK Scroll No Scroll Date EGM Integration Status_x000a_HIST  13 DEC 2017 00:12  Y  23143/2017  22 DEC 2017 00:12  Y "/>
        <s v="Current Que LEO Date EP Copy Print Status DBK Scroll No Scroll Date EGM Integration Status_x000a_HIST  07 DEC 2017 00:12  Y  23043/2017  15 DEC 2017 00:12  Y "/>
        <s v="Current Que LEO Date EP Copy Print Status DBK Scroll No Scroll Date EGM Integration Status_x000a_HIST  08 DEC 2017 00:12  Y  N.A.  N.A.  Y "/>
        <s v="Current Que LEO Date EP Copy Print Status DBK Scroll No Scroll Date EGM Integration Status_x000a_HIST  08 DEC 2017 00:12  Y  23237/2017  29 DEC 2017 00:12  Y "/>
        <s v="Current Que LEO Date EP Copy Print Status DBK Scroll No Scroll Date EGM Integration Status_x000a_HIST  11 DEC 2017 00:12  Y  N.A.  N.A.  Y "/>
        <s v="Current Que LEO Date EP Copy Print Status DBK Scroll No Scroll Date EGM Integration Status_x000a_HIST  18 DEC 2017 00:12  Y  23237/2017  29 DEC 2017 00:12  Y "/>
        <s v="Current Que LEO Date EP Copy Print Status DBK Scroll No Scroll Date EGM Integration Status_x000a_HIST  13 DEC 2017 00:12  Y  23237/2017  29 DEC 2017 00:12  Y "/>
        <s v="Current Que LEO Date EP Copy Print Status DBK Scroll No Scroll Date EGM Integration Status_x000a_HIST  15 DEC 2017 00:12  Y  23143/2017  22 DEC 2017 00:12  Y "/>
        <s v="Current Que LEO Date EP Copy Print Status DBK Scroll No Scroll Date EGM Integration Status_x000a_HIST  13 DEC 2017 00:12  Y  N.A.  N.A.  Y "/>
        <s v="Current Que LEO Date EP Copy Print Status DBK Scroll No Scroll Date EGM Integration Status_x000a_HIST  15 DEC 2017 00:12  Y  N.A.  N.A.  Y "/>
        <s v="Current Que LEO Date EP Copy Print Status DBK Scroll No Scroll Date EGM Integration Status_x000a_HIST  14 DEC 2017 00:12  Y  N.A.  N.A.  Y "/>
        <s v="Current Que LEO Date EP Copy Print Status DBK Scroll No Scroll Date EGM Integration Status_x000a_HIST  13 DEC 2017 00:12  Y  23835/2018  15 FEB 2018 00:02  Y "/>
        <s v="Current Que LEO Date EP Copy Print Status DBK Scroll No Scroll Date EGM Integration Status_x000a_HIST  19 DEC 2017 00:12  Y  23237/2017  29 DEC 2017 00:12  Y "/>
        <s v="Current Que LEO Date EP Copy Print Status DBK Scroll No Scroll Date EGM Integration Status_x000a_HIST  15 DEC 2017 00:12  Y  24082/2018  28 FEB 2018 00:02  Y "/>
        <s v="Current Que LEO Date EP Copy Print Status DBK Scroll No Scroll Date EGM Integration Status_x000a_HIST  14 DEC 2017 00:12  Y  23143/2017  22 DEC 2017 00:12  Y "/>
        <s v="Current Que LEO Date EP Copy Print Status DBK Scroll No Scroll Date EGM Integration Status_x000a_HIST  16 DEC 2017 00:12  Y  23143/2017  22 DEC 2017 00:12  Y "/>
        <s v="Current Que LEO Date EP Copy Print Status DBK Scroll No Scroll Date EGM Integration Status_x000a_HIST  18 DEC 2017 00:12  Y  N.A.  N.A.  Y "/>
        <s v="Current Que LEO Date EP Copy Print Status DBK Scroll No Scroll Date EGM Integration Status_x000a_HIST  19 DEC 2017 00:12  Y  N.A.  N.A.  Y "/>
        <s v="Current Que LEO Date EP Copy Print Status DBK Scroll No Scroll Date EGM Integration Status_x000a_HIST  20 DEC 2017 00:12  Y  23414/2018  12 JAN 2018 00:01  Y "/>
        <s v="Current Que LEO Date EP Copy Print Status DBK Scroll No Scroll Date EGM Integration Status_x000a_HIST  20 DEC 2017 00:12  Y  23237/2017  29 DEC 2017 00:12  Y "/>
        <s v="Current Que LEO Date EP Copy Print Status DBK Scroll No Scroll Date EGM Integration Status_x000a_HIST  21 DEC 2017 00:12  Y  N.A.  N.A.  Y "/>
        <s v="Current Que LEO Date EP Copy Print Status DBK Scroll No Scroll Date EGM Integration Status_x000a_HIST  27 DEC 2017 00:12  Y  N.A.  N.A.  Y "/>
        <s v="Current Que LEO Date EP Copy Print Status DBK Scroll No Scroll Date EGM Integration Status_x000a_HIST  23 DEC 2017 00:12  Y  23328/2018  05 JAN 2018 00:01  Y "/>
        <s v="Current Que LEO Date EP Copy Print Status DBK Scroll No Scroll Date EGM Integration Status_x000a_HIST  21 DEC 2017 00:12  Y  23237/2017  29 DEC 2017 00:12  Y "/>
        <s v="Current Que LEO Date EP Copy Print Status DBK Scroll No Scroll Date EGM Integration Status_x000a_HIST  20 DEC 2017 00:12  Y  N.A.  N.A.  Y "/>
        <s v="Current Que LEO Date EP Copy Print Status DBK Scroll No Scroll Date EGM Integration Status_x000a_HIST  22 DEC 2017 00:12  Y  N.A.  N.A.  Y "/>
        <s v="Current Que LEO Date EP Copy Print Status DBK Scroll No Scroll Date EGM Integration Status_x000a_HIST  21 DEC 2017 00:12  Y  23328/2018  05 JAN 2018 00:01  Y "/>
        <s v="Current Que LEO Date EP Copy Print Status DBK Scroll No Scroll Date EGM Integration Status_x000a_HIST  22 DEC 2017 00:12  Y  23328/2018  05 JAN 2018 00:01  Y "/>
        <s v="Current Que LEO Date EP Copy Print Status DBK Scroll No Scroll Date EGM Integration Status_x000a_HIST  27 DEC 2017 00:12  Y  23328/2018  05 JAN 2018 00:01  Y "/>
        <s v="Current Que LEO Date EP Copy Print Status DBK Scroll No Scroll Date EGM Integration Status_x000a_HIST  26 DEC 2017 00:12  Y  N.A.  N.A.  Y "/>
        <s v="Current Que LEO Date EP Copy Print Status DBK Scroll No Scroll Date EGM Integration Status_x000a_HIST  26 DEC 2017 00:12  Y  23328/2018  05 JAN 2018 00:01  Y "/>
        <s v="Current Que LEO Date EP Copy Print Status DBK Scroll No Scroll Date EGM Integration Status_x000a_HIST  28 DEC 2017 00:12  Y  24432/2018  25 MAR 2018 00:03  Y "/>
        <s v="Current Que LEO Date EP Copy Print Status DBK Scroll No Scroll Date EGM Integration Status_x000a_HIST  28 DEC 2017 00:12  Y  N.A.  N.A.  Y "/>
        <s v="Current Que LEO Date EP Copy Print Status DBK Scroll No Scroll Date EGM Integration Status_x000a_HIST  30 DEC 2017 00:12  Y  23414/2018  12 JAN 2018 00:01  Y "/>
        <s v="Current Que LEO Date EP Copy Print Status DBK Scroll No Scroll Date EGM Integration Status_x000a_HIST  28 DEC 2017 00:12  Y  23414/2018  12 JAN 2018 00:01  Y "/>
        <s v="Current Que LEO Date EP Copy Print Status DBK Scroll No Scroll Date EGM Integration Status_x000a_HIST  29 DEC 2017 00:12  Y  24432/2018  25 MAR 2018 00:03  Y "/>
        <s v="Current Que LEO Date EP Copy Print Status DBK Scroll No Scroll Date EGM Integration Status_x000a_HIST  29 DEC 2017 00:12  Y  N.A.  N.A.  Y "/>
        <s v="Current Que LEO Date EP Copy Print Status DBK Scroll No Scroll Date EGM Integration Status_x000a_HIST  03 JAN 2018 00:01  Y  23481/2018  18 JAN 2018 00:01  Y "/>
        <s v="Current Que LEO Date EP Copy Print Status DBK Scroll No Scroll Date EGM Integration Status_x000a_HIST  01 JAN 2018 00:01  Y  N.A.  N.A.  Y "/>
        <s v="Current Que LEO Date EP Copy Print Status DBK Scroll No Scroll Date EGM Integration Status_x000a_HIST  02 JAN 2018 00:01  Y  N.A.  N.A.  Y "/>
        <s v="Current Que LEO Date EP Copy Print Status DBK Scroll No Scroll Date EGM Integration Status_x000a_HIST  30 DEC 2017 00:12  Y  24432/2018  25 MAR 2018 00:03  Y "/>
        <s v="Current Que LEO Date EP Copy Print Status DBK Scroll No Scroll Date EGM Integration Status_x000a_HIST  05 JAN 2018 00:01  Y  N.A.  N.A.  Y "/>
        <s v="Current Que LEO Date EP Copy Print Status DBK Scroll No Scroll Date EGM Integration Status_x000a_HIST  04 JAN 2018 00:01  Y  23414/2018  12 JAN 2018 00:01  Y "/>
        <s v="Current Que LEO Date EP Copy Print Status DBK Scroll No Scroll Date EGM Integration Status_x000a_HIST  05 JAN 2018 00:01  Y  23414/2018  12 JAN 2018 00:01  Y "/>
        <s v="Current Que LEO Date EP Copy Print Status DBK Scroll No Scroll Date EGM Integration Status_x000a_HIST  06 JAN 2018 00:01  Y  23643/2018  31 JAN 2018 00:01  Y "/>
      </sharedItems>
    </cacheField>
    <cacheField name="EGM no" numFmtId="0">
      <sharedItems/>
    </cacheField>
    <cacheField name="ROSL" numFmtId="0">
      <sharedItems/>
    </cacheField>
    <cacheField name="GST" numFmtId="0">
      <sharedItems count="367">
        <s v="GSTIN    -    06AXXXXXXXXC1ZH_x000a_Invoice Number Invoice Date IGST Paid(INR)_x000a_XXXXXXXX-18  2017-06-30  24756 "/>
        <s v="GSTIN    -    06AXXXXXXXXC1ZH_x000a_Invoice Number Invoice Date IGST Paid(INR)_x000a_XXXXXXXX-18  2017-06-30  7128 "/>
        <s v="GSTIN    -    07AXXXXXXXXM1Z2_x000a_Invoice Number Invoice Date IGST Paid(INR)_x000a_XXXXXXXXXXX-18  2017-07-04  119771 "/>
        <s v="GSTIN    -    06AXXXXXXXXJ1ZG_x000a_Invoice Number Invoice Date IGST Paid(INR)_x000a_XXXXXXXXXXX142  2017-07-24  48384 "/>
        <s v="GSTIN    -    06AXXXXXXXXH1ZO_x000a_Invoice Number Invoice Date IGST Paid(INR)_x000a_XXXXXXXXXXXX-18  2017-07-17  149412 "/>
        <s v="GSTIN    -    09AXXXXXXXXC1Z4_x000a_Invoice Number Invoice Date IGST Paid(INR)_x000a_XXXXXXXXXXXXXX-18  2017-07-13  433793 "/>
        <s v="GSTIN    -    06AXXXXXXXXL1ZE_x000a_Invoice Number Invoice Date IGST Paid(INR)_x000a_XXXXX/16  2017-07-27  145084 "/>
        <s v="GSTIN    -    06AXXXXXXXXH2ZJ_x000a_Invoice Number Invoice Date IGST Paid(INR)_x000a_XXXXXXXXX/18  2017-07-18  26869 "/>
        <s v="GSTIN    -    06AXXXXXXXXH1ZO_x000a_Invoice Number Invoice Date IGST Paid(INR)_x000a_XXXXXXXXXXXX-18  2017-07-25  79964 "/>
        <s v="GSTIN    -    06AXXXXXXXXH1ZO_x000a_Invoice Number Invoice Date IGST Paid(INR)_x000a_XXXXXXXXXXXX-18  2017-07-25  690600 "/>
        <s v="GSTIN    -    06AXXXXXXXXH1ZO_x000a_Invoice Number Invoice Date IGST Paid(INR)_x000a_XXXXXXXXXXXX-18  2017-07-25  1437149 "/>
        <s v="GSTIN    -    07DXXXXXXXXB1ZH_x000a_Invoice Number Invoice Date IGST Paid(INR)_x000a_XXXXXXXXX/01  2017-07-24  354254 "/>
        <s v="GSTIN    -    06AXXXXXXXXK1ZT_x000a_Invoice Number Invoice Date IGST Paid(INR)_x000a_XXXXXXXXXXXX002  2017-07-24  129600 "/>
        <s v="GSTIN    -    06AXXXXXXXXK1Z7_x000a_Invoice Number Invoice Date IGST Paid(INR)_x000a_006  2017-07-27  647383 "/>
        <s v="GSTIN    -    06AXXXXXXXXQ1ZC_x000a_Invoice Number Invoice Date IGST Paid(INR)_x000a_XXXXXXXXXXX/09  2017-07-29  249841 "/>
        <s v="GSTIN    -    09AXXXXXXXXC2Z0_x000a_Invoice Number Invoice Date IGST Paid(INR)_x000a_XXXXXXXXXXXXXX7-1  2017-07-10  53663 "/>
        <s v="GSTIN    -    07AXXXXXXXXE1Z5_x000a_Invoice Number Invoice Date IGST Paid(INR)_x000a_681  2017-07-22  78589 "/>
        <s v="GSTIN    -    08AXXXXXXXXR1ZR_x000a_Invoice Number Invoice Date IGST Paid(INR)_x000a_XXXXXXXXXXXXXX078  2017-07-24  1961181 "/>
        <s v="GSTIN    -    07AXXXXXXXXQ1ZK_x000a_Invoice Number Invoice Date IGST Paid(INR)_x000a_X/26  2017-07-31  35661 "/>
        <s v="GSTIN    -    06AXXXXXXXXG1ZX_x000a_Invoice Number Invoice Date IGST Paid(INR)_x000a_XXXXXXXXXXXXXX001  2017-07-28  14574 "/>
        <s v="GSTIN    -    07AXXXXXXXXF1Z8_x000a_Invoice Number Invoice Date IGST Paid(INR)_x000a_XXXXXX001  2017-08-01  167681 "/>
        <s v="GSTIN    -    09AXXXXXXXXK2ZT_x000a_Invoice Number Invoice Date IGST Paid(INR)_x000a_37  2017-07-31  25718 "/>
        <s v="GSTIN    -    07AXXXXXXXXM1ZP_x000a_Invoice Number Invoice Date IGST Paid(INR)_x000a_XXXX265  2017-08-01  16847 "/>
        <s v="GSTIN    -    07AXXXXXXXXL1ZI_x000a_Invoice Number Invoice Date IGST Paid(INR)_x000a_XXXXXXX017  2017-07-03  66431 "/>
        <s v="GSTIN    -    09AXXXXXXXXC1Z4_x000a_Invoice Number Invoice Date IGST Paid(INR)_x000a_XXXXXXXXXXXXXX-18  2017-07-15  310271 "/>
        <s v="GSTIN    -    09AXXXXXXXXC1Z4_x000a_Invoice Number Invoice Date IGST Paid(INR)_x000a_XXXXXXXXXXXXXX-18  2017-07-15  436205 "/>
        <s v="GSTIN    -    09AXXXXXXXXC1ZR_x000a_Invoice Number Invoice Date IGST Paid(INR)_x000a_62  2017-07-31  293987 "/>
        <s v="GSTIN    -    07AXXXXXXXXA1ZA_x000a_Invoice Number Invoice Date IGST Paid(INR)_x000a_XXXXXXXXXX-18  2017-07-25  5502 "/>
        <s v="GSTIN    -    08AXXXXXXXXR1Z1_x000a_Invoice Number Invoice Date IGST Paid(INR)_x000a_XXXXXXXXXXXXXX008  2017-07-31  112585 "/>
        <s v="GSTIN    -    07AXXXXXXXXR1ZH_x000a_Invoice Number Invoice Date IGST Paid(INR)_x000a_XXXXXXXXXX018  2017-07-27  135238 "/>
        <s v="GSTIN    -    06AXXXXXXXXR2ZO_x000a_Invoice Number Invoice Date IGST Paid(INR)_x000a_XXXXXXXXXXXXX/17  2017-08-01  53596 "/>
        <s v="GSTIN    -    07AXXXXXXXXK1ZB_x000a_Invoice Number Invoice Date IGST Paid(INR)_x000a_XXXXXXXXXX-18  2017-08-03  28865 "/>
        <s v="GSTIN    -    06AXXXXXXXXE4ZU_x000a_Invoice Number Invoice Date IGST Paid(INR)_x000a_XXXXXXXXXXXXXX-18  2017-08-01  3268108 "/>
        <s v="GSTIN    -    07AXXXXXXXXE1ZF_x000a_Invoice Number Invoice Date IGST Paid(INR)_x000a_XXX006  2017-07-29  28099 "/>
        <s v="GSTIN    -    06AXXXXXXXXA1Z5_x000a_Invoice Number Invoice Date IGST Paid(INR)_x000a_XXXXXXX-18  2017-07-11  49321 "/>
        <s v="GSTIN    -    07AXXXXXXXXL1ZH_x000a_Invoice Number Invoice Date IGST Paid(INR)_x000a_006  2017-08-03  71889 "/>
        <s v="GSTIN    -    07AXXXXXXXXA1ZL_x000a_Invoice Number Invoice Date IGST Paid(INR)_x000a_53  2017-07-31  141585 "/>
        <s v="GSTIN    -    09AXXXXXXXXF1ZI_x000a_Invoice Number Invoice Date IGST Paid(INR)_x000a_XXXXX000  2017-07-28  10105 "/>
        <s v="GSTIN    -    06AXXXXXXXXE4ZU_x000a_Invoice Number Invoice Date IGST Paid(INR)_x000a_XXXXXXXXXXXXXX-18  2017-08-01  74016 "/>
        <s v="GSTIN    -    07AXXXXXXXXH1ZR_x000a_Invoice Number Invoice Date IGST Paid(INR)_x000a_XXXXXXXXXXX002  2017-08-05  604113 "/>
        <s v="GSTIN    -    07AXXXXXXXXG1ZH_x000a_Invoice Number Invoice Date IGST Paid(INR)_x000a_007  2017-08-01  160973 "/>
        <s v="GSTIN    -    07AXXXXXXXXR1ZM_x000a_Invoice Number Invoice Date IGST Paid(INR)_x000a_X105  2017-08-01  8292 "/>
        <s v="GSTIN    -    07AXXXXXXXXG1ZP_x000a_Invoice Number Invoice Date IGST Paid(INR)_x000a_X189  2017-08-07  199238 _x000a_X190  2017-08-07  14244 "/>
        <s v="GSTIN    -    06AXXXXXXXXJ1ZI_x000a_Invoice Number Invoice Date IGST Paid(INR)_x000a_XXXXXXXXXXXX018  2017-08-08  88693 "/>
        <s v="GSTIN    -    07AXXXXXXXXF1Z6_x000a_Invoice Number Invoice Date IGST Paid(INR)_x000a_XXXX613  2017-08-02  105585 "/>
        <s v="GSTIN    -    07AXXXXXXXXR1ZF_x000a_Invoice Number Invoice Date IGST Paid(INR)_x000a_XXXXXXXXXXX010  2017-07-31  35910 "/>
        <s v="GSTIN    -    03AXXXXXXXXL1Z0_x000a_Invoice Number Invoice Date IGST Paid(INR)_x000a_XXXX736  2017-08-09  111367 "/>
        <s v="GSTIN    -    07AXXXXXXXXC1Z8_x000a_Invoice Number Invoice Date IGST Paid(INR)_x000a_XXX-75  2017-08-08  784898 "/>
        <s v="GSTIN    -    06AXXXXXXXXR1ZC_x000a_Invoice Number Invoice Date IGST Paid(INR)_x000a_XXX/01  2017-07-28  187353 "/>
        <s v="GSTIN    -    06AXXXXXXXXF1Z5_x000a_Invoice Number Invoice Date IGST Paid(INR)_x000a_XXXXXXXXXXXXX040  2017-08-09  30806 "/>
        <s v="GSTIN    -    06AXXXXXXXXR2ZO_x000a_Invoice Number Invoice Date IGST Paid(INR)_x000a_XXXXXXXXXXXXX/17  2017-08-10  53047 "/>
        <s v="GSTIN    -    07AXXXXXXXXH1ZD_x000a_Invoice Number Invoice Date IGST Paid(INR)_x000a_XXXXXXXXXXXXX-18  2017-08-09  179147 "/>
        <s v="GSTIN    -    07AXXXXXXXXA1Z1_x000a_Invoice Number Invoice Date IGST Paid(INR)_x000a_XXXXXXXXXXXXXX-18  2017-08-10  70173 "/>
        <s v="GSTIN    -    07AXXXXXXXXP1Z3_x000a_Invoice Number Invoice Date IGST Paid(INR)_x000a_XXXXXXX006  2017-08-08  32141 "/>
        <s v="GSTIN    -    07AXXXXXXXXD1ZA_x000a_Invoice Number Invoice Date IGST Paid(INR)_x000a_XXXX008  2017-08-08  53730 "/>
        <s v="GSTIN    -    06AXXXXXXXXR2ZO_x000a_Invoice Number Invoice Date IGST Paid(INR)_x000a_XXXXXXXXXXXXX/17  2017-08-11  53047 "/>
        <s v="GSTIN    -    07AXXXXXXXXM1Z2_x000a_Invoice Number Invoice Date IGST Paid(INR)_x000a_35  2017-08-04  44565 "/>
        <s v="GSTIN    -    09AXXXXXXXXE1ZL_x000a_Invoice Number Invoice Date IGST Paid(INR)_x000a_XXXXXXXX020  2017-08-08  280688 "/>
        <s v="GSTIN    -    27AXXXXXXXXN1Z4_x000a_Invoice Number Invoice Date IGST Paid(INR)_x000a_XXXXX042  2017-08-09  5030 "/>
        <s v="GSTIN    -    07AXXXXXXXXE1ZF_x000a_Invoice Number Invoice Date IGST Paid(INR)_x000a_XXXXXXXX017  2017-08-08  27598 "/>
        <s v="GSTIN    -    07AXXXXXXXXP1Z5_x000a_Invoice Number Invoice Date IGST Paid(INR)_x000a_XXXXXXXXXXX/17  2017-08-10  45056 "/>
        <s v="GSTIN    -    07BXXXXXXXXH1ZS_x000a_Invoice Number Invoice Date IGST Paid(INR)_x000a_XXXXXXXXXXXXXX004  2017-08-10  96798 "/>
        <s v="GSTIN    -    07AXXXXXXXXH1Z4_x000a_Invoice Number Invoice Date IGST Paid(INR)_x000a_XXXX002  2017-08-02  28671 "/>
        <s v="GSTIN    -    07AXXXXXXXXF2ZV_x000a_Invoice Number Invoice Date IGST Paid(INR)_x000a_XXXXXXXXXXXXXXX06  2017-08-10  67373 "/>
        <s v="GSTIN    -    07AXXXXXXXXK1ZB_x000a_Invoice Number Invoice Date IGST Paid(INR)_x000a_XXXXXXXXX-18  2017-08-16  6059 "/>
        <s v="GSTIN    -    06AXXXXXXXXK1ZT_x000a_Invoice Number Invoice Date IGST Paid(INR)_x000a_XXXXXXXXXXXXXX502  2017-08-11  127960 "/>
        <s v="GSTIN    -    07AXXXXXXXXK1ZB_x000a_Invoice Number Invoice Date IGST Paid(INR)_x000a_XXXXXXXXX-18  2017-08-17  23380 "/>
        <s v="GSTIN    -    07AXXXXXXXXA1ZV_x000a_Invoice Number Invoice Date IGST Paid(INR)_x000a_XXXX082  2017-07-31  14173 "/>
        <s v="GSTIN    -    09AXXXXXXXXG1ZF_x000a_Invoice Number Invoice Date IGST Paid(INR)_x000a_XXXXXXXXXXXXXX004  2017-08-17  31224 "/>
        <s v="GSTIN    -    07AXXXXXXXXA1ZN_x000a_Invoice Number Invoice Date IGST Paid(INR)_x000a_XXXXXX-18  2017-08-01  38967 "/>
        <s v="GSTIN    -    07AXXXXXXXXJ1ZV_x000a_Invoice Number Invoice Date IGST Paid(INR)_x000a_XXXXXXXXXXXXXX/17  2017-08-12  45043 "/>
        <s v="GSTIN    -    09AXXXXXXXXJ1Z6_x000a_Invoice Number Invoice Date IGST Paid(INR)_x000a_XXXXXXXXXXX018  2017-08-10  243149 "/>
        <s v="GSTIN    -    07AXXXXXXXXG1ZH_x000a_Invoice Number Invoice Date IGST Paid(INR)_x000a_XXXXXXX/17  2017-08-16  67654 "/>
        <s v="GSTIN    -    06AXXXXXXXXM1ZZ_x000a_Invoice Number Invoice Date IGST Paid(INR)_x000a_043  2017-08-10  14655 "/>
        <s v="GSTIN    -    06AXXXXXXXXR1ZB_x000a_Invoice Number Invoice Date IGST Paid(INR)_x000a_05  2017-08-05  265896 "/>
        <s v="GSTIN    -    07AXXXXXXXXF1Z0_x000a_Invoice Number Invoice Date IGST Paid(INR)_x000a_XXXXXXXXX-18  2017-08-18  62986 "/>
        <s v="GSTIN    -    09AXXXXXXXXP2ZF_x000a_Invoice Number Invoice Date IGST Paid(INR)_x000a_XXXXXXXXX/16  2017-08-17  54751 "/>
        <s v="GSTIN    -    06AXXXXXXXXE4ZU_x000a_Invoice Number Invoice Date IGST Paid(INR)_x000a_XXXXXXXXXXXXXX718  2017-08-16  53456 "/>
        <s v="GSTIN    -    06AXXXXXXXXN1Z9_x000a_Invoice Number Invoice Date IGST Paid(INR)_x000a_XXXXXXXX-18  2017-08-21  43227 "/>
        <s v="GSTIN    -    06AXXXXXXXXQ1ZQ_x000a_Invoice Number Invoice Date IGST Paid(INR)_x000a_XXXXXXXXXXXX003  2017-08-18  285450 "/>
        <s v="GSTIN    -    06AXXXXXXXXQ1ZQ_x000a_Invoice Number Invoice Date IGST Paid(INR)_x000a_XXXXXXXXXXXX004  2017-08-18  139269 "/>
        <s v="GSTIN    -    07AXXXXXXXXB1ZR_x000a_Invoice Number Invoice Date IGST Paid(INR)_x000a_XXXXXXXXX-18  2017-08-12  371424 "/>
        <s v="GSTIN    -    07AXXXXXXXXB1ZR_x000a_Invoice Number Invoice Date IGST Paid(INR)_x000a_XXXXXXXXX-18  2017-08-19  152387 "/>
        <s v="GSTIN    -    06AXXXXXXXXJ2ZR_x000a_Invoice Number Invoice Date IGST Paid(INR)_x000a_XXXXX-18  2017-08-21  45511 "/>
        <s v="GSTIN    -    27AXXXXXXXXR1ZF_x000a_Invoice Number Invoice Date IGST Paid(INR)_x000a_XXXXXXXXXXXX-18  2017-08-07  19042 "/>
        <s v="GSTIN    -    06AXXXXXXXXD1ZM_x000a_Invoice Number Invoice Date IGST Paid(INR)_x000a_XXX-02  2017-08-22  54305 "/>
        <s v="GSTIN    -    06AXXXXXXXXJ1ZG_x000a_Invoice Number Invoice Date IGST Paid(INR)_x000a_XXXXXXXXXX177  2017-08-22  190911 "/>
        <s v="GSTIN    -    07AXXXXXXXXB1ZS_x000a_Invoice Number Invoice Date IGST Paid(INR)_x000a_XXXXXXX017  2017-08-10  81770 "/>
        <s v="GSTIN    -    06AXXXXXXXXC1ZF_x000a_Invoice Number Invoice Date IGST Paid(INR)_x000a_960  2017-08-22  471225 "/>
        <s v="GSTIN    -    07AXXXXXXXXK1ZW_x000a_Invoice Number Invoice Date IGST Paid(INR)_x000a_XXXXXXXXXXXX-36  2017-08-21  4344 "/>
        <s v="GSTIN    -    07AXXXXXXXXC1Z8_x000a_Invoice Number Invoice Date IGST Paid(INR)_x000a_XXI65  2017-08-03  3897 "/>
        <s v="GSTIN    -    07AXXXXXXXXP1ZU_x000a_Invoice Number Invoice Date IGST Paid(INR)_x000a_XXXXXXXXXXX-18  2017-08-23  1499760 "/>
        <s v="GSTIN    -    07AXXXXXXXXB1ZP_x000a_Invoice Number Invoice Date IGST Paid(INR)_x000a_XXXXXX/17  2017-01-08  251223 "/>
        <s v="GSTIN    -    07AXXXXXXXXK1ZY_x000a_Invoice Number Invoice Date IGST Paid(INR)_x000a_XXXXXXXX018  2017-08-16  42581 "/>
        <s v="GSTIN    -    07AXXXXXXXXP3ZI_x000a_Invoice Number Invoice Date IGST Paid(INR)_x000a_XXXXXXXXXXXXXX-18  2017-07-25  17522 "/>
        <s v="GSTIN    -    09AXXXXXXXXC1ZH_x000a_Invoice Number Invoice Date IGST Paid(INR)_x000a_047  2017-08-21  75492 "/>
        <s v="GSTIN    -    07AXXXXXXXXL1ZD_x000a_Invoice Number Invoice Date IGST Paid(INR)_x000a_XXXXXXXXX017  2017-06-28  240204 "/>
        <s v="GSTIN    -    07AXXXXXXXXA1Z5_x000a_Invoice Number Invoice Date IGST Paid(INR)_x000a_XXXXXXXXXXXXX018  2017-08-22  342972 "/>
        <s v="GSTIN    -    07AXXXXXXXXA1Z5_x000a_Invoice Number Invoice Date IGST Paid(INR)_x000a_XXXXXXXXXXXXX018  2017-08-23  334701 "/>
        <s v="GSTIN    -    07AXXXXXXXXA1Z5_x000a_Invoice Number Invoice Date IGST Paid(INR)_x000a_XXXXXXXXXXXXX018  2017-08-23  312107 "/>
        <s v="GSTIN    -    07AXXXXXXXXC1ZP_x000a_Invoice Number Invoice Date IGST Paid(INR)_x000a_XXXXXXXXXXXXXX003  2017-08-24  130572 "/>
        <s v="GSTIN    -    08AXXXXXXXXR1Z1_x000a_Invoice Number Invoice Date IGST Paid(INR)_x000a_XXXXXXXXXXXXXX010  2017-08-25  112496 "/>
        <s v="GSTIN    -    06AXXXXXXXXE1ZX_x000a_Invoice Number Invoice Date IGST Paid(INR)_x000a_XXXXXXXXXXXXXX-18  2017-08-25  226605 "/>
        <s v="GSTIN    -    07AXXXXXXXXA1Z9_x000a_Invoice Number Invoice Date IGST Paid(INR)_x000a_XXXXXXXXXXXXX-18  2017-08-28  287808 "/>
        <s v="GSTIN    -    07AXXXXXXXXG1Z3_x000a_Invoice Number Invoice Date IGST Paid(INR)_x000a_XXXXXXXXXXXXX018  2017-08-28  345370 "/>
        <s v="GSTIN    -    09AXXXXXXXXG1Z5_x000a_Invoice Number Invoice Date IGST Paid(INR)_x000a_XXXXX931  2017-08-26  1880086 "/>
        <s v="GSTIN    -    09AXXXXXXXXJ1Z6_x000a_Invoice Number Invoice Date IGST Paid(INR)_x000a_XXXXXXXXXXX018  2017-08-26  306522 "/>
        <s v="GSTIN    -    06AXXXXXXXXK1ZV_x000a_Invoice Number Invoice Date IGST Paid(INR)_x000a_XXXXXXXXXX070  2017-08-23  40091 _x000a_XXXXXXXXXX071  2017-08-23  54341 "/>
        <s v="GSTIN    -    24AXXXXXXXXA1ZY_x000a_Invoice Number Invoice Date IGST Paid(INR)_x000a_23  2017-08-28  17510 "/>
        <s v="GSTIN    -    06AXXXXXXXXH1ZU_x000a_Invoice Number Invoice Date IGST Paid(INR)_x000a_XXXXXXXXXX-18  2017-08-29  129559 "/>
        <s v="GSTIN    -    08AXXXXXXXXR1ZR_x000a_Invoice Number Invoice Date IGST Paid(INR)_x000a_XXXXXXXXXXXXX113  2017-08-28  390656 "/>
        <s v="GSTIN    -    07AXXXXXXXXH1ZZ_x000a_Invoice Number Invoice Date IGST Paid(INR)_x000a_XXXXXXXX154  2017-08-11  12420 "/>
        <s v="GSTIN    -    06AXXXXXXXXE4ZU_x000a_Invoice Number Invoice Date IGST Paid(INR)_x000a_XXXXXXXXXXXXXX-18  2017-08-26  543895 "/>
        <s v="GSTIN    -    07AXXXXXXXXK1Z3_x000a_Invoice Number Invoice Date IGST Paid(INR)_x000a_XXXXXXX010  2017-08-30  122178 "/>
        <s v="GSTIN    -    07AXXXXXXXXB1ZR_x000a_Invoice Number Invoice Date IGST Paid(INR)_x000a_XXXXXXXXX/18  2017-08-30  925056 "/>
        <s v="GSTIN    -    07AXXXXXXXXP3ZI_x000a_Invoice Number Invoice Date IGST Paid(INR)_x000a_XXXXXXXXXXXXXX-18  2017-08-10  7809 "/>
        <s v="GSTIN    -    09AXXXXXXXXD2Z7_x000a_Invoice Number Invoice Date IGST Paid(INR)_x000a_XXXXXXXX-18  2017-08-08  2073 "/>
        <s v="GSTIN    -    07AXXXXXXXXL1ZB_x000a_Invoice Number Invoice Date IGST Paid(INR)_x000a_XXXXXXXXXXX017  2017-08-28  213152 "/>
        <s v="GSTIN    -    07AXXXXXXXXD1ZG_x000a_Invoice Number Invoice Date IGST Paid(INR)_x000a_XXXXXXXXXX/18  2017-08-25  23374 "/>
        <s v="GSTIN    -    08AXXXXXXXXR1ZR_x000a_Invoice Number Invoice Date IGST Paid(INR)_x000a_XXXXXXXXXXXXXX115  2017-08-30  3925803 "/>
        <s v="GSTIN    -    06AXXXXXXXXQ1ZK_x000a_Invoice Number Invoice Date IGST Paid(INR)_x000a_XXXX868  2017-08-21  33918 "/>
        <s v="GSTIN    -    07AXXXXXXXXF1Z0_x000a_Invoice Number Invoice Date IGST Paid(INR)_x000a_XXXXXXXXX-18  2017-09-01  103520 "/>
        <s v="GSTIN    -    27AXXXXXXXXE1ZE_x000a_Invoice Number Invoice Date IGST Paid(INR)_x000a_XXXXXXXX-18  2017-08-24  303975 "/>
        <s v="GSTIN    -    07AXXXXXXXXB1ZS_x000a_Invoice Number Invoice Date IGST Paid(INR)_x000a_XXXXXXX017  2017-08-31  96678 "/>
        <s v="GSTIN    -    08AXXXXXXXXF1ZL_x000a_Invoice Number Invoice Date IGST Paid(INR)_x000a_XXXXXXX-18  2017-08-29  72207 "/>
        <s v="GSTIN    -    07AXXXXXXXXA1Z5_x000a_Invoice Number Invoice Date IGST Paid(INR)_x000a_XXXXXXXXXXXXX018  2017-09-04  345370 "/>
        <s v="GSTIN    -    07AXXXXXXXXD1ZS_x000a_Invoice Number Invoice Date IGST Paid(INR)_x000a_XXXXXXXXXXXXX018  2017-09-04  342492 "/>
        <s v="GSTIN    -    09BXXXXXXXXJ1ZL_x000a_Invoice Number Invoice Date IGST Paid(INR)_x000a_XXXXXXXXX018  2017-08-28  15226 "/>
        <s v="GSTIN    -    07BXXXXXXXXB1Z1_x000a_Invoice Number Invoice Date IGST Paid(INR)_x000a_XXXXXXXXXXXXXX-18  2017-09-01  55614 "/>
        <s v="GSTIN    -    07AXXXXXXXXB1ZM_x000a_Invoice Number Invoice Date IGST Paid(INR)_x000a_XXXXXXXXXX/05  2017-09-05  50021 "/>
        <s v="GSTIN    -    06AXXXXXXXXE4ZU_x000a_Invoice Number Invoice Date IGST Paid(INR)_x000a_XXXXXXXXXXXXXX017  2017-08-29  659169 "/>
        <s v="GSTIN    -    07AXXXXXXXXN1ZK_x000a_Invoice Number Invoice Date IGST Paid(INR)_x000a_XXXXXXXXXXXXXX-18  2017-09-04  145607 "/>
        <s v="GSTIN    -    06AXXXXXXXXJ1ZG_x000a_Invoice Number Invoice Date IGST Paid(INR)_x000a_XXXX009  2017-08-28  115686 "/>
        <s v="GSTIN    -    09AXXXXXXXXP2ZF_x000a_Invoice Number Invoice Date IGST Paid(INR)_x000a_XXXXXXXXX/17  2017-08-26  36232 "/>
        <s v="GSTIN    -    09AXXXXXXXXJ1Z6_x000a_Invoice Number Invoice Date IGST Paid(INR)_x000a_XXXXXXXXXXX018  2017-09-04  146655 "/>
        <s v="GSTIN    -    09AXXXXXXXXA1ZJ_x000a_Invoice Number Invoice Date IGST Paid(INR)_x000a_XXXXXXXXXXXXXX8/2  2017-08-10  96485 "/>
        <s v="GSTIN    -    09AXXXXXXXXB1ZS_x000a_Invoice Number Invoice Date IGST Paid(INR)_x000a_XXXXXXXXXXX-18  2017-08-28  13952 "/>
        <s v="GSTIN    -    07AXXXXXXXXP1ZN_x000a_Invoice Number Invoice Date IGST Paid(INR)_x000a_XXXXXXXXXXX-18  2017-09-06  196598 "/>
        <s v="GSTIN    -    06AXXXXXXXXN1ZC_x000a_Invoice Number Invoice Date IGST Paid(INR)_x000a_XXXXXXXX005  2017-09-06  20576 "/>
        <s v="GSTIN    -    03AXXXXXXXXP1ZK_x000a_Invoice Number Invoice Date IGST Paid(INR)_x000a_XE/2  2017-09-06  42767 "/>
        <s v="GSTIN    -    06AXXXXXXXXR1ZU_x000a_Invoice Number Invoice Date IGST Paid(INR)_x000a_XXXXXXXXXXXXXX-18  2017-09-06  126045 "/>
        <s v="GSTIN    -    09AXXXXXXXXP1ZN_x000a_Invoice Number Invoice Date IGST Paid(INR)_x000a_XX/04  2017-09-08  41022 "/>
        <s v="GSTIN    -    27AXXXXXXXXR1ZF_x000a_Invoice Number Invoice Date IGST Paid(INR)_x000a_XXXXXXXXXXXX-18  2017-09-04  8950 "/>
        <s v="GSTIN    -    06AXXXXXXXXM1ZZ_x000a_Invoice Number Invoice Date IGST Paid(INR)_x000a_045  2017-08-17  168843 "/>
        <s v="GSTIN    -    07AXXXXXXXXM1ZZ_x000a_Invoice Number Invoice Date IGST Paid(INR)_x000a_XXXXXXXXXXXXXX-18  2017-09-04  53296 "/>
        <s v="GSTIN    -    06AXXXXXXXXR2ZO_x000a_Invoice Number Invoice Date IGST Paid(INR)_x000a_XXXXXXXXXXXXXXP80  2017-09-11  106770 "/>
        <s v="GSTIN    -    07AXXXXXXXXB1ZM_x000a_Invoice Number Invoice Date IGST Paid(INR)_x000a_XXXXXXXXXX/06  2017-09-11  24505 "/>
        <s v="GSTIN    -    07AXXXXXXXXK1ZF_x000a_Invoice Number Invoice Date IGST Paid(INR)_x000a_10  2017-09-11  120960 "/>
        <s v="GSTIN    -    08AXXXXXXXXR1ZP_x000a_Invoice Number Invoice Date IGST Paid(INR)_x000a_XXXXXX-24  2017-09-05  322355 "/>
        <s v="GSTIN    -    07AXXXXXXXXC1ZB_x000a_Invoice Number Invoice Date IGST Paid(INR)_x000a_XXXXXXXXXXXRTS  2017-09-06  28364 "/>
        <s v="GSTIN    -    09AXXXXXXXXA1Z8_x000a_Invoice Number Invoice Date IGST Paid(INR)_x000a_02  2017-09-11  20794 "/>
        <s v="GSTIN    -    06AXXXXXXXXD1Z8_x000a_Invoice Number Invoice Date IGST Paid(INR)_x000a_XXXXXXXXXXXXXX030  2017-09-11  341891 "/>
        <s v="GSTIN    -    07AXXXXXXXXC1ZV_x000a_Invoice Number Invoice Date IGST Paid(INR)_x000a_XXXXXXXXXXXXX018  2017-09-11  315592 "/>
        <s v="GSTIN    -    07AXXXXXXXXC1ZV_x000a_Invoice Number Invoice Date IGST Paid(INR)_x000a_XXXXXXXXXXXXX018  2017-09-11  305072 "/>
        <s v="GSTIN    -    07AXXXXXXXXB1ZR_x000a_Invoice Number Invoice Date IGST Paid(INR)_x000a_XXXXXXXXX-18  2017-09-12  946804 "/>
        <s v="GSTIN    -    06AXXXXXXXXB1ZW_x000a_Invoice Number Invoice Date IGST Paid(INR)_x000a_XXXXXX338  2017-09-12  5036 "/>
        <s v="GSTIN    -    07AXXXXXXXXL1ZI_x000a_Invoice Number Invoice Date IGST Paid(INR)_x000a_XXXXXXXXXXXX/33  2017-09-06  171626 "/>
        <s v="GSTIN    -    07AXXXXXXXXF1ZR_x000a_Invoice Number Invoice Date IGST Paid(INR)_x000a_XXXXXXXXXXXX057  2017-09-12  25270 "/>
        <s v="GSTIN    -    05AXXXXXXXXJ1ZY_x000a_Invoice Number Invoice Date IGST Paid(INR)_x000a_002  2017-09-12  81316 "/>
        <s v="GSTIN    -    06AXXXXXXXXG1ZF_x000a_Invoice Number Invoice Date IGST Paid(INR)_x000a_XXXX508  2017-09-11  24898 "/>
        <s v="GSTIN    -    07AXXXXXXXXR1ZX_x000a_Invoice Number Invoice Date IGST Paid(INR)_x000a_XXXXXXXX-17  2017-09-13  440882 "/>
        <s v="GSTIN    -    07AXXXXXXXXR1ZG_x000a_Invoice Number Invoice Date IGST Paid(INR)_x000a_XXXXXXXXXXXXX-18  2017-09-15  243762 "/>
        <s v="GSTIN    -    07AXXXXXXXXK1ZN_x000a_Invoice Number Invoice Date IGST Paid(INR)_x000a_XXXXXXXXXXXXXX017  2017-07-20  245896 "/>
        <s v="GSTIN    -    07AXXXXXXXXE1ZC_x000a_Invoice Number Invoice Date IGST Paid(INR)_x000a_007  2017-09-15  90209 "/>
        <s v="GSTIN    -    07AXXXXXXXXQ1ZV_x000a_Invoice Number Invoice Date IGST Paid(INR)_x000a_XXXXXXXX017  2017-09-18  168374 "/>
        <s v="GSTIN    -    06BXXXXXXXXM1ZI_x000a_Invoice Number Invoice Date IGST Paid(INR)_x000a_32  2017-09-19  21793 "/>
        <s v="GSTIN    -    27AXXXXXXXXA1ZR_x000a_Invoice Number Invoice Date IGST Paid(INR)_x000a_X505  2017-09-14  43054 "/>
        <s v="GSTIN    -    06AXXXXXXXXK1ZT_x000a_Invoice Number Invoice Date IGST Paid(INR)_x000a_XXXXXXX-18  2017-09-11  57646 "/>
        <s v="GSTIN    -    07AXXXXXXXXM2ZO_x000a_Invoice Number Invoice Date IGST Paid(INR)_x000a_002  2017-09-18  35097 "/>
        <s v="GSTIN    -    03AXXXXXXXXQ1Z4_x000a_Invoice Number Invoice Date IGST Paid(INR)_x000a_XXXXXXXXX-18  2017-09-18  210622 "/>
        <s v="GSTIN    -    07BXXXXXXXXQ1Z9_x000a_Invoice Number Invoice Date IGST Paid(INR)_x000a_XXXXXXX163  2017-09-20  248932 "/>
        <s v="GSTIN    -    06AXXXXXXXXH1ZO_x000a_Invoice Number Invoice Date IGST Paid(INR)_x000a_XXXXXXXXXXXX-18  2017-09-13  114555 "/>
        <s v="GSTIN    -    26AXXXXXXXXN2Z5_x000a_Invoice Number Invoice Date IGST Paid(INR)_x000a_XXXXXXXXXXX-08  2017-08-12  66584 "/>
        <s v="GSTIN    -    07AXXXXXXXXB1ZR_x000a_Invoice Number Invoice Date IGST Paid(INR)_x000a_XXXXXXXXX-18  2017-09-20  229557 "/>
        <s v="GSTIN    -    09AXXXXXXXXP2ZF_x000a_Invoice Number Invoice Date IGST Paid(INR)_x000a_XXXXXXXXX/19  2017-09-20  33260 "/>
        <s v="GSTIN    -    07AXXXXXXXXB1ZR_x000a_Invoice Number Invoice Date IGST Paid(INR)_x000a_XXXXXXXX-18  2017-09-22  562831 "/>
        <s v="GSTIN    -    06AXXXXXXXXK1ZR_x000a_Invoice Number Invoice Date IGST Paid(INR)_x000a_XXXXXXXXXXXXXX-18  2017-09-21  56752 "/>
        <s v="GSTIN    -    06AXXXXXXXXK1ZR_x000a_Invoice Number Invoice Date IGST Paid(INR)_x000a_XXXXXXXXXXXXXX-18  2017-09-15  59806 "/>
        <s v="GSTIN    -    07AXXXXXXXXH1ZE_x000a_Invoice Number Invoice Date IGST Paid(INR)_x000a_XX-01  2017-09-25  81717 "/>
        <s v="GSTIN    -    07DXXXXXXXXB1Z5_x000a_Invoice Number Invoice Date IGST Paid(INR)_x000a_XXXXXXXXXXXX-18  2017-09-25  240648 "/>
        <s v="GSTIN    -    07DXXXXXXXXB1Z5_x000a_Invoice Number Invoice Date IGST Paid(INR)_x000a_XXXXXXXXXXXX-18  2017-09-25  248657 "/>
        <s v="GSTIN    -    07DXXXXXXXXB1Z5_x000a_Invoice Number Invoice Date IGST Paid(INR)_x000a_XXXXXXXXXXXX-18  2017-09-25  245188 "/>
        <s v="GSTIN    -    07AXXXXXXXXN1Z4_x000a_Invoice Number Invoice Date IGST Paid(INR)_x000a_XXXXXXXXXXXXX001  2017-09-12  36391 "/>
        <s v="GSTIN    -    06AXXXXXXXXQ1Z8_x000a_Invoice Number Invoice Date IGST Paid(INR)_x000a_XXXXXXXXXXX-18  2017-09-26  183793 "/>
        <s v="GSTIN    -    06AXXXXXXXXG1ZR_x000a_Invoice Number Invoice Date IGST Paid(INR)_x000a_XXXXXXX/07  2017-09-25  162289 "/>
        <s v="GSTIN    -    06AXXXXXXXXG1ZR_x000a_Invoice Number Invoice Date IGST Paid(INR)_x000a_XXXXXXX/08  2017-09-25  69552 "/>
        <s v="GSTIN    -    09AXXXXXXXXB1ZQ_x000a_Invoice Number Invoice Date IGST Paid(INR)_x000a_XXXXXXXXXXXXX/16  2017-09-23  131799 "/>
        <s v="GSTIN    -    27AXXXXXXXXR1ZF_x000a_Invoice Number Invoice Date IGST Paid(INR)_x000a_XXXXXXXXXXXX-18  2017-09-22  17820 "/>
        <s v="GSTIN    -    05AXXXXXXXXL3ZW_x000a_Invoice Number Invoice Date IGST Paid(INR)_x000a_XXXX228  2017-09-06  54545 "/>
        <s v="GSTIN    -    27AXXXXXXXXR1ZF_x000a_Invoice Number Invoice Date IGST Paid(INR)_x000a_XXXXXXXXXXXX-18  2017-09-22  70092 "/>
        <s v="GSTIN    -    27AXXXXXXXXR1ZF_x000a_Invoice Number Invoice Date IGST Paid(INR)_x000a_XXXXXXXXXXXX-18  2017-09-22  152148 "/>
        <s v="GSTIN    -    27AXXXXXXXXR1ZF_x000a_Invoice Number Invoice Date IGST Paid(INR)_x000a_XXXXXXXXXXXX-18  2017-09-19  35762 "/>
        <s v="GSTIN    -    06AXXXXXXXXM1ZZ_x000a_Invoice Number Invoice Date IGST Paid(INR)_x000a_053  2017-09-13  72054 "/>
        <s v="GSTIN    -    07AXXXXXXXXB1ZR_x000a_Invoice Number Invoice Date IGST Paid(INR)_x000a_XXXXXXXXX-18  2017-09-27  451879 "/>
        <s v="GSTIN    -    07AXXXXXXXXB1ZR_x000a_Invoice Number Invoice Date IGST Paid(INR)_x000a_XXXXXXXXX-18  2017-09-27  645045 "/>
        <s v="GSTIN    -    09BXXXXXXXXA1ZM_x000a_Invoice Number Invoice Date IGST Paid(INR)_x000a_XXXXXXXXXXXXX/17  2017-09-09  24308 _x000a_XXXXXXXXXXXXX/17  2017-09-09  22685 "/>
        <s v="GSTIN    -    07AXXXXXXXXL1ZI_x000a_Invoice Number Invoice Date IGST Paid(INR)_x000a_XXXXXXXXXXXX/34  2017-09-21  165469 "/>
        <s v="GSTIN    -    07AXXXXXXXXP2Z7_x000a_Invoice Number Invoice Date IGST Paid(INR)_x000a_XXXXXXX002  2017-10-03  165318 "/>
        <s v="GSTIN    -    06AXXXXXXXXQ1ZP_x000a_Invoice Number Invoice Date IGST Paid(INR)_x000a_XXXXXXXX/18  2017-09-28  65266 "/>
        <s v="GSTIN    -    08AXXXXXXXXM1ZV_x000a_Invoice Number Invoice Date IGST Paid(INR)_x000a_XXXXXXXXXXXXXX/18  2017-10-03  19275 "/>
        <s v="GSTIN    -    07AXXXXXXXXA1ZT_x000a_Invoice Number Invoice Date IGST Paid(INR)_x000a_XXXXXXXXXXXXXEXP  2017-10-05  214834 "/>
        <s v="GSTIN    -    09AXXXXXXXXA1Z1_x000a_Invoice Number Invoice Date IGST Paid(INR)_x000a_XXXXX4/B  2017-10-03  97398 "/>
        <s v="GSTIN    -    07AXXXXXXXXL1ZM_x000a_Invoice Number Invoice Date IGST Paid(INR)_x000a_XXXXXX/17  2017-10-04  171989 "/>
        <s v="GSTIN    -    07AXXXXXXXXJ1Z1_x000a_Invoice Number Invoice Date IGST Paid(INR)_x000a_XXXXXXXX/17  2017-10-03  9714 "/>
        <s v="GSTIN    -    06AXXXXXXXXB1ZO_x000a_Invoice Number Invoice Date IGST Paid(INR)_x000a_074  2017-10-05  57708 "/>
        <s v="GSTIN    -    07AXXXXXXXXB1ZM_x000a_Invoice Number Invoice Date IGST Paid(INR)_x000a_XXXXXXXXXX/07  2017-10-06  49303 "/>
        <s v="GSTIN    -    09AXXXXXXXXH1ZU_x000a_Invoice Number Invoice Date IGST Paid(INR)_x000a_XXXXXXXXXXXXX-18  2017-10-06  39351 "/>
        <s v="GSTIN    -    27AXXXXXXXXG1ZA_x000a_Invoice Number Invoice Date IGST Paid(INR)_x000a_XXXXXXXXXXXXX8/A  2017-10-06  40207 "/>
        <s v="GSTIN    -    07AXXXXXXXXP1Z3_x000a_Invoice Number Invoice Date IGST Paid(INR)_x000a_XXXXXXX012  2017-10-06  60167 "/>
        <s v="GSTIN    -    06AXXXXXXXXK1ZF_x000a_Invoice Number Invoice Date IGST Paid(INR)_x000a_XXXXXXXXXX-18  2017-10-06  367088 "/>
        <s v="GSTIN    -    07AXXXXXXXXL1ZH_x000a_Invoice Number Invoice Date IGST Paid(INR)_x000a_007  2017-10-07  25138 "/>
        <s v="GSTIN    -    07AXXXXXXXXK1ZE_x000a_Invoice Number Invoice Date IGST Paid(INR)_x000a_XXXXX8-A  2017-10-10  5771 "/>
        <s v="GSTIN    -    06AXXXXXXXXM1ZQ_x000a_Invoice Number Invoice Date IGST Paid(INR)_x000a_XXXXXX-18  2017-10-04  21744 "/>
        <s v="GSTIN    -    09AXXXXXXXXH1ZE_x000a_Invoice Number Invoice Date IGST Paid(INR)_x000a_XXXXXXXXXX113  2017-10-10  54671 "/>
        <s v="GSTIN    -    06AXXXXXXXXE1ZX_x000a_Invoice Number Invoice Date IGST Paid(INR)_x000a_XXXXXXXXX032  2017-10-11  195960 "/>
        <s v="GSTIN    -    06AXXXXXXXXN1Z9_x000a_Invoice Number Invoice Date IGST Paid(INR)_x000a_XXXXXXXX-18  2017-10-11  57636 "/>
        <s v="GSTIN    -    07AXXXXXXXXB1ZS_x000a_Invoice Number Invoice Date IGST Paid(INR)_x000a_XXXXXXX017  2017-10-09  87378 "/>
        <s v="GSTIN    -    20AXXXXXXXXE1ZX_x000a_Invoice Number Invoice Date IGST Paid(INR)_x000a_XXXXXXXXXXXXXX17-  2017-10-04  13503 "/>
        <s v="GSTIN    -    27AXXXXXXXXR1ZF_x000a_Invoice Number Invoice Date IGST Paid(INR)_x000a_XXXXXXXXXXXX-18  2017-10-06  63000 "/>
        <s v="GSTIN    -    06AXXXXXXXXD1ZC_x000a_Invoice Number Invoice Date IGST Paid(INR)_x000a_XXXXXXXXXX016  2017-10-16  36630 "/>
        <s v="GSTIN    -    07AXXXXXXXXE1ZT_x000a_Invoice Number Invoice Date IGST Paid(INR)_x000a_XXXXXXXXXX367  2017-10-17  833 _x000a_XXXXXXXXXX369  2017-10-17  7096 "/>
        <s v="GSTIN    -    07AXXXXXXXXK1ZR_x000a_Invoice Number Invoice Date IGST Paid(INR)_x000a_X212  2017-10-09  36249 "/>
        <s v="GSTIN    -    07AXXXXXXXXM1ZO_x000a_Invoice Number Invoice Date IGST Paid(INR)_x000a_XXXXXXXX-18  2017-10-14  89394 "/>
        <s v="GSTIN    -    09AXXXXXXXXF1ZG_x000a_Invoice Number Invoice Date IGST Paid(INR)_x000a_XXXXXXXXXXX-12  2017-10-04  34975 "/>
        <s v="GSTIN    -    07AXXXXXXXXP3ZI_x000a_Invoice Number Invoice Date IGST Paid(INR)_x000a_XXXXXXXXXXXXXX-18  2017-10-15  14927 "/>
        <s v="GSTIN    -    06AXXXXXXXXE1ZX_x000a_Invoice Number Invoice Date IGST Paid(INR)_x000a_XXXXXXXXXXXXXX/10  2017-10-23  878404 "/>
        <s v="GSTIN    -    07AXXXXXXXXK1ZW_x000a_Invoice Number Invoice Date IGST Paid(INR)_x000a_XXXXXXXXXXXXX146  2017-10-25  3925 "/>
        <s v="GSTIN    -    09AXXXXXXXXP2ZF_x000a_Invoice Number Invoice Date IGST Paid(INR)_x000a_XXXXXXXXX/22  2017-10-17  4296 "/>
        <s v="GSTIN    -    09AXXXXXXXXR1ZJ_x000a_Invoice Number Invoice Date IGST Paid(INR)_x000a_XXXXXXXXXXXXX001  2017-10-25  956079 "/>
        <s v="GSTIN    -    07AXXXXXXXXQ1ZX_x000a_Invoice Number Invoice Date IGST Paid(INR)_x000a_XXXXXXXXXXX-18  2017-09-25  29163 "/>
        <s v="GSTIN    -    06AXXXXXXXXE4ZU_x000a_Invoice Number Invoice Date IGST Paid(INR)_x000a_XXXXXXXXXXXXXX17-  2017-09-28  54045 "/>
        <s v="GSTIN    -    06AXXXXXXXXK1ZR_x000a_Invoice Number Invoice Date IGST Paid(INR)_x000a_XXXXXXXXXX718  2017-10-24  45882 "/>
        <s v="GSTIN    -    06AXXXXXXXXD1Z2_x000a_Invoice Number Invoice Date IGST Paid(INR)_x000a_XXXXXXXXXX263  2017-09-28  59984 "/>
        <s v="GSTIN    -    06AXXXXXXXXR1ZC_x000a_Invoice Number Invoice Date IGST Paid(INR)_x000a_XXX/02  2017-10-20  175500 "/>
        <s v="GSTIN    -    06AXXXXXXXXJ2ZR_x000a_Invoice Number Invoice Date IGST Paid(INR)_x000a_XXXXX-18  2017-09-20  45511 "/>
        <s v="GSTIN    -    27AXXXXXXXXR1ZF_x000a_Invoice Number Invoice Date IGST Paid(INR)_x000a_XXXXXXXXXXXXXX-18  2017-10-26  168000 "/>
        <s v="GSTIN    -    07AXXXXXXXXL1Z8_x000a_Invoice Number Invoice Date IGST Paid(INR)_x000a_XXXXXXXX001  2017-10-27  10914 "/>
        <s v="GSTIN    -    07AXXXXXXXXF1Z3_x000a_Invoice Number Invoice Date IGST Paid(INR)_x000a_XXXXXXXXX066  2017-10-10  35768 "/>
        <s v="GSTIN    -    07AXXXXXXXXF1Z3_x000a_Invoice Number Invoice Date IGST Paid(INR)_x000a_XXXXXXXXX068  2017-10-30  39496 "/>
        <s v="GSTIN    -    06AXXXXXXXXD1ZM_x000a_Invoice Number Invoice Date IGST Paid(INR)_x000a_XXXXXX/11  2017-10-27  61871 "/>
        <s v="GSTIN    -    06AXXXXXXXXK1ZR_x000a_Invoice Number Invoice Date IGST Paid(INR)_x000a_XXXXXXXXXX718  2017-11-02  17288 "/>
        <s v="GSTIN    -    19AXXXXXXXXC1ZW_x000a_Invoice Number Invoice Date IGST Paid(INR)_x000a_XXXXXXXXXXXX017  2017-10-31  194792 "/>
        <s v="GSTIN    -    03AXXXXXXXXN2Z7_x000a_Invoice Number Invoice Date IGST Paid(INR)_x000a_04  2017-11-02  198470 "/>
        <s v="GSTIN    -    06AXXXXXXXXC1ZC_x000a_Invoice Number Invoice Date IGST Paid(INR)_x000a_1  2017-10-26  25511 "/>
        <s v="GSTIN    -    06AXXXXXXXXD1Z0_x000a_Invoice Number Invoice Date IGST Paid(INR)_x000a_XXXXXXXXXXX-18  2017-11-02  22038 "/>
        <s v="GSTIN    -    07AXXXXXXXXH1Z8_x000a_Invoice Number Invoice Date IGST Paid(INR)_x000a_XXXXXXXX017  2017-11-06  92965 "/>
        <s v="GSTIN    -    06AXXXXXXXXN1ZN_x000a_Invoice Number Invoice Date IGST Paid(INR)_x000a_008  2017-10-28  251421 "/>
        <s v="GSTIN    -    09AXXXXXXXXJ1Z6_x000a_Invoice Number Invoice Date IGST Paid(INR)_x000a_XXXXXXXXXXX018  2017-11-06  251970 "/>
        <s v="GSTIN    -    07AXXXXXXXXN2Z8_x000a_Invoice Number Invoice Date IGST Paid(INR)_x000a_XXXXXX-18  2017-11-04  1073135 "/>
        <s v="GSTIN    -    09AXXXXXXXXF1ZF_x000a_Invoice Number Invoice Date IGST Paid(INR)_x000a_XXXXXXXXXXX-18  2017-10-24  483215 "/>
        <s v="GSTIN    -    07AXXXXXXXXD1Z2_x000a_Invoice Number Invoice Date IGST Paid(INR)_x000a_XXX004  2017-10-25  96124 "/>
        <s v="GSTIN    -    07AXXXXXXXXF1Z3_x000a_Invoice Number Invoice Date IGST Paid(INR)_x000a_XXXXXXXXX069  2017-10-11  11441 "/>
        <s v="GSTIN    -    07AXXXXXXXXH1ZA_x000a_Invoice Number Invoice Date IGST Paid(INR)_x000a_XXXXXXXXXXX-18  2017-11-03  46027 "/>
        <s v="GSTIN    -    07AXXXXXXXXP3ZI_x000a_Invoice Number Invoice Date IGST Paid(INR)_x000a_XXXXXXXXXXXXXX-18  2017-11-01  10363 "/>
        <s v="GSTIN    -    06AXXXXXXXXN1ZW_x000a_Invoice Number Invoice Date IGST Paid(INR)_x000a_XXXXXXXXXXX057  2017-11-07  30668 "/>
        <s v="GSTIN    -    07AXXXXXXXXE1ZD_x000a_Invoice Number Invoice Date IGST Paid(INR)_x000a_XXXXXXXXXXX018  2017-11-04  521924 "/>
        <s v="GSTIN    -    24AXXXXXXXXK1ZB_x000a_Invoice Number Invoice Date IGST Paid(INR)_x000a_XXXXXXXXXXXXXX-18  2017-11-15  86415 "/>
        <s v="GSTIN    -    27AXXXXXXXXG1ZA_x000a_Invoice Number Invoice Date IGST Paid(INR)_x000a_XXXXXXXXXXX-18  2017-11-11  1193 "/>
        <s v="GSTIN    -    06AXXXXXXXXF1ZQ_x000a_Invoice Number Invoice Date IGST Paid(INR)_x000a_XXXXXXXXX152  2017-11-09  8504 "/>
        <s v="GSTIN    -    06AXXXXXXXXF1ZQ_x000a_Invoice Number Invoice Date IGST Paid(INR)_x000a_XXXXXXXXX151  2017-11-09  296338 "/>
        <s v="GSTIN    -    07AXXXXXXXXP2Z7_x000a_Invoice Number Invoice Date IGST Paid(INR)_x000a_XXXXXXX003  2017-11-20  222797 "/>
        <s v="GSTIN    -    09AXXXXXXXXM1ZH_x000a_Invoice Number Invoice Date IGST Paid(INR)_x000a_002  2017-11-20  176472 "/>
        <s v="GSTIN    -    07AXXXXXXXXQ2ZD_x000a_Invoice Number Invoice Date IGST Paid(INR)_x000a_01  2017-11-21  5678 "/>
        <s v="GSTIN    -    03AXXXXXXXXJ1Z2_x000a_Invoice Number Invoice Date IGST Paid(INR)_x000a_XXXXXXXXXX018  2017-11-16  295102 "/>
        <s v="GSTIN    -    07AXXXXXXXXB1ZS_x000a_Invoice Number Invoice Date IGST Paid(INR)_x000a_XXXXXXX017  2017-10-22  99523 "/>
        <s v="GSTIN    -    07AXXXXXXXXA1ZH_x000a_Invoice Number Invoice Date IGST Paid(INR)_x000a_XXXXXXXXXXXXXX365  2017-11-02  65520 "/>
        <s v="GSTIN    -    07AXXXXXXXXP3ZI_x000a_Invoice Number Invoice Date IGST Paid(INR)_x000a_XXXXXXXXXXXXXX-18  2017-11-15  92061 "/>
        <s v="GSTIN    -    07AXXXXXXXXE1Z3_x000a_Invoice Number Invoice Date IGST Paid(INR)_x000a_XXXXXXXX-18  2017-11-14  187200 "/>
        <s v="GSTIN    -    06AXXXXXXXXG1ZC_x000a_Invoice Number Invoice Date IGST Paid(INR)_x000a_XXXXXXXXX/09  2017-11-22  13655 "/>
        <s v="GSTIN    -    06AXXXXXXXXD1Z8_x000a_Invoice Number Invoice Date IGST Paid(INR)_x000a_XXXXXXXXXXXXXX038  2017-11-22  803179 "/>
        <s v="GSTIN    -    07AXXXXXXXXA1Z1_x000a_Invoice Number Invoice Date IGST Paid(INR)_x000a_XXXXXXXXXXXXXX-18  2017-11-16  46512 "/>
        <s v="GSTIN    -    07AXXXXXXXXC1ZF_x000a_Invoice Number Invoice Date IGST Paid(INR)_x000a_X061  2017-11-22  2065 "/>
        <s v="GSTIN    -    06AXXXXXXXXE4ZU_x000a_Invoice Number Invoice Date IGST Paid(INR)_x000a_XXXXXXXXXXXXXX-18  2017-11-20  77361 "/>
        <s v="GSTIN    -    07AXXXXXXXXE1ZD_x000a_Invoice Number Invoice Date IGST Paid(INR)_x000a_XXXXXXXXXXX018  2017-11-27  226947 "/>
        <s v="GSTIN    -    07AXXXXXXXXL1Z4_x000a_Invoice Number Invoice Date IGST Paid(INR)_x000a_XXXXXXXXXXXXX425  2017-11-17  98557 "/>
        <s v="GSTIN    -    06AXXXXXXXXR2ZO_x000a_Invoice Number Invoice Date IGST Paid(INR)_x000a_XXXXXXXXXXXXX792  2017-11-28  69994 "/>
        <s v="GSTIN    -    07AXXXXXXXXN1ZH_x000a_Invoice Number Invoice Date IGST Paid(INR)_x000a_XXXXXXXXXXX-18  2017-11-15  42400 "/>
        <s v="GSTIN    -    06AXXXXXXXXE1ZC_x000a_Invoice Number Invoice Date IGST Paid(INR)_x000a_XXXXXXXXXXXXXO/1  2017-11-15  41472 "/>
        <s v="GSTIN    -    06AXXXXXXXXN1ZN_x000a_Invoice Number Invoice Date IGST Paid(INR)_x000a_010  2017-11-28  39231 "/>
        <s v="GSTIN    -    06AXXXXXXXXP1ZP_x000a_Invoice Number Invoice Date IGST Paid(INR)_x000a_XXXXXXXXXXXXXX134  2017-11-15  243493 "/>
        <s v="GSTIN    -    06AXXXXXXXXP1ZP_x000a_Invoice Number Invoice Date IGST Paid(INR)_x000a_XXXXXXXXXXXXXX133  2017-11-24  363971 "/>
        <s v="GSTIN    -    07AXXXXXXXXH1ZW_x000a_Invoice Number Invoice Date IGST Paid(INR)_x000a_XXXXXXE03  2017-11-28  112320 "/>
        <s v="GSTIN    -    06AXXXXXXXXC2Z2_x000a_Invoice Number Invoice Date IGST Paid(INR)_x000a_XXXXX025  2017-11-16  34481700 "/>
        <s v="GSTIN    -    02AXXXXXXXXR2Z6_x000a_Invoice Number Invoice Date IGST Paid(INR)_x000a_XXXXXXXXXXXXXX25/  2017-11-29  1841 "/>
        <s v="GSTIN    -    07AXXXXXXXXP3ZI_x000a_Invoice Number Invoice Date IGST Paid(INR)_x000a_XXXXXXXXXXXXXX-18  2017-11-19  10889 "/>
        <s v="GSTIN    -    07AXXXXXXXXP3ZI_x000a_Invoice Number Invoice Date IGST Paid(INR)_x000a_XXXXXXXXXXXXXX-18  2017-11-28  10369 "/>
        <s v="GSTIN    -    06AXXXXXXXXK1ZV_x000a_Invoice Number Invoice Date IGST Paid(INR)_x000a_XXXXXXXXXX216  2017-11-24  446822 "/>
        <s v="GSTIN    -    06AXXXXXXXXK1ZV_x000a_Invoice Number Invoice Date IGST Paid(INR)_x000a_XXXXXXXXXX215  2017-11-24  1787288 "/>
        <s v="GSTIN    -    07AXXXXXXXXK1Z2_x000a_Invoice Number Invoice Date IGST Paid(INR)_x000a_XXXXXXXXXX201  2017-11-25  108705 "/>
        <s v="GSTIN    -    07AXXXXXXXXF2ZV_x000a_Invoice Number Invoice Date IGST Paid(INR)_x000a_XXXXXXXXXXXXXXT36  2017-11-28  101578 "/>
        <s v="GSTIN    -    07DXXXXXXXXL1ZP_x000a_Invoice Number Invoice Date IGST Paid(INR)_x000a_XXXXXXXXXXXXXX-18  2017-11-29  64076 "/>
        <s v="GSTIN    -    07AXXXXXXXXH1ZD_x000a_Invoice Number Invoice Date IGST Paid(INR)_x000a_XXXXXXXXXXXXX018  2017-11-27  38804 "/>
        <s v="GSTIN    -    06AXXXXXXXXM1Z2_x000a_Invoice Number Invoice Date IGST Paid(INR)_x000a_XXXXXXXXX8RG  2017-11-27  6216 "/>
        <s v="GSTIN    -    06AXXXXXXXXM1Z2_x000a_Invoice Number Invoice Date IGST Paid(INR)_x000a_XXXXXXXXX8RG  2017-11-18  2327 "/>
        <s v="GSTIN    -    07AXXXXXXXXH1ZZ_x000a_Invoice Number Invoice Date IGST Paid(INR)_x000a_XXXXXXXX155  2017-11-10  86378 "/>
        <s v="GSTIN    -    06AXXXXXXXXM1Z2_x000a_Invoice Number Invoice Date IGST Paid(INR)_x000a_XXXXXXXXX8RG  2017-11-28  9066 "/>
        <s v="GSTIN    -    06AXXXXXXXXM1Z2_x000a_Invoice Number Invoice Date IGST Paid(INR)_x000a_XXXXXXXXX8RG  2017-11-29  4888 "/>
        <s v="GSTIN    -    04AXXXXXXXXF1ZC_x000a_Invoice Number Invoice Date IGST Paid(INR)_x000a_05  2017-12-02  1022 "/>
        <s v="GSTIN    -    07AXXXXXXXXB1ZS_x000a_Invoice Number Invoice Date IGST Paid(INR)_x000a_XXXXXXX017  2017-11-20  65433 "/>
        <s v="GSTIN    -    03AXXXXXXXXK1Z0_x000a_Invoice Number Invoice Date IGST Paid(INR)_x000a_665  2017-11-28  67868 "/>
        <s v="GSTIN    -    06AXXXXXXXXD1ZQ_x000a_Invoice Number Invoice Date IGST Paid(INR)_x000a_XXXXXXXXX056  2017-12-04  185491 "/>
        <s v="GSTIN    -    07AXXXXXXXXF1ZH_x000a_Invoice Number Invoice Date IGST Paid(INR)_x000a_XXXXXXXXXXXXXX7-1  2017-11-30  10297 "/>
        <s v="GSTIN    -    07AXXXXXXXXJ1Z1_x000a_Invoice Number Invoice Date IGST Paid(INR)_x000a_XXXXXXXX/17  2017-12-01  12744 "/>
        <s v="GSTIN    -    06AXXXXXXXXB1ZF_x000a_Invoice Number Invoice Date IGST Paid(INR)_x000a_108  2017-12-05  4158 "/>
        <s v="GSTIN    -    09AXXXXXXXXA1Z1_x000a_Invoice Number Invoice Date IGST Paid(INR)_x000a_XXXXX8/B  2017-11-30  274456 "/>
        <s v="GSTIN    -    07AXXXXXXXXF1ZU_x000a_Invoice Number Invoice Date IGST Paid(INR)_x000a_XXXXXXX067  2017-12-04  637916 "/>
        <s v="GSTIN    -    06AXXXXXXXXB1ZF_x000a_Invoice Number Invoice Date IGST Paid(INR)_x000a_109  2017-12-06  4158 "/>
        <s v="GSTIN    -    06AXXXXXXXXB1ZF_x000a_Invoice Number Invoice Date IGST Paid(INR)_x000a_110  2017-12-07  4158 "/>
        <s v="GSTIN    -    07AXXXXXXXXF1ZH_x000a_Invoice Number Invoice Date IGST Paid(INR)_x000a_XXXXXXXXXXXXXX7-1  2017-11-28  20224 "/>
        <s v="GSTIN    -    07AXXXXXXXXF1ZR_x000a_Invoice Number Invoice Date IGST Paid(INR)_x000a_XXXXXXXXXXXX153  2017-12-08  11466 "/>
        <s v="GSTIN    -    07AXXXXXXXXL1ZI_x000a_Invoice Number Invoice Date IGST Paid(INR)_x000a_XXXXXXXXXXXX/35  2017-12-11  166646 "/>
        <s v="GSTIN    -    07AXXXXXXXXF1ZU_x000a_Invoice Number Invoice Date IGST Paid(INR)_x000a_XXXXXXX068  2017-12-04  147025 "/>
        <s v="GSTIN    -    07AXXXXXXXXC1Z5_x000a_Invoice Number Invoice Date IGST Paid(INR)_x000a_XXXXXXX/17  2017-12-05  33903 "/>
        <s v="GSTIN    -    06AXXXXXXXXB1ZF_x000a_Invoice Number Invoice Date IGST Paid(INR)_x000a_111  2017-12-11  4158 "/>
        <s v="GSTIN    -    06AXXXXXXXXE1ZT_x000a_Invoice Number Invoice Date IGST Paid(INR)_x000a_XXXXX-18  2017-12-11  298404 "/>
        <s v="GSTIN    -    06AXXXXXXXXK1ZF_x000a_Invoice Number Invoice Date IGST Paid(INR)_x000a_XXXXXXXXXXX340  2017-12-07  189189 "/>
        <s v="GSTIN    -    07AXXXXXXXXM1ZF_x000a_Invoice Number Invoice Date IGST Paid(INR)_x000a_XXXXXXX-18  2017-12-07  3906 "/>
        <s v="GSTIN    -    06AXXXXXXXXD1Z2_x000a_Invoice Number Invoice Date IGST Paid(INR)_x000a_XXXXXXXXXX933  2017-12-07  160999 "/>
        <s v="GSTIN    -    07AXXXXXXXXE1ZD_x000a_Invoice Number Invoice Date IGST Paid(INR)_x000a_XXXXXXXXXXX018  2017-12-05  118001 "/>
        <s v="GSTIN    -    08AXXXXXXXXA1ZW_x000a_Invoice Number Invoice Date IGST Paid(INR)_x000a_XXXXXXXXXXX-18  2017-12-12  3220 "/>
        <s v="GSTIN    -    27AXXXXXXXXR1ZF_x000a_Invoice Number Invoice Date IGST Paid(INR)_x000a_XXXXXXXXXXXXXX718  2017-12-06  8950 "/>
        <s v="GSTIN    -    06AXXXXXXXXB1ZF_x000a_Invoice Number Invoice Date IGST Paid(INR)_x000a_112  2017-12-13  4158 "/>
        <s v="GSTIN    -    07AXXXXXXXXF1ZU_x000a_Invoice Number Invoice Date IGST Paid(INR)_x000a_XXXXXXX069  2017-12-11  307129 "/>
        <s v="GSTIN    -    29AXXXXXXXXJ1Z5_x000a_Invoice Number Invoice Date IGST Paid(INR)_x000a_XXXXXXXXXXX017  2017-11-17  74410 "/>
        <s v="GSTIN    -    06AXXXXXXXXM1ZZ_x000a_Invoice Number Invoice Date IGST Paid(INR)_x000a_070  2017-12-07  69371 "/>
        <s v="GSTIN    -    07DXXXXXXXXL1ZP_x000a_Invoice Number Invoice Date IGST Paid(INR)_x000a_XXXXXXXXXXXX-18  2017-12-15  79128 "/>
        <s v="GSTIN    -    03AXXXXXXXXE1ZC_x000a_Invoice Number Invoice Date IGST Paid(INR)_x000a_E53  2017-12-14  88028 "/>
        <s v="GSTIN    -    06AXXXXXXXXB1ZF_x000a_Invoice Number Invoice Date IGST Paid(INR)_x000a_113  2017-12-15  3753 "/>
        <s v="GSTIN    -    08AXXXXXXXXA1Z5_x000a_Invoice Number Invoice Date IGST Paid(INR)_x000a_X090  2017-10-31  2598 "/>
        <s v="GSTIN    -    27AXXXXXXXXG1ZZ_x000a_Invoice Number Invoice Date IGST Paid(INR)_x000a_XXXXXXXXXXXXXX-18  2017-11-30  67946 "/>
        <s v="GSTIN    -    07AXXXXXXXXB1ZS_x000a_Invoice Number Invoice Date IGST Paid(INR)_x000a_XXXXXXX017  2017-12-08  89111 "/>
        <s v="GSTIN    -    07AXXXXXXXXB1ZS_x000a_Invoice Number Invoice Date IGST Paid(INR)_x000a_XXXXXXX017  2017-12-15  65112 "/>
        <s v="GSTIN    -    02AXXXXXXXXK1ZJ_x000a_Invoice Number Invoice Date IGST Paid(INR)_x000a_XXXXXXXXXXXXXX-18  2017-12-16  94893 "/>
        <s v="GSTIN    -    07AXXXXXXXXF1ZU_x000a_Invoice Number Invoice Date IGST Paid(INR)_x000a_XXXXXXX070  2017-12-14  133827 "/>
        <s v="GSTIN    -    06AXXXXXXXXB1ZF_x000a_Invoice Number Invoice Date IGST Paid(INR)_x000a_114  2017-12-18  3753 "/>
        <s v="GSTIN    -    07AXXXXXXXXB1ZE_x000a_Invoice Number Invoice Date IGST Paid(INR)_x000a_XXXMA8  2017-12-12  17084 "/>
        <s v="GSTIN    -    06AXXXXXXXXC2Z2_x000a_Invoice Number Invoice Date IGST Paid(INR)_x000a_XXXXX028  2017-12-14  50771448 "/>
        <s v="GSTIN    -    06AXXXXXXXXJ1ZI_x000a_Invoice Number Invoice Date IGST Paid(INR)_x000a_XXXXXXXXXXXXX762  2017-12-16  11970 "/>
        <s v="GSTIN    -    06AXXXXXXXXJ1ZK_x000a_Invoice Number Invoice Date IGST Paid(INR)_x000a_16  2017-12-20  25223 "/>
        <s v="GSTIN    -    08AXXXXXXXXD1ZM_x000a_Invoice Number Invoice Date IGST Paid(INR)_x000a_XXXXXXX646  2017-12-21  471806 "/>
        <s v="GSTIN    -    06AXXXXXXXXB1ZF_x000a_Invoice Number Invoice Date IGST Paid(INR)_x000a_115  2017-12-20  3753 "/>
        <s v="GSTIN    -    07AXXXXXXXXB1ZR_x000a_Invoice Number Invoice Date IGST Paid(INR)_x000a_XXXXXXXXX-18  2017-12-21  7550 "/>
        <s v="GSTIN    -    02AXXXXXXXXK1ZJ_x000a_Invoice Number Invoice Date IGST Paid(INR)_x000a_XXXXXXXXXXXXXX-18  2017-12-20  96086 "/>
        <s v="GSTIN    -    08AXXXXXXXXD1ZM_x000a_Invoice Number Invoice Date IGST Paid(INR)_x000a_XXXXXXX649  2017-12-21  426808 _x000a_XXXXXXX650  2017-12-21  44889 "/>
        <s v="GSTIN    -    06AXXXXXXXXG1ZP_x000a_Invoice Number Invoice Date IGST Paid(INR)_x000a_XXXXXXXXXXXXX164  2017-12-20  1522 "/>
        <s v="GSTIN    -    06AXXXXXXXXN1ZD_x000a_Invoice Number Invoice Date IGST Paid(INR)_x000a_XXX112  2017-12-11  6208 "/>
        <s v="GSTIN    -    06AXXXXXXXXB1ZF_x000a_Invoice Number Invoice Date IGST Paid(INR)_x000a_116  2017-12-25  3753 "/>
        <s v="GSTIN    -    07AXXXXXXXXK1ZR_x000a_Invoice Number Invoice Date IGST Paid(INR)_x000a_065  2017-12-23  287054 "/>
        <s v="GSTIN    -    07AXXXXXXXXB1ZR_x000a_Invoice Number Invoice Date IGST Paid(INR)_x000a_XXXXXXXXX-18  2017-12-22  14360 "/>
        <s v="GSTIN    -    02AXXXXXXXXK1ZJ_x000a_Invoice Number Invoice Date IGST Paid(INR)_x000a_XXXXXXXXXXXXXX-18  2017-12-23  77699 "/>
        <s v="GSTIN    -    07AXXXXXXXXK1Z5_x000a_Invoice Number Invoice Date IGST Paid(INR)_x000a_XXXXXXXXXXXXXX-18  2017-12-25  238078 "/>
        <s v="GSTIN    -    08AXXXXXXXXA1ZT_x000a_Invoice Number Invoice Date IGST Paid(INR)_x000a_XXX/02  2017-12-26  99422 "/>
        <s v="GSTIN    -    06AXXXXXXXXB1ZF_x000a_Invoice Number Invoice Date IGST Paid(INR)_x000a_117  2017-12-26  4081 "/>
        <s v="GSTIN    -    07AXXXXXXXXP1Z3_x000a_Invoice Number Invoice Date IGST Paid(INR)_x000a_X021  2017-12-14  32148 _x000a_X022  2017-12-14  27327 _x000a_X023  2017-12-14  29400 "/>
        <s v="GSTIN    -    03AXXXXXXXXP1ZA_x000a_Invoice Number Invoice Date IGST Paid(INR)_x000a_XXXX937  2017-12-19  11723 "/>
        <s v="GSTIN    -    07AXXXXXXXXB1ZR_x000a_Invoice Number Invoice Date IGST Paid(INR)_x000a_XXXXXXXXX-18  2017-12-27  4829 "/>
        <s v="GSTIN    -    07AXXXXXXXXB1ZR_x000a_Invoice Number Invoice Date IGST Paid(INR)_x000a_XXXXXXXXX-18  2017-12-27  11114 "/>
        <s v="GSTIN    -    06AXXXXXXXXB1ZF_x000a_Invoice Number Invoice Date IGST Paid(INR)_x000a_118  2017-12-27  3647 "/>
        <s v="GSTIN    -    07AXXXXXXXXF1ZU_x000a_Invoice Number Invoice Date IGST Paid(INR)_x000a_XXXXXXX072  2017-12-26  727153 "/>
        <s v="GSTIN    -    08AXXXXXXXXD1ZM_x000a_Invoice Number Invoice Date IGST Paid(INR)_x000a_XXXXXXX687  2017-12-28  233780 "/>
        <s v="GSTIN    -    06AXXXXXXXXB1ZF_x000a_Invoice Number Invoice Date IGST Paid(INR)_x000a_119  2017-12-28  4082 "/>
        <s v="GSTIN    -    02AXXXXXXXXK1ZJ_x000a_Invoice Number Invoice Date IGST Paid(INR)_x000a_XXXXXXXXXXXXXX-18  2017-12-28  84175 "/>
        <s v="GSTIN    -    08AXXXXXXXXD1ZM_x000a_Invoice Number Invoice Date IGST Paid(INR)_x000a_XXXXXXX697  2017-12-29  22519 "/>
        <s v="GSTIN    -    07AXXXXXXXXJ1Z1_x000a_Invoice Number Invoice Date IGST Paid(INR)_x000a_XXXXXXXX/17  2017-12-28  1137 "/>
        <s v="GSTIN    -    06AXXXXXXXXR1Z3_x000a_Invoice Number Invoice Date IGST Paid(INR)_x000a_XXXXXXXXXXXXXXOL-  2017-12-29  15380 "/>
        <s v="GSTIN    -    07AXXXXXXXXB1ZR_x000a_Invoice Number Invoice Date IGST Paid(INR)_x000a_XXXXXXXXX-18  2017-12-30  5530 "/>
        <s v="GSTIN    -    07AXXXXXXXXB1ZR_x000a_Invoice Number Invoice Date IGST Paid(INR)_x000a_XXXXXXXXX-18  2017-12-27  4250 "/>
      </sharedItems>
    </cacheField>
    <cacheField name="Gateway_Extracted" numFmtId="0">
      <sharedItems count="4">
        <s v="INMUN1"/>
        <s v="INNSA1"/>
        <s v=""/>
        <s v="INPAV1"/>
      </sharedItems>
    </cacheField>
    <cacheField name="Gateway_clean" numFmtId="0">
      <sharedItems/>
    </cacheField>
    <cacheField name="Gateway" numFmtId="0">
      <sharedItems count="252">
        <s v="AWB No. Gateway Port Gateway EGM No. Gateway EGM Date Gateway Site ID Error Code_x000a_N.A.  INMUN1  137976  2017-11-01 00:00:00.0  INMUN1  S "/>
        <s v="AWB No. Gateway Port Gateway EGM No. Gateway EGM Date Gateway Site ID Error Code_x000a_N.A.  INMUN1  131465  2017-07-14 00:00:00.0  INMUN1  S "/>
        <s v="AWB No. Gateway Port Gateway EGM No. Gateway EGM Date Gateway Site ID Error Code_x000a_N.A.  INNSA1  N.A.  N.A.  N.A.  N.A. "/>
        <s v="AWB No. Gateway Port Gateway EGM No. Gateway EGM Date Gateway Site ID Error Code_x000a_N.A.  INNSA1  132025  2017-07-24 00:00:00.0  INNSA1  S "/>
        <s v="AWB No. Gateway Port Gateway EGM No. Gateway EGM Date Gateway Site ID Error Code_x000a_N.A.  INMUN1  132702  2017-08-04 00:00:00.0  INMUN1  S "/>
        <s v="AWB No. Gateway Port Gateway EGM No. Gateway EGM Date Gateway Site ID Error Code_x000a_N.A.  INMUN1  134053  2017-08-28 00:00:00.0  INMUN1  ST "/>
        <s v="AWB No. Gateway Port Gateway EGM No. Gateway EGM Date Gateway Site ID Error Code_x000a_N.A.  INNSA1  131685  2017-07-18 00:00:00.0  INNSA1  S "/>
        <s v="AWB No. Gateway Port Gateway EGM No. Gateway EGM Date Gateway Site ID Error Code_x000a_N.A.  INNSA1  132629  2017-08-03 00:00:00.0  INNSA1  S "/>
        <s v="AWB No. Gateway Port Gateway EGM No. Gateway EGM Date Gateway Site ID Error Code_x000a_N.A.  INNSA1  132146  2017-07-26 00:00:00.0  INNSA1  S "/>
        <s v="AWB No. Gateway Port Gateway EGM No. Gateway EGM Date Gateway Site ID Error Code_x000a_N.A.  INNSA1  132431  2017-07-31 00:00:00.0  INNSA1  S "/>
        <s v="AWB No. Gateway Port Gateway EGM No. Gateway EGM Date Gateway Site ID Error Code_x000a_N.A.  INMUN1  134637  2017-09-06 00:00:00.0  INMUN1  S "/>
        <s v="AWB No. Gateway Port Gateway EGM No. Gateway EGM Date Gateway Site ID Error Code_x000a_N.A.  INNSA1  133033  2017-08-10 00:00:00.0  INNSA1  C "/>
        <s v="Please Wait...."/>
        <s v="AWB No. Gateway Port Gateway EGM No. Gateway EGM Date Gateway Site ID Error Code_x000a_N.A.  INNSA1  169501  2019-03-29 00:00:00.0  INNSA1  S "/>
        <s v="AWB No. Gateway Port Gateway EGM No. Gateway EGM Date Gateway Site ID Error Code_x000a_N.A.  INNSA1  132812  2017-08-07 00:00:00.0  INNSA1  C "/>
        <s v="AWB No. Gateway Port Gateway EGM No. Gateway EGM Date Gateway Site ID Error Code_x000a_N.A.  INPAV1  132210  2017-07-26 00:00:00.0  INPAV1  S "/>
        <s v="AWB No. Gateway Port Gateway EGM No. Gateway EGM Date Gateway Site ID Error Code_x000a_N.A.  INNSA1  132737  2017-08-04 00:00:00.0  INNSA1  S "/>
        <s v="AWB No. Gateway Port Gateway EGM No. Gateway EGM Date Gateway Site ID Error Code_x000a_N.A.  INNSA1  132731  2017-08-04 00:00:00.0  INNSA1  S "/>
        <s v="AWB No. Gateway Port Gateway EGM No. Gateway EGM Date Gateway Site ID Error Code_x000a_N.A.  INNSA1  133243  2017-08-14 00:00:00.0  INNSA1  C "/>
        <s v="AWB No. Gateway Port Gateway EGM No. Gateway EGM Date Gateway Site ID Error Code_x000a_N.A.  INMUN1  134015  2017-08-28 00:00:00.0  INMUN1  S "/>
        <s v="AWB No. Gateway Port Gateway EGM No. Gateway EGM Date Gateway Site ID Error Code_x000a_N.A.  INNSA1  132481  2017-07-31 00:00:00.0  INNSA1  C "/>
        <s v="AWB No. Gateway Port Gateway EGM No. Gateway EGM Date Gateway Site ID Error Code_x000a_N.A.  INNSA1  133033  2017-08-10 00:00:00.0  INNSA1  S "/>
        <s v="AWB No. Gateway Port Gateway EGM No. Gateway EGM Date Gateway Site ID Error Code_x000a_N.A.  INNSA1  132991  2017-08-09 00:00:00.0  INNSA1  S "/>
        <s v="AWB No. Gateway Port Gateway EGM No. Gateway EGM Date Gateway Site ID Error Code_x000a_N.A.  INPAV1  132205  2017-07-26 00:00:00.0  INPAV1  S "/>
        <s v="AWB No. Gateway Port Gateway EGM No. Gateway EGM Date Gateway Site ID Error Code_x000a_N.A.  INMUN1  160432  2018-10-31 00:00:00.0  INMUN1  S "/>
        <s v="AWB No. Gateway Port Gateway EGM No. Gateway EGM Date Gateway Site ID Error Code_x000a_N.A.  INNSA1  132332  2017-07-28 00:00:00.0  INNSA1  S "/>
        <s v="AWB No. Gateway Port Gateway EGM No. Gateway EGM Date Gateway Site ID Error Code_x000a_N.A.  INPAV1  133808  2017-08-24 00:00:00.0  INPAV1  S "/>
        <s v="AWB No. Gateway Port Gateway EGM No. Gateway EGM Date Gateway Site ID Error Code_x000a_N.A.  INMUN1  133184  2017-08-11 00:00:00.0  INMUN1  S "/>
        <s v="AWB No. Gateway Port Gateway EGM No. Gateway EGM Date Gateway Site ID Error Code_x000a_N.A.  INMUN1  133567  2017-08-18 00:00:00.0  INMUN1  S "/>
        <s v="AWB No. Gateway Port Gateway EGM No. Gateway EGM Date Gateway Site ID Error Code_x000a_N.A.  INMUN1  137180  2017-10-18 00:00:00.0  INMUN1  ST "/>
        <s v="AWB No. Gateway Port Gateway EGM No. Gateway EGM Date Gateway Site ID Error Code_x000a_N.A.  INMUN1  133566  2017-08-18 00:00:00.0  INMUN1  S "/>
        <s v="AWB No. Gateway Port Gateway EGM No. Gateway EGM Date Gateway Site ID Error Code_x000a_N.A.  INNSA1  132938  2017-08-09 00:00:00.0  INNSA1  S "/>
        <s v="AWB No. Gateway Port Gateway EGM No. Gateway EGM Date Gateway Site ID Error Code_x000a_N.A.  INMUN1  134053  2017-08-28 00:00:00.0  INMUN1  S "/>
        <s v="No Record found"/>
        <s v="AWB No. Gateway Port Gateway EGM No. Gateway EGM Date Gateway Site ID Error Code_x000a_N.A.  INMUN1  N.A.  N.A.  N.A.  N.A. "/>
        <s v="AWB No. Gateway Port Gateway EGM No. Gateway EGM Date Gateway Site ID Error Code_x000a_N.A.  INMUN1  134209  2017-08-30 00:00:00.0  INMUN1  NC "/>
        <s v="AWB No. Gateway Port Gateway EGM No. Gateway EGM Date Gateway Site ID Error Code_x000a_N.A.  INNSA1  133227  2017-08-14 00:00:00.0  INNSA1  S "/>
        <s v="AWB No. Gateway Port Gateway EGM No. Gateway EGM Date Gateway Site ID Error Code_x000a_N.A.  INMUN1  134147  2017-08-29 00:00:00.0  INMUN1  S "/>
        <s v="AWB No. Gateway Port Gateway EGM No. Gateway EGM Date Gateway Site ID Error Code_x000a_N.A.  INMUN1  134794  2017-09-08 00:00:00.0  INMUN1  S "/>
        <s v="AWB No. Gateway Port Gateway EGM No. Gateway EGM Date Gateway Site ID Error Code_x000a_N.A.  INPAV1  133387  2017-08-16 00:00:00.0  INPAV1  S "/>
        <s v="AWB No. Gateway Port Gateway EGM No. Gateway EGM Date Gateway Site ID Error Code_x000a_N.A.  INNSA1  133031  2017-08-10 00:00:00.0  INNSA1  S "/>
        <s v="AWB No. Gateway Port Gateway EGM No. Gateway EGM Date Gateway Site ID Error Code_x000a_N.A.  INPAV1  132215  2017-07-26 00:00:00.0  INPAV1  S "/>
        <s v="AWB No. Gateway Port Gateway EGM No. Gateway EGM Date Gateway Site ID Error Code_x000a_N.A.  INNSA1  134040  2017-08-28 00:00:00.0  INNSA1  S "/>
        <s v="AWB No. Gateway Port Gateway EGM No. Gateway EGM Date Gateway Site ID Error Code_x000a_N.A.  INNSA1  133314  2017-08-16 00:00:00.0  INNSA1  S "/>
        <s v="AWB No. Gateway Port Gateway EGM No. Gateway EGM Date Gateway Site ID Error Code_x000a_N.A.  INMUN1  134051  2017-08-28 00:00:00.0  INMUN1  S "/>
        <s v="AWB No. Gateway Port Gateway EGM No. Gateway EGM Date Gateway Site ID Error Code_x000a_N.A.  INNSA1  134474  2017-09-04 00:00:00.0  INNSA1  C "/>
        <s v="AWB No. Gateway Port Gateway EGM No. Gateway EGM Date Gateway Site ID Error Code_x000a_N.A.  INNSA1  134681  2017-09-07 00:00:00.0  INNSA1  S "/>
        <s v="AWB No. Gateway Port Gateway EGM No. Gateway EGM Date Gateway Site ID Error Code_x000a_N.A.  INMUN1  133949  2017-08-26 00:00:00.0  INMUN1  S "/>
        <s v="AWB No. Gateway Port Gateway EGM No. Gateway EGM Date Gateway Site ID Error Code_x000a_N.A.  INNSA1  133604  2017-08-19 00:00:00.0  INNSA1  S "/>
        <s v="AWB No. Gateway Port Gateway EGM No. Gateway EGM Date Gateway Site ID Error Code_x000a_N.A.  INNSA1  133611  2017-08-21 00:00:00.0  INNSA1  S "/>
        <s v="AWB No. Gateway Port Gateway EGM No. Gateway EGM Date Gateway Site ID Error Code_x000a_N.A.  INPAV1  131777  2017-07-19 00:00:00.0  INPAV1  L "/>
        <s v="AWB No. Gateway Port Gateway EGM No. Gateway EGM Date Gateway Site ID Error Code_x000a_N.A.  INNSA1  134462  2017-09-04 00:00:00.0  INNSA1  S "/>
        <s v="AWB No. Gateway Port Gateway EGM No. Gateway EGM Date Gateway Site ID Error Code_x000a_N.A.  INMUN1  134134  2017-08-29 00:00:00.0  INMUN1  S "/>
        <s v="AWB No. Gateway Port Gateway EGM No. Gateway EGM Date Gateway Site ID Error Code_x000a_N.A.  INMUN1  134209  2017-08-30 00:00:00.0  INMUN1  S "/>
        <s v="AWB No. Gateway Port Gateway EGM No. Gateway EGM Date Gateway Site ID Error Code_x000a_N.A.  INNSA1  133453  2017-08-17 00:00:00.0  INNSA1  S "/>
        <s v="AWB No. Gateway Port Gateway EGM No. Gateway EGM Date Gateway Site ID Error Code_x000a_N.A.  INMUN1  134487  2017-09-04 00:00:00.0  INMUN1  S "/>
        <s v="AWB No. Gateway Port Gateway EGM No. Gateway EGM Date Gateway Site ID Error Code_x000a_N.A.  INMUN1  133789  2017-08-23 00:00:00.0  INMUN1  S "/>
        <s v="AWB No. Gateway Port Gateway EGM No. Gateway EGM Date Gateway Site ID Error Code_x000a_N.A.  INNSA1  134167  2017-08-29 00:00:00.0  INNSA1  S "/>
        <s v="AWB No. Gateway Port Gateway EGM No. Gateway EGM Date Gateway Site ID Error Code_x000a_N.A.  INMUN1  135378  2017-09-19 00:00:00.0  INMUN1  S "/>
        <s v="AWB No. Gateway Port Gateway EGM No. Gateway EGM Date Gateway Site ID Error Code_x000a_N.A.  INPAV1  134074  2017-08-28 00:00:00.0  INPAV1  S "/>
        <s v="AWB No. Gateway Port Gateway EGM No. Gateway EGM Date Gateway Site ID Error Code_x000a_N.A.  INMUN1  140358  2017-12-08 00:00:00.0  INMUN1  ST "/>
        <s v="AWB No. Gateway Port Gateway EGM No. Gateway EGM Date Gateway Site ID Error Code_x000a_N.A.  INMUN1  134796  2017-09-08 00:00:00.0  INMUN1  S "/>
        <s v="AWB No. Gateway Port Gateway EGM No. Gateway EGM Date Gateway Site ID Error Code_x000a_N.A.  INMUN1  134795  2017-09-08 00:00:00.0  INMUN1  S "/>
        <s v="AWB No. Gateway Port Gateway EGM No. Gateway EGM Date Gateway Site ID Error Code_x000a_N.A.  INPAV1  132218  2017-07-26 00:00:00.0  INPAV1  S "/>
        <s v="AWB No. Gateway Port Gateway EGM No. Gateway EGM Date Gateway Site ID Error Code_x000a_N.A.  INPAV1  134066  2017-08-28 00:00:00.0  INPAV1  S "/>
        <s v="AWB No. Gateway Port Gateway EGM No. Gateway EGM Date Gateway Site ID Error Code_x000a_N.A.  INMUN1  134406  2017-09-01 00:00:00.0  INMUN1  S "/>
        <s v="AWB No. Gateway Port Gateway EGM No. Gateway EGM Date Gateway Site ID Error Code_x000a_N.A.  INMUN1  134923  2017-09-12 00:00:00.0  INMUN1  S "/>
        <s v="AWB No. Gateway Port Gateway EGM No. Gateway EGM Date Gateway Site ID Error Code_x000a_N.A.  INMUN1  132131  2017-07-25 00:00:00.0  INMUN1  S "/>
        <s v="AWB No. Gateway Port Gateway EGM No. Gateway EGM Date Gateway Site ID Error Code_x000a_N.A.  INNSA1  133327  2017-08-16 00:00:00.0  INNSA1  S "/>
        <s v="AWB No. Gateway Port Gateway EGM No. Gateway EGM Date Gateway Site ID Error Code_x000a_N.A.  INNSA1  135507  2017-09-21 00:00:00.0  INNSA1  S "/>
        <s v="AWB No. Gateway Port Gateway EGM No. Gateway EGM Date Gateway Site ID Error Code_x000a_N.A.  INPAV1  134495  2017-09-04 00:00:00.0  INPAV1  S "/>
        <s v="AWB No. Gateway Port Gateway EGM No. Gateway EGM Date Gateway Site ID Error Code_x000a_N.A.  INMUN1  134870  2017-09-11 00:00:00.0  INMUN1  S "/>
        <s v="AWB No. Gateway Port Gateway EGM No. Gateway EGM Date Gateway Site ID Error Code_x000a_N.A.  INPAV1  134667  2017-09-07 00:00:00.0  INMAA1  MC "/>
        <s v="AWB No. Gateway Port Gateway EGM No. Gateway EGM Date Gateway Site ID Error Code_x000a_N.A.  INNSA1  137304  2017-10-23 00:00:00.0  INNSA1  S "/>
        <s v="AWB No. Gateway Port Gateway EGM No. Gateway EGM Date Gateway Site ID Error Code_x000a_N.A.  INNSA1  134500  2017-09-04 00:00:00.0  INNSA1  STC "/>
        <s v="AWB No. Gateway Port Gateway EGM No. Gateway EGM Date Gateway Site ID Error Code_x000a_N.A.  INMUN1  133179  2017-08-11 00:00:00.0  INMUN1  S "/>
        <s v="AWB No. Gateway Port Gateway EGM No. Gateway EGM Date Gateway Site ID Error Code_x000a_N.A.  INMUN1  137035  2017-10-16 00:00:00.0  INMUN1  S "/>
        <s v="AWB No. Gateway Port Gateway EGM No. Gateway EGM Date Gateway Site ID Error Code_x000a_N.A.  INMUN1  134793  2017-09-08 00:00:00.0  INMUN1  C "/>
        <s v="AWB No. Gateway Port Gateway EGM No. Gateway EGM Date Gateway Site ID Error Code_x000a_N.A.  INNSA1  134260  2017-08-31 00:00:00.0  INNSA1  S "/>
        <s v="AWB No. Gateway Port Gateway EGM No. Gateway EGM Date Gateway Site ID Error Code_x000a_N.A.  INMUN1  135448  2017-09-20 00:00:00.0  INMUN1  S "/>
        <s v="AWB No. Gateway Port Gateway EGM No. Gateway EGM Date Gateway Site ID Error Code_x000a_N.A.  INPAV1  134057  2017-08-28 00:00:00.0  INPAV1  S "/>
        <s v="AWB No. Gateway Port Gateway EGM No. Gateway EGM Date Gateway Site ID Error Code_x000a_N.A.  INNSA1  135068  2017-09-14 00:00:00.0  INNSA1  S "/>
        <s v="AWB No. Gateway Port Gateway EGM No. Gateway EGM Date Gateway Site ID Error Code_x000a_N.A.  INNSA1  134474  2017-09-04 00:00:00.0  INNSA1  S "/>
        <s v="AWB No. Gateway Port Gateway EGM No. Gateway EGM Date Gateway Site ID Error Code_x000a_N.A.  INMUN1  135390  2017-09-19 00:00:00.0  INMUN1  S "/>
        <s v="AWB No. Gateway Port Gateway EGM No. Gateway EGM Date Gateway Site ID Error Code_x000a_N.A.  INNSA1  134875  2017-09-11 00:00:00.0  INNSA1  S "/>
        <s v="AWB No. Gateway Port Gateway EGM No. Gateway EGM Date Gateway Site ID Error Code_x000a_N.A.  INNSA1  134549  2017-09-05 00:00:00.0  INNSA1  S "/>
        <s v="AWB No. Gateway Port Gateway EGM No. Gateway EGM Date Gateway Site ID Error Code_x000a_N.A.  INNSA1  135239  2017-09-18 00:00:00.0  INNSA1  S "/>
        <s v="AWB No. Gateway Port Gateway EGM No. Gateway EGM Date Gateway Site ID Error Code_x000a_N.A.  INMUN1  135462  2017-09-20 00:00:00.0  INMUN1  S "/>
        <s v="AWB No. Gateway Port Gateway EGM No. Gateway EGM Date Gateway Site ID Error Code_x000a_N.A.  INNSA1  134930  2017-09-12 00:00:00.0  INNSA1  C "/>
        <s v="AWB No. Gateway Port Gateway EGM No. Gateway EGM Date Gateway Site ID Error Code_x000a_N.A.  INMUN1  135461  2017-09-20 00:00:00.0  INMUN1  S "/>
        <s v="AWB No. Gateway Port Gateway EGM No. Gateway EGM Date Gateway Site ID Error Code_x000a_N.A.  INNSA1  134711  2017-09-07 00:00:00.0  INNSA1  ST "/>
        <s v="AWB No. Gateway Port Gateway EGM No. Gateway EGM Date Gateway Site ID Error Code_x000a_N.A.  INNSA1  135192  2017-09-15 00:00:00.0  INNSA1  S "/>
        <s v="AWB No. Gateway Port Gateway EGM No. Gateway EGM Date Gateway Site ID Error Code_x000a_N.A.  INNSA1  135086  2017-09-14 00:00:00.0  INNSA1  S "/>
        <s v="AWB No. Gateway Port Gateway EGM No. Gateway EGM Date Gateway Site ID Error Code_x000a_N.A.  INNSA1  134938  2017-09-12 00:00:00.0  INNSA1  S "/>
        <s v="AWB No. Gateway Port Gateway EGM No. Gateway EGM Date Gateway Site ID Error Code_x000a_N.A.  INNSA1  134766  2017-09-08 00:00:00.0  INNSA1  S "/>
        <s v="AWB No. Gateway Port Gateway EGM No. Gateway EGM Date Gateway Site ID Error Code_x000a_N.A.  INNSA1  135065  2017-09-14 00:00:00.0  INNSA1  S "/>
        <s v="AWB No. Gateway Port Gateway EGM No. Gateway EGM Date Gateway Site ID Error Code_x000a_N.A.  INMUN1  135995  2017-09-28 00:00:00.0  INMUN1  S "/>
        <s v="AWB No. Gateway Port Gateway EGM No. Gateway EGM Date Gateway Site ID Error Code_x000a_N.A.  INPAV1  134063  2017-08-28 00:00:00.0  INPAV1  S "/>
        <s v="AWB No. Gateway Port Gateway EGM No. Gateway EGM Date Gateway Site ID Error Code_x000a_N.A.  INMUN1  134211  2017-08-30 00:00:00.0  INMUN1  S "/>
        <s v="AWB No. Gateway Port Gateway EGM No. Gateway EGM Date Gateway Site ID Error Code_x000a_N.A.  INMUN1  134919  2017-09-12 00:00:00.0  INMUN1  S "/>
        <s v="AWB No. Gateway Port Gateway EGM No. Gateway EGM Date Gateway Site ID Error Code_x000a_N.A.  INNSA1  135503  2017-09-21 00:00:00.0  INNSA1  C "/>
        <s v="AWB No. Gateway Port Gateway EGM No. Gateway EGM Date Gateway Site ID Error Code_x000a_N.A.  INNSA1  135603  2017-09-22 00:00:00.0  INNSA1  S "/>
        <s v="AWB No. Gateway Port Gateway EGM No. Gateway EGM Date Gateway Site ID Error Code_x000a_N.A.  INMUN1  148326  2018-04-13 00:00:00.0  INMUN1  S "/>
        <s v="AWB No. Gateway Port Gateway EGM No. Gateway EGM Date Gateway Site ID Error Code_x000a_N.A.  INNSA1  135349  2017-09-19 00:00:00.0  INNSA1  C "/>
        <s v="AWB No. Gateway Port Gateway EGM No. Gateway EGM Date Gateway Site ID Error Code_x000a_N.A.  INMUN1  135887  2017-09-27 00:00:00.0  INMUN1  S "/>
        <s v="AWB No. Gateway Port Gateway EGM No. Gateway EGM Date Gateway Site ID Error Code_x000a_N.A.  INMUN1  136169  2017-10-03 00:00:00.0  INMUN1  S "/>
        <s v="AWB No. Gateway Port Gateway EGM No. Gateway EGM Date Gateway Site ID Error Code_x000a_N.A.  INNSA1  134741  2017-09-08 00:00:00.0  INNSA1  S "/>
        <s v="AWB No. Gateway Port Gateway EGM No. Gateway EGM Date Gateway Site ID Error Code_x000a_N.A.  INNSA1  136236  2017-10-04 00:00:00.0  INNSA1  C "/>
        <s v="AWB No. Gateway Port Gateway EGM No. Gateway EGM Date Gateway Site ID Error Code_x000a_N.A.  INMUN1  136501  2017-10-08 00:00:00.0  INMUN1  S "/>
        <s v="AWB No. Gateway Port Gateway EGM No. Gateway EGM Date Gateway Site ID Error Code_x000a_N.A.  INNSA1  136144  2017-10-03 00:00:00.0  INNSA1  C "/>
        <s v="AWB No. Gateway Port Gateway EGM No. Gateway EGM Date Gateway Site ID Error Code_x000a_N.A.  INNSA1  135731  2017-09-25 00:00:00.0  INNSA1  S "/>
        <s v="AWB No. Gateway Port Gateway EGM No. Gateway EGM Date Gateway Site ID Error Code_x000a_N.A.  INNSA1  135726  2017-09-25 00:00:00.0  INNSA1  S "/>
        <s v="AWB No. Gateway Port Gateway EGM No. Gateway EGM Date Gateway Site ID Error Code_x000a_N.A.  INMUN1  136070  2017-09-29 00:00:00.0  INMUN1  S "/>
        <s v="AWB No. Gateway Port Gateway EGM No. Gateway EGM Date Gateway Site ID Error Code_x000a_N.A.  INNSA1  135331  2017-09-19 00:00:00.0  INNSA1  S "/>
        <s v="AWB No. Gateway Port Gateway EGM No. Gateway EGM Date Gateway Site ID Error Code_x000a_N.A.  INMUN1  134212  2017-08-30 00:00:00.0  INMUN1  S "/>
        <s v="AWB No. Gateway Port Gateway EGM No. Gateway EGM Date Gateway Site ID Error Code_x000a_N.A.  INNSA1  134677  2017-09-07 00:00:00.0  INNSA1  S "/>
        <s v="AWB No. Gateway Port Gateway EGM No. Gateway EGM Date Gateway Site ID Error Code_x000a_N.A.  INMUN1  135372  2017-09-19 00:00:00.0  INMUN1  S "/>
        <s v="AWB No. Gateway Port Gateway EGM No. Gateway EGM Date Gateway Site ID Error Code_x000a_N.A.  INMUN1  139832  2017-11-30 00:00:00.0  INMUN1  S "/>
        <s v="AWB No. Gateway Port Gateway EGM No. Gateway EGM Date Gateway Site ID Error Code_x000a_N.A.  INMUN1  137768  2017-10-28 00:00:00.0  INMUN1  S "/>
        <s v="AWB No. Gateway Port Gateway EGM No. Gateway EGM Date Gateway Site ID Error Code_x000a_N.A.  INNSA1  136158  2017-10-03 00:00:00.0  INNSA1  S "/>
        <s v="AWB No. Gateway Port Gateway EGM No. Gateway EGM Date Gateway Site ID Error Code_x000a_N.A.  INMUN1  136519  2017-10-09 00:00:00.0  INMUN1  S "/>
        <s v="AWB No. Gateway Port Gateway EGM No. Gateway EGM Date Gateway Site ID Error Code_x000a_N.A.  INNSA1  136238  2017-10-04 00:00:00.0  INNSA1  S "/>
        <s v="AWB No. Gateway Port Gateway EGM No. Gateway EGM Date Gateway Site ID Error Code_x000a_N.A.  INNSA1  136898  2017-10-13 00:00:00.0  INNSA1  S "/>
        <s v="AWB No. Gateway Port Gateway EGM No. Gateway EGM Date Gateway Site ID Error Code_x000a_N.A.  INMUN1  135373  2017-09-19 00:00:00.0  INMUN1  S "/>
        <s v="AWB No. Gateway Port Gateway EGM No. Gateway EGM Date Gateway Site ID Error Code_x000a_N.A.  INNSA1  135755  2017-09-25 00:00:00.0  INNSA1  NC "/>
        <s v="AWB No. Gateway Port Gateway EGM No. Gateway EGM Date Gateway Site ID Error Code_x000a_N.A.  INMUN1  136071  2017-09-29 00:00:00.0  INMUN1  S "/>
        <s v="AWB No. Gateway Port Gateway EGM No. Gateway EGM Date Gateway Site ID Error Code_x000a_N.A.  INNSA1  135119  2017-09-14 00:00:00.0  INNSA1  S "/>
        <s v="AWB No. Gateway Port Gateway EGM No. Gateway EGM Date Gateway Site ID Error Code_x000a_N.A.  INMUN1  136518  2017-10-09 00:00:00.0  INMUN1  S "/>
        <s v="AWB No. Gateway Port Gateway EGM No. Gateway EGM Date Gateway Site ID Error Code_x000a_N.A.  INNSA1  136163  2017-10-03 00:00:00.0  INNSA1  C "/>
        <s v="AWB No. Gateway Port Gateway EGM No. Gateway EGM Date Gateway Site ID Error Code_x000a_N.A.  INNSA1  135895  2017-09-27 00:00:00.0  INNSA1  S "/>
        <s v="AWB No. Gateway Port Gateway EGM No. Gateway EGM Date Gateway Site ID Error Code_x000a_N.A.  INNSA1  135126  2017-09-14 00:00:00.0  INNSA1  S "/>
        <s v="AWB No. Gateway Port Gateway EGM No. Gateway EGM Date Gateway Site ID Error Code_x000a_N.A.  INNSA1  136252  2017-10-04 00:00:00.0  INNSA1  S "/>
        <s v="AWB No. Gateway Port Gateway EGM No. Gateway EGM Date Gateway Site ID Error Code_x000a_N.A.  INNSA1  137096  2017-10-17 00:00:00.0  INNSA1  C "/>
        <s v="AWB No. Gateway Port Gateway EGM No. Gateway EGM Date Gateway Site ID Error Code_x000a_N.A.  INMUN1  140361  2017-12-08 00:00:00.0  INMUN1  S "/>
        <s v="AWB No. Gateway Port Gateway EGM No. Gateway EGM Date Gateway Site ID Error Code_x000a_N.A.  INMUN1  136910  2017-10-13 00:00:00.0  INMUN1  S "/>
        <s v="AWB No. Gateway Port Gateway EGM No. Gateway EGM Date Gateway Site ID Error Code_x000a_N.A.  INMUN1  138865  2017-11-15 00:00:00.0  INMUN1  S "/>
        <s v="AWB No. Gateway Port Gateway EGM No. Gateway EGM Date Gateway Site ID Error Code_x000a_N.A.  INNSA1  137147  2017-10-18 00:00:00.0  INNSA1  S "/>
        <s v="AWB No. Gateway Port Gateway EGM No. Gateway EGM Date Gateway Site ID Error Code_x000a_N.A.  INNSA1  136648  2017-10-10 00:00:00.0  INNSA1  C "/>
        <s v="AWB No. Gateway Port Gateway EGM No. Gateway EGM Date Gateway Site ID Error Code_x000a_N.A.  INNSA1  136123  2017-10-02 00:00:00.0  INNSA1  S "/>
        <s v="AWB No. Gateway Port Gateway EGM No. Gateway EGM Date Gateway Site ID Error Code_x000a_N.A.  INNSA1  136151  2017-10-03 00:00:00.0  INNSA1  S "/>
        <s v="AWB No. Gateway Port Gateway EGM No. Gateway EGM Date Gateway Site ID Error Code_x000a_N.A.  INNSA1  136204  2017-10-03 00:00:00.0  INNSA1  S "/>
        <s v="AWB No. Gateway Port Gateway EGM No. Gateway EGM Date Gateway Site ID Error Code_x000a_N.A.  INNSA1  136637  2017-10-10 00:00:00.0  INNSA1  C "/>
        <s v="AWB No. Gateway Port Gateway EGM No. Gateway EGM Date Gateway Site ID Error Code_x000a_N.A.  INNSA1  138138  2017-11-03 00:00:00.0  INNSA1  C "/>
        <s v="AWB No. Gateway Port Gateway EGM No. Gateway EGM Date Gateway Site ID Error Code_x000a_N.A.  INPAV1  137330  2017-10-23 00:00:00.0  INPAV1  S "/>
        <s v="AWB No. Gateway Port Gateway EGM No. Gateway EGM Date Gateway Site ID Error Code_x000a_N.A.  INMUN1  137020  2017-10-16 00:00:00.0  INMUN1  S "/>
        <s v="AWB No. Gateway Port Gateway EGM No. Gateway EGM Date Gateway Site ID Error Code_x000a_N.A.  INMUN1  137857  2017-10-30 00:00:00.0  INMUN1  S "/>
        <s v="AWB No. Gateway Port Gateway EGM No. Gateway EGM Date Gateway Site ID Error Code_x000a_N.A.  INNSA1  136639  2017-10-10 00:00:00.0  INNSA1  S "/>
        <s v="AWB No. Gateway Port Gateway EGM No. Gateway EGM Date Gateway Site ID Error Code_x000a_N.A.  INMUN1  137573  2017-10-25 00:00:00.0  INMUN1  S "/>
        <s v="AWB No. Gateway Port Gateway EGM No. Gateway EGM Date Gateway Site ID Error Code_x000a_N.A.  INMUN1  137953  2017-11-01 00:00:00.0  INMUN1  S "/>
        <s v="AWB No. Gateway Port Gateway EGM No. Gateway EGM Date Gateway Site ID Error Code_x000a_N.A.  INNSA1  137147  2017-10-18 00:00:00.0  INNSA1  C "/>
        <s v="AWB No. Gateway Port Gateway EGM No. Gateway EGM Date Gateway Site ID Error Code_x000a_N.A.  INNSA1  138449  2017-11-09 00:00:00.0  INNSA1  S "/>
        <s v="AWB No. Gateway Port Gateway EGM No. Gateway EGM Date Gateway Site ID Error Code_x000a_N.A.  INPAV1  138356  2017-11-07 00:00:00.0  INPAV1  S "/>
        <s v="AWB No. Gateway Port Gateway EGM No. Gateway EGM Date Gateway Site ID Error Code_x000a_N.A.  INNSA1  137367  2017-10-23 00:00:00.0  INNSA1  S "/>
        <s v="AWB No. Gateway Port Gateway EGM No. Gateway EGM Date Gateway Site ID Error Code_x000a_N.A.  INNSA1  137969  2017-11-01 00:00:00.0  INNSA1  C "/>
        <s v="AWB No. Gateway Port Gateway EGM No. Gateway EGM Date Gateway Site ID Error Code_x000a_N.A.  INNSA1  138138  2017-11-03 00:00:00.0  INNSA1  S "/>
        <s v="AWB No. Gateway Port Gateway EGM No. Gateway EGM Date Gateway Site ID Error Code_x000a_N.A.  INNSA1  137453  2017-10-24 00:00:00.0  INNSA1  C "/>
        <s v="AWB No. Gateway Port Gateway EGM No. Gateway EGM Date Gateway Site ID Error Code_x000a_N.A.  INMUN1  139244  2017-11-21 00:00:00.0  INMUN1  S "/>
        <s v="AWB No. Gateway Port Gateway EGM No. Gateway EGM Date Gateway Site ID Error Code_x000a_N.A.  INNSA1  137348  2017-10-23 00:00:00.0  INNSA1  S "/>
        <s v="AWB No. Gateway Port Gateway EGM No. Gateway EGM Date Gateway Site ID Error Code_x000a_N.A.  INNSA1  137366  2017-10-23 00:00:00.0  INNSA1  S "/>
        <s v="AWB No. Gateway Port Gateway EGM No. Gateway EGM Date Gateway Site ID Error Code_x000a_N.A.  INNSA1  137830  2017-10-30 00:00:00.0  INNSA1  S "/>
        <s v="AWB No. Gateway Port Gateway EGM No. Gateway EGM Date Gateway Site ID Error Code_x000a_N.A.  INNSA1  138455  2017-11-09 00:00:00.0  INNSA1  S "/>
        <s v="AWB No. Gateway Port Gateway EGM No. Gateway EGM Date Gateway Site ID Error Code_x000a_N.A.  INNSA1  138732  2017-11-14 00:00:00.0  INNSA1  S "/>
        <s v="AWB No. Gateway Port Gateway EGM No. Gateway EGM Date Gateway Site ID Error Code_x000a_N.A.  INNSA1  137889  2017-10-31 00:00:00.0  INNSA1  S "/>
        <s v="AWB No. Gateway Port Gateway EGM No. Gateway EGM Date Gateway Site ID Error Code_x000a_N.A.  INNSA1  138837  2017-11-15 00:00:00.0  INNSA1  S "/>
        <s v="AWB No. Gateway Port Gateway EGM No. Gateway EGM Date Gateway Site ID Error Code_x000a_N.A.  INMUN1  140630  2017-12-13 00:00:00.0  INMUN1  S "/>
        <s v="AWB No. Gateway Port Gateway EGM No. Gateway EGM Date Gateway Site ID Error Code_x000a_N.A.  INMUN1  138363  2017-11-07 00:00:00.0  INMUN1  S "/>
        <s v="AWB No. Gateway Port Gateway EGM No. Gateway EGM Date Gateway Site ID Error Code_x000a_N.A.  INNSA1  137353  2017-10-23 00:00:00.0  INNSA1  C "/>
        <s v="AWB No. Gateway Port Gateway EGM No. Gateway EGM Date Gateway Site ID Error Code_x000a_N.A.  INMUN1  137950  2017-11-01 00:00:00.0  INMUN1  S "/>
        <s v="AWB No. Gateway Port Gateway EGM No. Gateway EGM Date Gateway Site ID Error Code_x000a_N.A.  INMUN1  141255  2017-12-23 00:00:00.0  INMUN1  S "/>
        <s v="AWB No. Gateway Port Gateway EGM No. Gateway EGM Date Gateway Site ID Error Code_x000a_N.A.  INMUN1  151099  2018-05-28 00:00:00.0  INMUN1  S "/>
        <s v="AWB No. Gateway Port Gateway EGM No. Gateway EGM Date Gateway Site ID Error Code_x000a_N.A.  INNSA1  137370  2017-10-23 00:00:00.0  INNSA1  C "/>
        <s v="AWB No. Gateway Port Gateway EGM No. Gateway EGM Date Gateway Site ID Error Code_x000a_N.A.  INNSA1  138710  2017-11-13 00:00:00.0  INNSA1  S "/>
        <s v="AWB No. Gateway Port Gateway EGM No. Gateway EGM Date Gateway Site ID Error Code_x000a_N.A.  INMUN1  139000  2017-11-17 00:00:00.0  INMUN1  S "/>
        <s v="AWB No. Gateway Port Gateway EGM No. Gateway EGM Date Gateway Site ID Error Code_x000a_N.A.  INMUN1  138685  2017-11-13 00:00:00.0  INMUN1  S "/>
        <s v="AWB No. Gateway Port Gateway EGM No. Gateway EGM Date Gateway Site ID Error Code_x000a_N.A.  INPAV1  137989  2017-11-01 00:00:00.0  INPAV1  S "/>
        <s v="AWB No. Gateway Port Gateway EGM No. Gateway EGM Date Gateway Site ID Error Code_x000a_N.A.  INMUN1  139245  2017-11-21 00:00:00.0  INMUN1  S "/>
        <s v="AWB No. Gateway Port Gateway EGM No. Gateway EGM Date Gateway Site ID Error Code_x000a_N.A.  INMUN1  139240  2017-11-21 00:00:00.0  INMUN1  S "/>
        <s v="AWB No. Gateway Port Gateway EGM No. Gateway EGM Date Gateway Site ID Error Code_x000a_N.A.  INNSA1  139142  2017-11-20 00:00:00.0  INNSA1  S "/>
        <s v="AWB No. Gateway Port Gateway EGM No. Gateway EGM Date Gateway Site ID Error Code_x000a_N.A.  INNSA1  137386  2017-10-23 00:00:00.0  INNSA1  S "/>
        <s v="AWB No. Gateway Port Gateway EGM No. Gateway EGM Date Gateway Site ID Error Code_x000a_N.A.  INMUN1  140712  2017-12-15 00:00:00.0  INMUN1  S "/>
        <s v="AWB No. Gateway Port Gateway EGM No. Gateway EGM Date Gateway Site ID Error Code_x000a_N.A.  INPAV1  137999  2017-11-01 00:00:00.0  INPAV1  S "/>
        <s v="AWB No. Gateway Port Gateway EGM No. Gateway EGM Date Gateway Site ID Error Code_x000a_N.A.  INNSA1  138641  2017-11-13 00:00:00.0  INNSA1  S "/>
        <s v="AWB No. Gateway Port Gateway EGM No. Gateway EGM Date Gateway Site ID Error Code_x000a_N.A.  INMUN1  139344  2017-11-22 00:00:00.0  INMUN1  S "/>
        <s v="AWB No. Gateway Port Gateway EGM No. Gateway EGM Date Gateway Site ID Error Code_x000a_N.A.  INNSA1  139138  2017-11-20 00:00:00.0  INNSA1  S "/>
        <s v="AWB No. Gateway Port Gateway EGM No. Gateway EGM Date Gateway Site ID Error Code_x000a_N.A.  INNSA1  138478  2017-11-09 00:00:00.0  INNSA1  S "/>
        <s v="AWB No. Gateway Port Gateway EGM No. Gateway EGM Date Gateway Site ID Error Code_x000a_N.A.  INMUN1  139513  2017-11-24 00:00:00.0  INMUN1  S "/>
        <s v="AWB No. Gateway Port Gateway EGM No. Gateway EGM Date Gateway Site ID Error Code_x000a_N.A.  INMUN1  140625  2017-12-13 00:00:00.0  INMUN1  S "/>
        <s v="AWB No. Gateway Port Gateway EGM No. Gateway EGM Date Gateway Site ID Error Code_x000a_N.A.  INNSA1  139301  2017-11-22 00:00:00.0  INNSA1  S "/>
        <s v="AWB No. Gateway Port Gateway EGM No. Gateway EGM Date Gateway Site ID Error Code_x000a_N.A.  INMUN1  140199  2017-12-06 00:00:00.0  INMUN1  S "/>
        <s v="AWB No. Gateway Port Gateway EGM No. Gateway EGM Date Gateway Site ID Error Code_x000a_N.A.  INNSA1  139557  2017-11-27 00:00:00.0  INNSA1  S "/>
        <s v="AWB No. Gateway Port Gateway EGM No. Gateway EGM Date Gateway Site ID Error Code_x000a_N.A.  INNSA1  139647  2017-11-28 00:00:00.0  INNSA1  S "/>
        <s v="AWB No. Gateway Port Gateway EGM No. Gateway EGM Date Gateway Site ID Error Code_x000a_N.A.  INNSA1  139757  2017-11-29 00:00:00.0  INNSA1  S "/>
        <s v="AWB No. Gateway Port Gateway EGM No. Gateway EGM Date Gateway Site ID Error Code_x000a_N.A.  INMUN1  141045  2017-12-20 00:00:00.0  INMUN1  S "/>
        <s v="AWB No. Gateway Port Gateway EGM No. Gateway EGM Date Gateway Site ID Error Code_x000a_N.A.  INNSA1  138234  2017-11-06 00:00:00.0  INNSA1  S "/>
        <s v="AWB No. Gateway Port Gateway EGM No. Gateway EGM Date Gateway Site ID Error Code_x000a_N.A.  INNSA1  139773  2017-11-29 00:00:00.0  INNSA1  S "/>
        <s v="AWB No. Gateway Port Gateway EGM No. Gateway EGM Date Gateway Site ID Error Code_x000a_N.A.  INMUN1  138172  2017-11-03 00:00:00.0  INMUN1  S "/>
        <s v="AWB No. Gateway Port Gateway EGM No. Gateway EGM Date Gateway Site ID Error Code_x000a_N.A.  INPAV1  139653  2017-11-28 00:00:00.0  INPAV1  S "/>
        <s v="AWB No. Gateway Port Gateway EGM No. Gateway EGM Date Gateway Site ID Error Code_x000a_N.A.  INMUN1  138681  2017-11-13 00:00:00.0  INMUN1  S "/>
        <s v="AWB No. Gateway Port Gateway EGM No. Gateway EGM Date Gateway Site ID Error Code_x000a_N.A.  INMUN1  138991  2017-11-17 00:00:00.0  INMUN1  S "/>
        <s v="AWB No. Gateway Port Gateway EGM No. Gateway EGM Date Gateway Site ID Error Code_x000a_N.A.  INMUN1  140232  2017-12-07 00:00:00.0  INMUN1  S "/>
        <s v="AWB No. Gateway Port Gateway EGM No. Gateway EGM Date Gateway Site ID Error Code_x000a_N.A.  INNSA1  139792  2017-11-30 00:00:00.0  INNSA1  S "/>
        <s v="AWB No. Gateway Port Gateway EGM No. Gateway EGM Date Gateway Site ID Error Code_x000a_N.A.  INPAV1  139963  2017-12-04 00:00:00.0  INPAV1  S "/>
        <s v="AWB No. Gateway Port Gateway EGM No. Gateway EGM Date Gateway Site ID Error Code_x000a_N.A.  INMUN1  140925  2017-12-19 00:00:00.0  INMUN1  S "/>
        <s v="AWB No. Gateway Port Gateway EGM No. Gateway EGM Date Gateway Site ID Error Code_x000a_N.A.  INNSA1  140047  2017-12-05 00:00:00.0  INNSA1  S "/>
        <s v="AWB No. Gateway Port Gateway EGM No. Gateway EGM Date Gateway Site ID Error Code_x000a_N.A.  INNSA1  140041  2017-12-05 00:00:00.0  INNSA1  S "/>
        <s v="AWB No. Gateway Port Gateway EGM No. Gateway EGM Date Gateway Site ID Error Code_x000a_N.A.  INMUN1  139070  2017-11-17 00:00:00.0  INMUN1  S "/>
        <s v="AWB No. Gateway Port Gateway EGM No. Gateway EGM Date Gateway Site ID Error Code_x000a_N.A.  INNSA1  139999  2017-12-04 00:00:00.0  INNSA1  S "/>
        <s v="AWB No. Gateway Port Gateway EGM No. Gateway EGM Date Gateway Site ID Error Code_x000a_N.A.  INNSA1  138232  2017-11-06 00:00:00.0  INNSA1  N "/>
        <s v="AWB No. Gateway Port Gateway EGM No. Gateway EGM Date Gateway Site ID Error Code_x000a_N.A.  INNSA1  140472  2017-12-12 00:00:00.0  INNSA1  S "/>
        <s v="AWB No. Gateway Port Gateway EGM No. Gateway EGM Date Gateway Site ID Error Code_x000a_N.A.  INNSA1  139986  2017-12-04 00:00:00.0  INNSA1  S "/>
        <s v="AWB No. Gateway Port Gateway EGM No. Gateway EGM Date Gateway Site ID Error Code_x000a_N.A.  INMUN1  140703  2017-12-14 00:00:00.0  INMUN1  S "/>
        <s v="AWB No. Gateway Port Gateway EGM No. Gateway EGM Date Gateway Site ID Error Code_x000a_N.A.  INMUN1  140290  2017-12-07 00:00:00.0  INMUN1  S "/>
        <s v="AWB No. Gateway Port Gateway EGM No. Gateway EGM Date Gateway Site ID Error Code_x000a_N.A.  INNSA1  140726  2017-12-15 00:00:00.0  INNSA1  C "/>
        <s v="AWB No. Gateway Port Gateway EGM No. Gateway EGM Date Gateway Site ID Error Code_x000a_N.A.  INPAV1  140083  2017-12-05 00:00:00.0  INPAV1  S "/>
        <s v="AWB No. Gateway Port Gateway EGM No. Gateway EGM Date Gateway Site ID Error Code_x000a_N.A.  INNSA1  140677  2017-12-14 00:00:00.0  INNSA1  S "/>
        <s v="AWB No. Gateway Port Gateway EGM No. Gateway EGM Date Gateway Site ID Error Code_x000a_N.A.  INNSA1  140365  2017-12-08 00:00:00.0  INNSA1  N "/>
        <s v="AWB No. Gateway Port Gateway EGM No. Gateway EGM Date Gateway Site ID Error Code_x000a_N.A.  INMUN1  141077  2017-12-21 00:00:00.0  INMUN1  S "/>
        <s v="AWB No. Gateway Port Gateway EGM No. Gateway EGM Date Gateway Site ID Error Code_x000a_N.A.  INPAV1  139966  2017-12-04 00:00:00.0  INPAV1  S "/>
        <s v="AWB No. Gateway Port Gateway EGM No. Gateway EGM Date Gateway Site ID Error Code_x000a_N.A.  INMUN1  141426  2017-12-27 00:00:00.0  INMUN1  S "/>
        <s v="AWB No. Gateway Port Gateway EGM No. Gateway EGM Date Gateway Site ID Error Code_x000a_N.A.  INPAV1  140831  2017-12-18 00:00:00.0  INPAV1  S "/>
        <s v="AWB No. Gateway Port Gateway EGM No. Gateway EGM Date Gateway Site ID Error Code_x000a_N.A.  INMUN1  140930  2017-12-19 00:00:00.0  INMUN1  S "/>
        <s v="AWB No. Gateway Port Gateway EGM No. Gateway EGM Date Gateway Site ID Error Code_x000a_N.A.  INMUN1  140931  2017-12-19 00:00:00.0  INMUN1  S "/>
        <s v="AWB No. Gateway Port Gateway EGM No. Gateway EGM Date Gateway Site ID Error Code_x000a_N.A.  INNSA1  138758  2017-11-14 00:00:00.0  INNSA1  S "/>
        <s v="AWB No. Gateway Port Gateway EGM No. Gateway EGM Date Gateway Site ID Error Code_x000a_N.A.  INNSA1  140487  2017-12-12 00:00:00.0  INNSA1  S "/>
        <s v="AWB No. Gateway Port Gateway EGM No. Gateway EGM Date Gateway Site ID Error Code_x000a_N.A.  INNSA1  140586  2017-12-12 00:00:00.0  INNSA1  S "/>
        <s v="AWB No. Gateway Port Gateway EGM No. Gateway EGM Date Gateway Site ID Error Code_x000a_N.A.  INNSA1  140402  2017-12-11 00:00:00.0  INNSA1  S "/>
        <s v="AWB No. Gateway Port Gateway EGM No. Gateway EGM Date Gateway Site ID Error Code_x000a_N.A.  INNSA1  141463  2017-12-27 00:00:00.0  INNSA1  S "/>
        <s v="AWB No. Gateway Port Gateway EGM No. Gateway EGM Date Gateway Site ID Error Code_x000a_N.A.  INMUN1  141297  2017-12-26 00:00:00.0  INMUN1  S "/>
        <s v="AWB No. Gateway Port Gateway EGM No. Gateway EGM Date Gateway Site ID Error Code_x000a_N.A.  INNSA1  141039  2017-12-20 00:00:00.0  INNSA1  S "/>
        <s v="AWB No. Gateway Port Gateway EGM No. Gateway EGM Date Gateway Site ID Error Code_x000a_N.A.  INNSA1  141083  2017-12-21 00:00:00.0  INNSA1  C "/>
        <s v="AWB No. Gateway Port Gateway EGM No. Gateway EGM Date Gateway Site ID Error Code_x000a_N.A.  INNSA1  140724  2017-12-15 00:00:00.0  INNSA1  S "/>
        <s v="AWB No. Gateway Port Gateway EGM No. Gateway EGM Date Gateway Site ID Error Code_x000a_N.A.  INNSA1  141344  2017-12-26 00:00:00.0  INNSA1  C "/>
        <s v="AWB No. Gateway Port Gateway EGM No. Gateway EGM Date Gateway Site ID Error Code_x000a_N.A.  INMUN1  141756  2018-01-02 00:00:00.0  INMUN1  S "/>
        <s v="AWB No. Gateway Port Gateway EGM No. Gateway EGM Date Gateway Site ID Error Code_x000a_N.A.  INNSA1  141116  2017-12-21 00:00:00.0  INNSA1  S "/>
        <s v="AWB No. Gateway Port Gateway EGM No. Gateway EGM Date Gateway Site ID Error Code_x000a_N.A.  INMUN1  140648  2017-12-13 00:00:00.0  INMUN1  S "/>
        <s v="AWB No. Gateway Port Gateway EGM No. Gateway EGM Date Gateway Site ID Error Code_x000a_N.A.  INMUN1  141078  2017-12-21 00:00:00.0  INMUN1  S "/>
        <s v="AWB No. Gateway Port Gateway EGM No. Gateway EGM Date Gateway Site ID Error Code_x000a_N.A.  INMUN1  141502  2017-12-27 00:00:00.0  INMUN1  S "/>
        <s v="AWB No. Gateway Port Gateway EGM No. Gateway EGM Date Gateway Site ID Error Code_x000a_N.A.  INMUN1  141142  2017-12-21 00:00:00.0  INMUN1  S "/>
        <s v="AWB No. Gateway Port Gateway EGM No. Gateway EGM Date Gateway Site ID Error Code_x000a_N.A.  INMUN1  141855  2018-01-03 00:00:00.0  INMUN1  S "/>
        <s v="AWB No. Gateway Port Gateway EGM No. Gateway EGM Date Gateway Site ID Error Code_x000a_N.A.  INMUN1  141901  2018-01-03 00:00:00.0  INMUN1  S "/>
        <s v="AWB No. Gateway Port Gateway EGM No. Gateway EGM Date Gateway Site ID Error Code_x000a_N.A.  INMUN1  142133  2018-01-08 00:00:00.0  INMUN1  S "/>
        <s v="AWB No. Gateway Port Gateway EGM No. Gateway EGM Date Gateway Site ID Error Code_x000a_N.A.  INMUN1  141230  2017-12-22 00:00:00.0  INMUN1  S "/>
        <s v="AWB No. Gateway Port Gateway EGM No. Gateway EGM Date Gateway Site ID Error Code_x000a_N.A.  INNSA1  141394  2017-12-26 00:00:00.0  INNSA1  S "/>
        <s v="AWB No. Gateway Port Gateway EGM No. Gateway EGM Date Gateway Site ID Error Code_x000a_N.A.  INMUN1  143166  2018-01-23 00:00:00.0  INMUN1  S "/>
        <s v="AWB No. Gateway Port Gateway EGM No. Gateway EGM Date Gateway Site ID Error Code_x000a_N.A.  INMUN1  142479  2018-01-12 00:00:00.0  INMUN1  S "/>
        <s v="AWB No. Gateway Port Gateway EGM No. Gateway EGM Date Gateway Site ID Error Code_x000a_N.A.  INMUN1  141264  2017-12-23 00:00:00.0  INMUN1  S "/>
        <s v="AWB No. Gateway Port Gateway EGM No. Gateway EGM Date Gateway Site ID Error Code_x000a_N.A.  INNSA1  142173  2018-01-08 00:00:00.0  INNSA1  S "/>
        <s v="AWB No. Gateway Port Gateway EGM No. Gateway EGM Date Gateway Site ID Error Code_x000a_N.A.  INPAV1  141634  2017-12-29 00:00:00.0  INPAV1  S "/>
        <s v="AWB No. Gateway Port Gateway EGM No. Gateway EGM Date Gateway Site ID Error Code_x000a_N.A.  INMUN1  141770  2018-01-02 00:00:00.0  INMUN1  S "/>
        <s v="AWB No. Gateway Port Gateway EGM No. Gateway EGM Date Gateway Site ID Error Code_x000a_N.A.  INNSA1  141170  2017-12-22 00:00:00.0  INNSA1  S "/>
        <s v="AWB No. Gateway Port Gateway EGM No. Gateway EGM Date Gateway Site ID Error Code_x000a_N.A.  INMUN1  142204  2018-01-09 00:00:00.0  INMUN1  S "/>
        <s v="AWB No. Gateway Port Gateway EGM No. Gateway EGM Date Gateway Site ID Error Code_x000a_N.A.  INMUN1  141231  2017-12-22 00:00:00.0  INMUN1  S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x v="0"/>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x v="0"/>
    <s v="EGM No. EGM Date Container No. Seal No. Error Message_x000a_Z17061407  2017-7-14 0.0.0.0  OOCU6870924  394223  N.A. "/>
    <s v="ROSL Availed Amount(INR) Scroll Number Scroll Date_x000a_N  0  ROSL NOT CLAIMED  ROSL NOT CLAIMED "/>
    <x v="0"/>
    <x v="0"/>
    <s v="AWB No. Gateway Port Gateway EGM No. Gateway EGM Date Gateway Site ID Error Code N.A.  INMUN1  137976  2017-11-01 00:00:00.0  INMUN1  S "/>
    <x v="0"/>
  </r>
  <r>
    <x v="0"/>
    <n v="7100605"/>
    <s v="2017/07/01"/>
    <x v="0"/>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x v="1"/>
    <s v="EGM No. EGM Date Container No. Seal No. Error Message_x000a_R957660607  2017-7-6 0.0.0.0  TCNU3143079  393607  N.A. "/>
    <s v="ROSL Availed Amount(INR) Scroll Number Scroll Date_x000a_N  0  ROSL NOT CLAIMED  ROSL NOT CLAIMED "/>
    <x v="1"/>
    <x v="0"/>
    <s v="AWB No. Gateway Port Gateway EGM No. Gateway EGM Date Gateway Site ID Error Code N.A.  INMUN1  131465  2017-07-14 00:00:00.0  INMUN1  S "/>
    <x v="1"/>
  </r>
  <r>
    <x v="0"/>
    <n v="7183827"/>
    <s v="2017/07/06"/>
    <x v="1"/>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x v="2"/>
    <s v="EGM No. EGM Date Container No. Seal No. Error Message_x000a_R247461607  2017-7-16 0.0.0.0  SEGU6019208  394241  N.A. "/>
    <s v="ROSL Availed Amount(INR) Scroll Number Scroll Date_x000a_N  0  ROSL NOT CLAIMED  ROSL NOT CLAIMED "/>
    <x v="2"/>
    <x v="1"/>
    <s v="AWB No. Gateway Port Gateway EGM No. Gateway EGM Date Gateway Site ID Error Code N.A.  INNSA1  N.A.  N.A.  N.A.  N.A. "/>
    <x v="2"/>
  </r>
  <r>
    <x v="0"/>
    <n v="7603758"/>
    <s v="2017/07/26"/>
    <x v="2"/>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x v="3"/>
    <s v="EGM No. EGM Date Container No. Seal No. Error Message_x000a_R1817100108  2017-8-1 0.0.0.0  NYKU3719229  386464  N.A. "/>
    <s v="ROSL Availed Amount(INR) Scroll Number Scroll Date_x000a_NULL  NULL  NULL  NULL "/>
    <x v="3"/>
    <x v="1"/>
    <s v="AWB No. Gateway Port Gateway EGM No. Gateway EGM Date Gateway Site ID Error Code N.A.  INNSA1  N.A.  N.A.  N.A.  N.A. "/>
    <x v="2"/>
  </r>
  <r>
    <x v="0"/>
    <n v="7616933"/>
    <s v="2017/07/26"/>
    <x v="3"/>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x v="4"/>
    <s v="EGM No. EGM Date Container No. Seal No. Error Message_x000a_R237360308  2017-8-3 0.0.0.0  FCIU8411137  396483  N.A. "/>
    <s v="ROSL Availed Amount(INR) Scroll Number Scroll Date_x000a_N  0  ROSL NOT CLAIMED  ROSL NOT CLAIMED "/>
    <x v="4"/>
    <x v="1"/>
    <s v="AWB No. Gateway Port Gateway EGM No. Gateway EGM Date Gateway Site ID Error Code N.A.  INNSA1  132025  2017-07-24 00:00:00.0  INNSA1  S "/>
    <x v="3"/>
  </r>
  <r>
    <x v="0"/>
    <n v="7623801"/>
    <s v="2017/07/27"/>
    <x v="4"/>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x v="5"/>
    <s v="EGM No. EGM Date Container No. Seal No. Error Message_x000a_R857522807  2017-7-28 0.0.0.0  TCLU8863794  395965  N.A. "/>
    <s v="ROSL Availed Amount(INR) Scroll Number Scroll Date_x000a_N  0  ROSL NOT CLAIMED  ROSL NOT CLAIMED "/>
    <x v="5"/>
    <x v="0"/>
    <s v="AWB No. Gateway Port Gateway EGM No. Gateway EGM Date Gateway Site ID Error Code N.A.  INMUN1  132702  2017-08-04 00:00:00.0  INMUN1  S "/>
    <x v="4"/>
  </r>
  <r>
    <x v="0"/>
    <n v="7638661"/>
    <s v="2017/07/27"/>
    <x v="5"/>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x v="6"/>
    <s v="EGM No. EGM Date Container No. Seal No. Error Message_x000a_J187520408  2017-8-4 0.0.0.0  BMOU2608183  397312  N.A. "/>
    <s v="ROSL Availed Amount(INR) Scroll Number Scroll Date_x000a_NULL  NULL  NULL  NULL "/>
    <x v="6"/>
    <x v="1"/>
    <s v="AWB No. Gateway Port Gateway EGM No. Gateway EGM Date Gateway Site ID Error Code N.A.  INNSA1  N.A.  N.A.  N.A.  N.A. "/>
    <x v="2"/>
  </r>
  <r>
    <x v="0"/>
    <n v="7640213"/>
    <s v="2017/07/27"/>
    <x v="6"/>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x v="7"/>
    <s v="EGM No. EGM Date Container No. Seal No. Error Message_x000a_T757460308  2017-8-3 0.0.0.0  CBHU9524016  397314  N.A. "/>
    <s v="ROSL Availed Amount(INR) Scroll Number Scroll Date_x000a_N  0  ROSL NOT CLAIMED  ROSL NOT CLAIMED "/>
    <x v="7"/>
    <x v="0"/>
    <s v="AWB No. Gateway Port Gateway EGM No. Gateway EGM Date Gateway Site ID Error Code N.A.  INMUN1  134053  2017-08-28 00:00:00.0  INMUN1  ST "/>
    <x v="5"/>
  </r>
  <r>
    <x v="0"/>
    <n v="7641404"/>
    <s v="2017/07/27"/>
    <x v="3"/>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x v="7"/>
    <s v="EGM No. EGM Date Container No. Seal No. Error Message_x000a_T957180208  2017-8-2 0.0.0.0  NYKU5798417  396296  N.A. "/>
    <s v="ROSL Availed Amount(INR) Scroll Number Scroll Date_x000a_N  0  ROSL NOT CLAIMED  ROSL NOT CLAIMED "/>
    <x v="8"/>
    <x v="1"/>
    <s v="AWB No. Gateway Port Gateway EGM No. Gateway EGM Date Gateway Site ID Error Code N.A.  INNSA1  131685  2017-07-18 00:00:00.0  INNSA1  S "/>
    <x v="6"/>
  </r>
  <r>
    <x v="0"/>
    <n v="7641415"/>
    <s v="2017/07/27"/>
    <x v="3"/>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x v="7"/>
    <s v="EGM No. EGM Date Container No. Seal No. Error Message_x000a_T957180208  2017-8-2 0.0.0.0  NYKU5798417  396296  N.A. "/>
    <s v="ROSL Availed Amount(INR) Scroll Number Scroll Date_x000a_N  0  ROSL NOT CLAIMED  ROSL NOT CLAIMED "/>
    <x v="9"/>
    <x v="1"/>
    <s v="AWB No. Gateway Port Gateway EGM No. Gateway EGM Date Gateway Site ID Error Code N.A.  INNSA1  131685  2017-07-18 00:00:00.0  INNSA1  S "/>
    <x v="6"/>
  </r>
  <r>
    <x v="0"/>
    <n v="7642279"/>
    <s v="2017/07/27"/>
    <x v="3"/>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x v="7"/>
    <s v="EGM No. EGM Date Container No. Seal No. Error Message_x000a_R777360308  2017-8-3 0.0.0.0  NYKU4725340  396275  N.A. "/>
    <s v="ROSL Availed Amount(INR) Scroll Number Scroll Date_x000a_N  0  ROSL NOT CLAIMED  ROSL NOT CLAIMED "/>
    <x v="10"/>
    <x v="1"/>
    <s v="AWB No. Gateway Port Gateway EGM No. Gateway EGM Date Gateway Site ID Error Code N.A.  INNSA1  131685  2017-07-18 00:00:00.0  INNSA1  S "/>
    <x v="6"/>
  </r>
  <r>
    <x v="0"/>
    <n v="7646561"/>
    <s v="2017/07/28"/>
    <x v="7"/>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x v="8"/>
    <s v="EGM No. EGM Date Container No. Seal No. Error Message_x000a_J187520408  2017-8-4 0.0.0.0  IPXU3207943  397043  N.A. "/>
    <s v="ROSL Availed Amount(INR) Scroll Number Scroll Date_x000a_N  0  ROSL NOT CLAIMED  ROSL NOT CLAIMED "/>
    <x v="11"/>
    <x v="1"/>
    <s v="AWB No. Gateway Port Gateway EGM No. Gateway EGM Date Gateway Site ID Error Code N.A.  INNSA1  132025  2017-07-24 00:00:00.0  INNSA1  S "/>
    <x v="3"/>
  </r>
  <r>
    <x v="0"/>
    <n v="7649257"/>
    <s v="2017/07/28"/>
    <x v="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x v="9"/>
    <s v="EGM No. EGM Date Container No. Seal No. Error Message_x000a_T967140708  2017-8-7 0.0.0.0  CRSU1370710  397366  N.A. "/>
    <s v="ROSL Availed Amount(INR) Scroll Number Scroll Date_x000a_N  0  ROSL NOT CLAIMED  ROSL NOT CLAIMED "/>
    <x v="12"/>
    <x v="1"/>
    <s v="AWB No. Gateway Port Gateway EGM No. Gateway EGM Date Gateway Site ID Error Code N.A.  INNSA1  132025  2017-07-24 00:00:00.0  INNSA1  S "/>
    <x v="3"/>
  </r>
  <r>
    <x v="0"/>
    <n v="7662086"/>
    <s v="2017/07/28"/>
    <x v="9"/>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x v="10"/>
    <s v="EGM No. EGM Date Container No. Seal No. Error Message_x000a_R627900608  2017-8-6 0.0.0.0  ESPU8041896  397273  N.A. "/>
    <s v="ROSL Availed Amount(INR) Scroll Number Scroll Date_x000a_N  0  ROSL NOT CLAIMED  ROSL NOT CLAIMED "/>
    <x v="13"/>
    <x v="1"/>
    <s v="AWB No. Gateway Port Gateway EGM No. Gateway EGM Date Gateway Site ID Error Code N.A.  INNSA1  132629  2017-08-03 00:00:00.0  INNSA1  S "/>
    <x v="7"/>
  </r>
  <r>
    <x v="0"/>
    <n v="7690771"/>
    <s v="2017/07/29"/>
    <x v="10"/>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x v="11"/>
    <s v="EGM No. EGM Date Container No. Seal No. Error Message_x000a_J187520408  2017-8-4 0.0.0.0  TCNU8236209  009265  N.A. "/>
    <s v="ROSL Availed Amount(INR) Scroll Number Scroll Date_x000a_N  0  ROSL NOT CLAIMED  ROSL NOT CLAIMED "/>
    <x v="14"/>
    <x v="1"/>
    <s v="AWB No. Gateway Port Gateway EGM No. Gateway EGM Date Gateway Site ID Error Code N.A.  INNSA1  132146  2017-07-26 00:00:00.0  INNSA1  S "/>
    <x v="8"/>
  </r>
  <r>
    <x v="0"/>
    <n v="7692707"/>
    <s v="2017/07/29"/>
    <x v="11"/>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x v="12"/>
    <s v="EGM No. EGM Date Container No. Seal No. Error Message_x000a_R187761108  2017-8-11 0.0.0.0  IALU2255050  398038  N.A. "/>
    <s v="ROSL Availed Amount(INR) Scroll Number Scroll Date_x000a_N  0  ROSL NOT CLAIMED  ROSL NOT CLAIMED "/>
    <x v="15"/>
    <x v="1"/>
    <s v="AWB No. Gateway Port Gateway EGM No. Gateway EGM Date Gateway Site ID Error Code N.A.  INNSA1  132431  2017-07-31 00:00:00.0  INNSA1  S "/>
    <x v="9"/>
  </r>
  <r>
    <x v="0"/>
    <n v="7703453"/>
    <s v="2017/07/31"/>
    <x v="12"/>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x v="13"/>
    <s v="EGM No. EGM Date Container No. Seal No. Error Message_x000a_R757581008  2017-8-10 0.0.0.0  GESU5984802  398012  N.A. "/>
    <s v="ROSL Availed Amount(INR) Scroll Number Scroll Date_x000a_N  0  ROSL NOT CLAIMED  ROSL NOT CLAIMED "/>
    <x v="16"/>
    <x v="1"/>
    <s v="AWB No. Gateway Port Gateway EGM No. Gateway EGM Date Gateway Site ID Error Code N.A.  INNSA1  N.A.  N.A.  N.A.  N.A. "/>
    <x v="2"/>
  </r>
  <r>
    <x v="0"/>
    <n v="7712075"/>
    <s v="2017/07/31"/>
    <x v="13"/>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x v="10"/>
    <s v="EGM No. EGM Date Container No. Seal No. Error Message_x000a_T857300308  2017-8-3 0.0.0.0  FCIU2829217  014230  N.A. "/>
    <s v="ROSL Availed Amount(INR) Scroll Number Scroll Date_x000a_N  0  ROSL NOT CLAIMED  ROSL NOT CLAIMED "/>
    <x v="17"/>
    <x v="0"/>
    <s v="AWB No. Gateway Port Gateway EGM No. Gateway EGM Date Gateway Site ID Error Code N.A.  INMUN1  134637  2017-09-06 00:00:00.0  INMUN1  S "/>
    <x v="10"/>
  </r>
  <r>
    <x v="0"/>
    <n v="7718281"/>
    <s v="2017/07/31"/>
    <x v="14"/>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x v="14"/>
    <s v="EGM No. EGM Date Container No. Seal No. Error Message_x000a_R757581008  2017-8-10 0.0.0.0  VSTU9000189  398018  N.A. "/>
    <s v="ROSL Availed Amount(INR) Scroll Number Scroll Date_x000a_N  0  ROSL NOT CLAIMED  ROSL NOT CLAIMED "/>
    <x v="18"/>
    <x v="1"/>
    <s v="AWB No. Gateway Port Gateway EGM No. Gateway EGM Date Gateway Site ID Error Code N.A.  INNSA1  133033  2017-08-10 00:00:00.0  INNSA1  C "/>
    <x v="11"/>
  </r>
  <r>
    <x v="0"/>
    <n v="7721241"/>
    <s v="2017/07/31"/>
    <x v="15"/>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x v="15"/>
    <s v="EGM No. EGM Date Container No. Seal No. Error Message_x000a_R627900608  2017-8-6 0.0.0.0  TCLU5214235  397616  N.A. "/>
    <s v="ROSL Availed Amount(INR) Scroll Number Scroll Date_x000a_N  0  ROSL NOT CLAIMED  ROSL NOT CLAIMED "/>
    <x v="19"/>
    <x v="2"/>
    <s v="Please Wait...."/>
    <x v="12"/>
  </r>
  <r>
    <x v="0"/>
    <n v="7742310"/>
    <s v="2017/08/01"/>
    <x v="16"/>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x v="16"/>
    <s v="EGM No. EGM Date Container No. Seal No. Error Message_x000a_R467841108  2017-8-11 0.0.0.0  PCIU8208557  398061  N.A. "/>
    <s v="ROSL Availed Amount(INR) Scroll Number Scroll Date_x000a_Y  109868  25635/2017  2017-9-15 0.0.0.0 "/>
    <x v="20"/>
    <x v="1"/>
    <s v="AWB No. Gateway Port Gateway EGM No. Gateway EGM Date Gateway Site ID Error Code N.A.  INNSA1  169501  2019-03-29 00:00:00.0  INNSA1  S "/>
    <x v="13"/>
  </r>
  <r>
    <x v="0"/>
    <n v="7747150"/>
    <s v="2017/08/01"/>
    <x v="17"/>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x v="13"/>
    <s v="EGM No. EGM Date Container No. Seal No. Error Message_x000a_R757581008  2017-8-10 0.0.0.0  GESU4903350  398031  N.A. "/>
    <s v="ROSL Availed Amount(INR) Scroll Number Scroll Date_x000a_N  0  ROSL NOT CLAIMED  ROSL NOT CLAIMED "/>
    <x v="21"/>
    <x v="1"/>
    <s v="AWB No. Gateway Port Gateway EGM No. Gateway EGM Date Gateway Site ID Error Code N.A.  INNSA1  132812  2017-08-07 00:00:00.0  INNSA1  C "/>
    <x v="14"/>
  </r>
  <r>
    <x v="0"/>
    <n v="7751210"/>
    <s v="2017/08/01"/>
    <x v="18"/>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x v="12"/>
    <s v="EGM No. EGM Date Container No. Seal No. Error Message_x000a_T587961208  2017-8-12 0.0.0.0  VMLU3602131  398041  N.A. "/>
    <s v="ROSL Availed Amount(INR) Scroll Number Scroll Date_x000a_N  0  ROSL NOT CLAIMED  ROSL NOT CLAIMED "/>
    <x v="22"/>
    <x v="1"/>
    <s v="AWB No. Gateway Port Gateway EGM No. Gateway EGM Date Gateway Site ID Error Code N.A.  INNSA1  N.A.  N.A.  N.A.  N.A. "/>
    <x v="2"/>
  </r>
  <r>
    <x v="0"/>
    <n v="7759192"/>
    <s v="2017/08/02"/>
    <x v="19"/>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x v="17"/>
    <s v="EGM No. EGM Date Container No. Seal No. Error Message_x000a_T857661708  2017-8-17 0.0.0.0  MRKU7285779  398326  N.A. "/>
    <s v="ROSL Availed Amount(INR) Scroll Number Scroll Date_x000a_N  0  ROSL NOT CLAIMED  ROSL NOT CLAIMED "/>
    <x v="23"/>
    <x v="3"/>
    <s v="AWB No. Gateway Port Gateway EGM No. Gateway EGM Date Gateway Site ID Error Code N.A.  INPAV1  132210  2017-07-26 00:00:00.0  INPAV1  S "/>
    <x v="15"/>
  </r>
  <r>
    <x v="0"/>
    <n v="7764000"/>
    <s v="2017/08/02"/>
    <x v="4"/>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x v="16"/>
    <s v="EGM No. EGM Date Container No. Seal No. Error Message_x000a_T887020608  2017-8-6 0.0.0.0  CSLU2276080  396967  N.A. "/>
    <s v="ROSL Availed Amount(INR) Scroll Number Scroll Date_x000a_N  0  ROSL NOT CLAIMED  ROSL NOT CLAIMED "/>
    <x v="24"/>
    <x v="1"/>
    <s v="AWB No. Gateway Port Gateway EGM No. Gateway EGM Date Gateway Site ID Error Code N.A.  INNSA1  132737  2017-08-04 00:00:00.0  INNSA1  S "/>
    <x v="16"/>
  </r>
  <r>
    <x v="0"/>
    <n v="7764312"/>
    <s v="2017/08/02"/>
    <x v="4"/>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x v="18"/>
    <s v="EGM No. EGM Date Container No. Seal No. Error Message_x000a_T887020608  2017-8-6 0.0.0.0  CCLU5302047  396980  N.A. "/>
    <s v="ROSL Availed Amount(INR) Scroll Number Scroll Date_x000a_N  0  ROSL NOT CLAIMED  ROSL NOT CLAIMED "/>
    <x v="25"/>
    <x v="1"/>
    <s v="AWB No. Gateway Port Gateway EGM No. Gateway EGM Date Gateway Site ID Error Code N.A.  INNSA1  132731  2017-08-04 00:00:00.0  INNSA1  S "/>
    <x v="17"/>
  </r>
  <r>
    <x v="0"/>
    <n v="7772989"/>
    <s v="2017/08/02"/>
    <x v="20"/>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x v="19"/>
    <s v="EGM No. EGM Date Container No. Seal No. Error Message_x000a_R797122008  2017-8-20 0.0.0.0  RFSU2002442  398692  N.A. "/>
    <s v="ROSL Availed Amount(INR) Scroll Number Scroll Date_x000a_N  0  ROSL NOT CLAIMED  ROSL NOT CLAIMED "/>
    <x v="26"/>
    <x v="1"/>
    <s v="AWB No. Gateway Port Gateway EGM No. Gateway EGM Date Gateway Site ID Error Code N.A.  INNSA1  133243  2017-08-14 00:00:00.0  INNSA1  C "/>
    <x v="18"/>
  </r>
  <r>
    <x v="0"/>
    <n v="7774110"/>
    <s v="2017/08/02"/>
    <x v="21"/>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x v="20"/>
    <s v="EGM No. EGM Date Container No. Seal No. Error Message_x000a_T757422208  2017-8-22 0.0.0.0  MSKU5798590  399514  N.A. "/>
    <s v="ROSL Availed Amount(INR) Scroll Number Scroll Date_x000a_NULL  NULL  NULL  NULL "/>
    <x v="27"/>
    <x v="0"/>
    <s v="AWB No. Gateway Port Gateway EGM No. Gateway EGM Date Gateway Site ID Error Code N.A.  INMUN1  134015  2017-08-28 00:00:00.0  INMUN1  S "/>
    <x v="19"/>
  </r>
  <r>
    <x v="0"/>
    <n v="7778178"/>
    <s v="2017/08/02"/>
    <x v="2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x v="12"/>
    <s v="EGM No. EGM Date Container No. Seal No. Error Message_x000a_R757581008  2017-8-10 0.0.0.0  TCKU9945570  397386  N.A. "/>
    <s v="ROSL Availed Amount(INR) Scroll Number Scroll Date_x000a_N  0  ROSL NOT CLAIMED  ROSL NOT CLAIMED "/>
    <x v="28"/>
    <x v="1"/>
    <s v="AWB No. Gateway Port Gateway EGM No. Gateway EGM Date Gateway Site ID Error Code N.A.  INNSA1  N.A.  N.A.  N.A.  N.A. "/>
    <x v="2"/>
  </r>
  <r>
    <x v="0"/>
    <n v="7782282"/>
    <s v="2017/08/02"/>
    <x v="23"/>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x v="21"/>
    <s v="EGM No. EGM Date Container No. Seal No. Error Message_x000a_R847681008  2017-8-10 0.0.0.0  THLU2130227  398013  N.A. "/>
    <s v="ROSL Availed Amount(INR) Scroll Number Scroll Date_x000a_N  0  ROSL NOT CLAIMED  ROSL NOT CLAIMED "/>
    <x v="29"/>
    <x v="1"/>
    <s v="AWB No. Gateway Port Gateway EGM No. Gateway EGM Date Gateway Site ID Error Code N.A.  INNSA1  132481  2017-07-31 00:00:00.0  INNSA1  C "/>
    <x v="20"/>
  </r>
  <r>
    <x v="0"/>
    <n v="7791798"/>
    <s v="2017/08/03"/>
    <x v="24"/>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x v="21"/>
    <s v="EGM No. EGM Date Container No. Seal No. Error Message_x000a_T587961208  2017-8-12 0.0.0.0  ZCSU2559071  398088  N.A. "/>
    <s v="ROSL Availed Amount(INR) Scroll Number Scroll Date_x000a_N  0  ROSL NOT CLAIMED  ROSL NOT CLAIMED "/>
    <x v="30"/>
    <x v="1"/>
    <s v="AWB No. Gateway Port Gateway EGM No. Gateway EGM Date Gateway Site ID Error Code N.A.  INNSA1  133033  2017-08-10 00:00:00.0  INNSA1  S "/>
    <x v="21"/>
  </r>
  <r>
    <x v="0"/>
    <n v="7794172"/>
    <s v="2017/08/03"/>
    <x v="25"/>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x v="22"/>
    <s v="EGM No. EGM Date Container No. Seal No. Error Message_x000a_R347041908  2017-8-19 0.0.0.0  TCNU4953686  398681  N.A. "/>
    <s v="ROSL Availed Amount(INR) Scroll Number Scroll Date_x000a_N  0  ROSL NOT CLAIMED  ROSL NOT CLAIMED "/>
    <x v="31"/>
    <x v="1"/>
    <s v="AWB No. Gateway Port Gateway EGM No. Gateway EGM Date Gateway Site ID Error Code N.A.  INNSA1  132991  2017-08-09 00:00:00.0  INNSA1  S "/>
    <x v="22"/>
  </r>
  <r>
    <x v="0"/>
    <n v="7795473"/>
    <s v="2017/08/03"/>
    <x v="26"/>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x v="23"/>
    <s v="EGM No. EGM Date Container No. Seal No. Error Message_x000a_T747880608  2017-8-6 0.0.0.0  MSKU8535597  015881  N.A. "/>
    <s v="ROSL Availed Amount(INR) Scroll Number Scroll Date_x000a_N  0  ROSL NOT CLAIMED  ROSL NOT CLAIMED "/>
    <x v="32"/>
    <x v="3"/>
    <s v="AWB No. Gateway Port Gateway EGM No. Gateway EGM Date Gateway Site ID Error Code N.A.  INPAV1  132205  2017-07-26 00:00:00.0  INPAV1  S "/>
    <x v="23"/>
  </r>
  <r>
    <x v="0"/>
    <n v="7796181"/>
    <s v="2017/08/03"/>
    <x v="27"/>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x v="24"/>
    <s v="EGM No. EGM Date Container No. Seal No. Error Message_x000a_R847681008  2017-8-10 0.0.0.0  THLU2130227  398013  N.A. "/>
    <s v="ROSL Availed Amount(INR) Scroll Number Scroll Date_x000a_Y  15758  25632/2017  2017-9-10 0.0.0.0 "/>
    <x v="33"/>
    <x v="1"/>
    <s v="AWB No. Gateway Port Gateway EGM No. Gateway EGM Date Gateway Site ID Error Code N.A.  INNSA1  132812  2017-08-07 00:00:00.0  INNSA1  C "/>
    <x v="14"/>
  </r>
  <r>
    <x v="0"/>
    <n v="7800720"/>
    <s v="2017/08/03"/>
    <x v="28"/>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x v="24"/>
    <s v="EGM No. EGM Date Container No. Seal No. Error Message_x000a_R367241508  2017-8-15 0.0.0.0  TEMU7607563  398610  N.A. "/>
    <s v="ROSL Availed Amount(INR) Scroll Number Scroll Date_x000a_N  0  ROSL NOT CLAIMED  ROSL NOT CLAIMED "/>
    <x v="34"/>
    <x v="0"/>
    <s v="AWB No. Gateway Port Gateway EGM No. Gateway EGM Date Gateway Site ID Error Code N.A.  INMUN1  160432  2018-10-31 00:00:00.0  INMUN1  S "/>
    <x v="24"/>
  </r>
  <r>
    <x v="0"/>
    <n v="7804407"/>
    <s v="2017/08/03"/>
    <x v="29"/>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x v="25"/>
    <s v="EGM No. EGM Date Container No. Seal No. Error Message_x000a_T587961208  2017-8-12 0.0.0.0  FCIU8449214  398049  N.A. "/>
    <s v="ROSL Availed Amount(INR) Scroll Number Scroll Date_x000a_NULL  NULL  NULL  NULL "/>
    <x v="35"/>
    <x v="1"/>
    <s v="AWB No. Gateway Port Gateway EGM No. Gateway EGM Date Gateway Site ID Error Code N.A.  INNSA1  132332  2017-07-28 00:00:00.0  INNSA1  S "/>
    <x v="25"/>
  </r>
  <r>
    <x v="0"/>
    <n v="7812525"/>
    <s v="2017/08/04"/>
    <x v="30"/>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x v="26"/>
    <s v="EGM No. EGM Date Container No. Seal No. Error Message_x000a_R957502308  2017-8-23 0.0.0.0  ZCSU6529476  399516  N.A. "/>
    <s v="ROSL Availed Amount(INR) Scroll Number Scroll Date_x000a_N  0  ROSL NOT CLAIMED  ROSL NOT CLAIMED "/>
    <x v="36"/>
    <x v="3"/>
    <s v="AWB No. Gateway Port Gateway EGM No. Gateway EGM Date Gateway Site ID Error Code N.A.  INPAV1  133808  2017-08-24 00:00:00.0  INPAV1  S "/>
    <x v="26"/>
  </r>
  <r>
    <x v="0"/>
    <n v="7826835"/>
    <s v="2017/08/04"/>
    <x v="31"/>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x v="27"/>
    <s v="EGM No. EGM Date Container No. Seal No. Error Message_x000a_R467841108  2017-8-11 0.0.0.0  SIKU3077183  398074  N.A. "/>
    <s v="ROSL Availed Amount(INR) Scroll Number Scroll Date_x000a_N  0  ROSL NOT CLAIMED  ROSL NOT CLAIMED "/>
    <x v="37"/>
    <x v="1"/>
    <s v="AWB No. Gateway Port Gateway EGM No. Gateway EGM Date Gateway Site ID Error Code N.A.  INNSA1  N.A.  N.A.  N.A.  N.A. "/>
    <x v="2"/>
  </r>
  <r>
    <x v="0"/>
    <n v="7835799"/>
    <s v="2017/08/05"/>
    <x v="26"/>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x v="24"/>
    <s v="EGM No. EGM Date Container No. Seal No. Error Message_x000a_R247281508  2017-8-15 0.0.0.0  CLHU8419145  398617  N.A. "/>
    <s v="ROSL Availed Amount(INR) Scroll Number Scroll Date_x000a_N  0  ROSL NOT CLAIMED  ROSL NOT CLAIMED "/>
    <x v="38"/>
    <x v="1"/>
    <s v="AWB No. Gateway Port Gateway EGM No. Gateway EGM Date Gateway Site ID Error Code N.A.  INNSA1  N.A.  N.A.  N.A.  N.A. "/>
    <x v="2"/>
  </r>
  <r>
    <x v="0"/>
    <n v="7849871"/>
    <s v="2017/08/05"/>
    <x v="32"/>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x v="28"/>
    <s v="EGM No. EGM Date Container No. Seal No. Error Message_x000a_J167821108  2017-8-11 0.0.0.0  MRSU3359958  398193  N.A. "/>
    <s v="ROSL Availed Amount(INR) Scroll Number Scroll Date_x000a_N  0  ROSL NOT CLAIMED  ROSL NOT CLAIMED "/>
    <x v="39"/>
    <x v="0"/>
    <s v="AWB No. Gateway Port Gateway EGM No. Gateway EGM Date Gateway Site ID Error Code N.A.  INMUN1  133184  2017-08-11 00:00:00.0  INMUN1  S "/>
    <x v="27"/>
  </r>
  <r>
    <x v="0"/>
    <n v="7852739"/>
    <s v="2017/08/05"/>
    <x v="33"/>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x v="17"/>
    <s v="EGM No. EGM Date Container No. Seal No. Error Message_x000a_R367241508  2017-8-15 0.0.0.0  BSIU9154848  398377  N.A. "/>
    <s v="ROSL Availed Amount(INR) Scroll Number Scroll Date_x000a_N  0  ROSL NOT CLAIMED  ROSL NOT CLAIMED "/>
    <x v="40"/>
    <x v="0"/>
    <s v="AWB No. Gateway Port Gateway EGM No. Gateway EGM Date Gateway Site ID Error Code N.A.  INMUN1  133567  2017-08-18 00:00:00.0  INMUN1  S "/>
    <x v="28"/>
  </r>
  <r>
    <x v="0"/>
    <n v="7862536"/>
    <s v="2017/08/07"/>
    <x v="34"/>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x v="20"/>
    <s v="EGM No. EGM Date Container No. Seal No. Error Message_x000a_R467841108  2017-8-11 0.0.0.0  TCKU3614596  398071  N.A. "/>
    <s v="ROSL Availed Amount(INR) Scroll Number Scroll Date_x000a_NULL  NULL  NULL  NULL "/>
    <x v="41"/>
    <x v="1"/>
    <s v="AWB No. Gateway Port Gateway EGM No. Gateway EGM Date Gateway Site ID Error Code N.A.  INNSA1  N.A.  N.A.  N.A.  N.A. "/>
    <x v="2"/>
  </r>
  <r>
    <x v="0"/>
    <n v="7877440"/>
    <s v="2017/08/08"/>
    <x v="35"/>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x v="19"/>
    <s v="EGM No. EGM Date Container No. Seal No. Error Message_x000a_R487082008  2017-8-20 0.0.0.0  CLHU9043812  398678  N.A. "/>
    <s v="ROSL Availed Amount(INR) Scroll Number Scroll Date_x000a_N  0  ROSL NOT CLAIMED  ROSL NOT CLAIMED "/>
    <x v="42"/>
    <x v="0"/>
    <s v="AWB No. Gateway Port Gateway EGM No. Gateway EGM Date Gateway Site ID Error Code N.A.  INMUN1  137180  2017-10-18 00:00:00.0  INMUN1  ST "/>
    <x v="29"/>
  </r>
  <r>
    <x v="0"/>
    <n v="7891039"/>
    <s v="2017/08/08"/>
    <x v="36"/>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x v="29"/>
    <s v="EGM No. EGM Date Container No. Seal No. Error Message_x000a_R347041908  2017-8-19 0.0.0.0  CCSU5653592  398689  N.A. "/>
    <s v="ROSL Availed Amount(INR) Scroll Number Scroll Date_x000a_N  0  ROSL NOT CLAIMED  ROSL NOT CLAIMED "/>
    <x v="43"/>
    <x v="1"/>
    <s v="AWB No. Gateway Port Gateway EGM No. Gateway EGM Date Gateway Site ID Error Code N.A.  INNSA1  N.A.  N.A.  N.A.  N.A. "/>
    <x v="2"/>
  </r>
  <r>
    <x v="0"/>
    <n v="7891796"/>
    <s v="2017/08/08"/>
    <x v="37"/>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x v="17"/>
    <s v="EGM No. EGM Date Container No. Seal No. Error Message_x000a_T847481608  2017-8-16 0.0.0.0  SUDU7507315  398620  N.A. "/>
    <s v="ROSL Availed Amount(INR) Scroll Number Scroll Date_x000a_N  0  ROSL NOT CLAIMED  ROSL NOT CLAIMED "/>
    <x v="44"/>
    <x v="0"/>
    <s v="AWB No. Gateway Port Gateway EGM No. Gateway EGM Date Gateway Site ID Error Code N.A.  INMUN1  133566  2017-08-18 00:00:00.0  INMUN1  S "/>
    <x v="30"/>
  </r>
  <r>
    <x v="0"/>
    <n v="7903729"/>
    <s v="2017/08/09"/>
    <x v="38"/>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x v="30"/>
    <s v="EGM No. EGM Date Container No. Seal No. Error Message_x000a_T567841908  2017-8-19 0.0.0.0  CCLU6335831  398647  N.A. "/>
    <s v="ROSL Availed Amount(INR) Scroll Number Scroll Date_x000a_N  0  ROSL NOT CLAIMED  ROSL NOT CLAIMED "/>
    <x v="45"/>
    <x v="1"/>
    <s v="AWB No. Gateway Port Gateway EGM No. Gateway EGM Date Gateway Site ID Error Code N.A.  INNSA1  132938  2017-08-09 00:00:00.0  INNSA1  S "/>
    <x v="31"/>
  </r>
  <r>
    <x v="0"/>
    <n v="7905312"/>
    <s v="2017/08/09"/>
    <x v="3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x v="31"/>
    <s v="EGM No. EGM Date Container No. Seal No. Error Message_x000a_T957582308  2017-8-23 0.0.0.0  FCIU5841073  399543  N.A. "/>
    <s v="ROSL Availed Amount(INR) Scroll Number Scroll Date_x000a_N  0  ROSL NOT CLAIMED  ROSL NOT CLAIMED "/>
    <x v="46"/>
    <x v="0"/>
    <s v="AWB No. Gateway Port Gateway EGM No. Gateway EGM Date Gateway Site ID Error Code N.A.  INMUN1  134053  2017-08-28 00:00:00.0  INMUN1  S "/>
    <x v="32"/>
  </r>
  <r>
    <x v="0"/>
    <n v="7909008"/>
    <s v="2017/08/09"/>
    <x v="40"/>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x v="32"/>
    <s v="EGM No. EGM Date Container No. Seal No. Error Message_x000a_N.A.  N.A.  N.A.  N.A.  N.A. "/>
    <s v="ROSL Availed Amount(INR) Scroll Number Scroll Date_x000a_N  0  ROSL NOT CLAIMED  ROSL NOT CLAIMED "/>
    <x v="47"/>
    <x v="2"/>
    <s v="No Record found"/>
    <x v="33"/>
  </r>
  <r>
    <x v="0"/>
    <n v="7918086"/>
    <s v="2017/08/09"/>
    <x v="41"/>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x v="19"/>
    <s v="EGM No. EGM Date Container No. Seal No. Error Message_x000a_R487082008  2017-8-20 0.0.0.0  CLHU9043812  398678  N.A. "/>
    <s v="ROSL Availed Amount(INR) Scroll Number Scroll Date_x000a_N  0  ROSL NOT CLAIMED  ROSL NOT CLAIMED "/>
    <x v="48"/>
    <x v="0"/>
    <s v="AWB No. Gateway Port Gateway EGM No. Gateway EGM Date Gateway Site ID Error Code N.A.  INMUN1  137180  2017-10-18 00:00:00.0  INMUN1  ST "/>
    <x v="29"/>
  </r>
  <r>
    <x v="0"/>
    <n v="7924066"/>
    <s v="2017/08/10"/>
    <x v="42"/>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x v="33"/>
    <s v="EGM No. EGM Date Container No. Seal No. Error Message_x000a_R387561708  2017-8-17 0.0.0.0  CXDU1101779  398772  N.A. "/>
    <s v="ROSL Availed Amount(INR) Scroll Number Scroll Date_x000a_N  0  ROSL NOT CLAIMED  ROSL NOT CLAIMED "/>
    <x v="49"/>
    <x v="0"/>
    <s v="AWB No. Gateway Port Gateway EGM No. Gateway EGM Date Gateway Site ID Error Code N.A.  INMUN1  N.A.  N.A.  N.A.  N.A. "/>
    <x v="34"/>
  </r>
  <r>
    <x v="0"/>
    <n v="7935521"/>
    <s v="2017/08/10"/>
    <x v="24"/>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x v="31"/>
    <s v="EGM No. EGM Date Container No. Seal No. Error Message_x000a_T567841908  2017-8-19 0.0.0.0  CCLU6335831  398647  N.A. "/>
    <s v="ROSL Availed Amount(INR) Scroll Number Scroll Date_x000a_N  0  ROSL NOT CLAIMED  ROSL NOT CLAIMED "/>
    <x v="50"/>
    <x v="1"/>
    <s v="AWB No. Gateway Port Gateway EGM No. Gateway EGM Date Gateway Site ID Error Code N.A.  INNSA1  N.A.  N.A.  N.A.  N.A. "/>
    <x v="2"/>
  </r>
  <r>
    <x v="0"/>
    <n v="7944561"/>
    <s v="2017/08/10"/>
    <x v="43"/>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x v="34"/>
    <s v="EGM No. EGM Date Container No. Seal No. Error Message_x000a_R467902508  2017-8-25 0.0.0.0  BMOU6258360  399629  N.A. "/>
    <s v="ROSL Availed Amount(INR) Scroll Number Scroll Date_x000a_N  0  ROSL NOT CLAIMED  ROSL NOT CLAIMED "/>
    <x v="51"/>
    <x v="0"/>
    <s v="AWB No. Gateway Port Gateway EGM No. Gateway EGM Date Gateway Site ID Error Code N.A.  INMUN1  134209  2017-08-30 00:00:00.0  INMUN1  NC "/>
    <x v="35"/>
  </r>
  <r>
    <x v="0"/>
    <n v="7945866"/>
    <s v="2017/08/10"/>
    <x v="44"/>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x v="35"/>
    <s v="EGM No. EGM Date Container No. Seal No. Error Message_x000a_R957502308  2017-8-23 0.0.0.0  ZCSU6529476  399516  N.A. "/>
    <s v="ROSL Availed Amount(INR) Scroll Number Scroll Date_x000a_NULL  NULL  NULL  NULL "/>
    <x v="52"/>
    <x v="3"/>
    <s v="AWB No. Gateway Port Gateway EGM No. Gateway EGM Date Gateway Site ID Error Code N.A.  INPAV1  133808  2017-08-24 00:00:00.0  INPAV1  S "/>
    <x v="26"/>
  </r>
  <r>
    <x v="0"/>
    <n v="7955843"/>
    <s v="2017/08/11"/>
    <x v="45"/>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x v="36"/>
    <s v="EGM No. EGM Date Container No. Seal No. Error Message_x000a_TX197783108  2017-8-31 0.0.0.0  WHLU5249023  400237  N.A. "/>
    <s v="ROSL Availed Amount(INR) Scroll Number Scroll Date_x000a_N  0  ROSL NOT CLAIMED  ROSL NOT CLAIMED "/>
    <x v="53"/>
    <x v="1"/>
    <s v="AWB No. Gateway Port Gateway EGM No. Gateway EGM Date Gateway Site ID Error Code N.A.  INNSA1  N.A.  N.A.  N.A.  N.A. "/>
    <x v="2"/>
  </r>
  <r>
    <x v="0"/>
    <n v="7958295"/>
    <s v="2017/08/11"/>
    <x v="46"/>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x v="37"/>
    <s v="EGM No. EGM Date Container No. Seal No. Error Message_x000a_R127262708  2017-8-27 0.0.0.0  GESU5095600  399594  N.A. "/>
    <s v="ROSL Availed Amount(INR) Scroll Number Scroll Date_x000a_N  0  ROSL NOT CLAIMED  ROSL NOT CLAIMED "/>
    <x v="54"/>
    <x v="1"/>
    <s v="AWB No. Gateway Port Gateway EGM No. Gateway EGM Date Gateway Site ID Error Code N.A.  INNSA1  N.A.  N.A.  N.A.  N.A. "/>
    <x v="2"/>
  </r>
  <r>
    <x v="0"/>
    <n v="7961683"/>
    <s v="2017/08/11"/>
    <x v="24"/>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x v="31"/>
    <s v="EGM No. EGM Date Container No. Seal No. Error Message_x000a_T567841908  2017-8-19 0.0.0.0  CCLU6335831  398647  N.A. "/>
    <s v="ROSL Availed Amount(INR) Scroll Number Scroll Date_x000a_N  0  ROSL NOT CLAIMED  ROSL NOT CLAIMED "/>
    <x v="55"/>
    <x v="1"/>
    <s v="AWB No. Gateway Port Gateway EGM No. Gateway EGM Date Gateway Site ID Error Code N.A.  INNSA1  133227  2017-08-14 00:00:00.0  INNSA1  S "/>
    <x v="36"/>
  </r>
  <r>
    <x v="0"/>
    <n v="7968231"/>
    <s v="2017/08/11"/>
    <x v="47"/>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x v="38"/>
    <s v="EGM No. EGM Date Container No. Seal No. Error Message_x000a_R487082008  2017-8-20 0.0.0.0  BSIU2524581  398651  N.A. "/>
    <s v="ROSL Availed Amount(INR) Scroll Number Scroll Date_x000a_NULL  NULL  NULL  NULL "/>
    <x v="56"/>
    <x v="0"/>
    <s v="AWB No. Gateway Port Gateway EGM No. Gateway EGM Date Gateway Site ID Error Code N.A.  INMUN1  137180  2017-10-18 00:00:00.0  INMUN1  ST "/>
    <x v="29"/>
  </r>
  <r>
    <x v="0"/>
    <n v="7970037"/>
    <s v="2017/08/11"/>
    <x v="48"/>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x v="39"/>
    <s v="EGM No. EGM Date Container No. Seal No. Error Message_x000a_J207823108  2017-8-31 0.0.0.0  MEDU7287066  400247  N.A. "/>
    <s v="ROSL Availed Amount(INR) Scroll Number Scroll Date_x000a_N  0  ROSL NOT CLAIMED  ROSL NOT CLAIMED "/>
    <x v="57"/>
    <x v="0"/>
    <s v="AWB No. Gateway Port Gateway EGM No. Gateway EGM Date Gateway Site ID Error Code N.A.  INMUN1  134147  2017-08-29 00:00:00.0  INMUN1  S "/>
    <x v="37"/>
  </r>
  <r>
    <x v="0"/>
    <n v="7970441"/>
    <s v="2017/08/11"/>
    <x v="49"/>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x v="26"/>
    <s v="EGM No. EGM Date Container No. Seal No. Error Message_x000a_T957582308  2017-8-23 0.0.0.0  MRKU6649496  399437  N.A. "/>
    <s v="ROSL Availed Amount(INR) Scroll Number Scroll Date_x000a_N  0  ROSL NOT CLAIMED  ROSL NOT CLAIMED "/>
    <x v="58"/>
    <x v="0"/>
    <s v="AWB No. Gateway Port Gateway EGM No. Gateway EGM Date Gateway Site ID Error Code N.A.  INMUN1  134794  2017-09-08 00:00:00.0  INMUN1  S "/>
    <x v="38"/>
  </r>
  <r>
    <x v="0"/>
    <n v="7971432"/>
    <s v="2017/08/11"/>
    <x v="50"/>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x v="33"/>
    <s v="EGM No. EGM Date Container No. Seal No. Error Message_x000a_R857781808  2017-8-18 0.0.0.0  UNIU2052951  398643  N.A. "/>
    <s v="ROSL Availed Amount(INR) Scroll Number Scroll Date_x000a_N  0  ROSL NOT CLAIMED  ROSL NOT CLAIMED "/>
    <x v="59"/>
    <x v="3"/>
    <s v="AWB No. Gateway Port Gateway EGM No. Gateway EGM Date Gateway Site ID Error Code N.A.  INPAV1  133387  2017-08-16 00:00:00.0  INPAV1  S "/>
    <x v="39"/>
  </r>
  <r>
    <x v="0"/>
    <n v="7984652"/>
    <s v="2017/08/12"/>
    <x v="51"/>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x v="40"/>
    <s v="EGM No. EGM Date Container No. Seal No. Error Message_x000a_R127262708  2017-8-27 0.0.0.0  HASU1199758  399248  N.A. "/>
    <s v="ROSL Availed Amount(INR) Scroll Number Scroll Date_x000a_N  0  ROSL NOT CLAIMED  ROSL NOT CLAIMED "/>
    <x v="60"/>
    <x v="1"/>
    <s v="AWB No. Gateway Port Gateway EGM No. Gateway EGM Date Gateway Site ID Error Code N.A.  INNSA1  133031  2017-08-10 00:00:00.0  INNSA1  S "/>
    <x v="40"/>
  </r>
  <r>
    <x v="0"/>
    <n v="8018847"/>
    <s v="2017/08/15"/>
    <x v="52"/>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x v="40"/>
    <s v="EGM No. EGM Date Container No. Seal No. Error Message_x000a_R207802508  2017-8-25 0.0.0.0  MSKU7268433  399449  N.A. "/>
    <s v="ROSL Availed Amount(INR) Scroll Number Scroll Date_x000a_N  0  ROSL NOT CLAIMED  ROSL NOT CLAIMED "/>
    <x v="61"/>
    <x v="3"/>
    <s v="AWB No. Gateway Port Gateway EGM No. Gateway EGM Date Gateway Site ID Error Code N.A.  INPAV1  132215  2017-07-26 00:00:00.0  INPAV1  S "/>
    <x v="41"/>
  </r>
  <r>
    <x v="0"/>
    <n v="8022473"/>
    <s v="2017/08/16"/>
    <x v="53"/>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x v="41"/>
    <s v="EGM No. EGM Date Container No. Seal No. Error Message_x000a_R807442208  2017-8-22 0.0.0.0  PCIU8179227  399508  N.A. "/>
    <s v="ROSL Availed Amount(INR) Scroll Number Scroll Date_x000a_N  0  ROSL NOT CLAIMED  ROSL NOT CLAIMED "/>
    <x v="62"/>
    <x v="1"/>
    <s v="AWB No. Gateway Port Gateway EGM No. Gateway EGM Date Gateway Site ID Error Code N.A.  INNSA1  134040  2017-08-28 00:00:00.0  INNSA1  S "/>
    <x v="42"/>
  </r>
  <r>
    <x v="0"/>
    <n v="8035307"/>
    <s v="2017/08/16"/>
    <x v="54"/>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x v="42"/>
    <s v="EGM No. EGM Date Container No. Seal No. Error Message_x000a_R87120209  2017-9-2 0.0.0.0  TCNU7158117  401010  N.A. "/>
    <s v="ROSL Availed Amount(INR) Scroll Number Scroll Date_x000a_N  0  ROSL NOT CLAIMED  ROSL NOT CLAIMED "/>
    <x v="63"/>
    <x v="1"/>
    <s v="AWB No. Gateway Port Gateway EGM No. Gateway EGM Date Gateway Site ID Error Code N.A.  INNSA1  133314  2017-08-16 00:00:00.0  INNSA1  S "/>
    <x v="43"/>
  </r>
  <r>
    <x v="0"/>
    <n v="8039228"/>
    <s v="2017/08/16"/>
    <x v="25"/>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x v="43"/>
    <s v="EGM No. EGM Date Container No. Seal No. Error Message_x000a_R127262708  2017-8-27 0.0.0.0  RFCU2145800  399580  N.A. "/>
    <s v="ROSL Availed Amount(INR) Scroll Number Scroll Date_x000a_N  0  ROSL NOT CLAIMED  ROSL NOT CLAIMED "/>
    <x v="64"/>
    <x v="1"/>
    <s v="AWB No. Gateway Port Gateway EGM No. Gateway EGM Date Gateway Site ID Error Code N.A.  INNSA1  N.A.  N.A.  N.A.  N.A. "/>
    <x v="2"/>
  </r>
  <r>
    <x v="0"/>
    <n v="8055596"/>
    <s v="2017/08/17"/>
    <x v="8"/>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x v="44"/>
    <s v="EGM No. EGM Date Container No. Seal No. Error Message_x000a_T957582308  2017-8-23 0.0.0.0  HASU4272343  399531  N.A. "/>
    <s v="ROSL Availed Amount(INR) Scroll Number Scroll Date_x000a_N  0  ROSL NOT CLAIMED  ROSL NOT CLAIMED "/>
    <x v="65"/>
    <x v="0"/>
    <s v="AWB No. Gateway Port Gateway EGM No. Gateway EGM Date Gateway Site ID Error Code N.A.  INMUN1  134051  2017-08-28 00:00:00.0  INMUN1  S "/>
    <x v="44"/>
  </r>
  <r>
    <x v="0"/>
    <n v="8061134"/>
    <s v="2017/08/17"/>
    <x v="25"/>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x v="45"/>
    <s v="EGM No. EGM Date Container No. Seal No. Error Message_x000a_R87120209  2017-9-2 0.0.0.0  TGHU7862323  4001009  N.A. "/>
    <s v="ROSL Availed Amount(INR) Scroll Number Scroll Date_x000a_N  0  ROSL NOT CLAIMED  ROSL NOT CLAIMED "/>
    <x v="66"/>
    <x v="1"/>
    <s v="AWB No. Gateway Port Gateway EGM No. Gateway EGM Date Gateway Site ID Error Code N.A.  INNSA1  134474  2017-09-04 00:00:00.0  INNSA1  C "/>
    <x v="45"/>
  </r>
  <r>
    <x v="0"/>
    <n v="8065467"/>
    <s v="2017/08/17"/>
    <x v="55"/>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x v="37"/>
    <s v="EGM No. EGM Date Container No. Seal No. Error Message_x000a_R577683008  2017-8-30 0.0.0.0  AXIU2216000  399584  N.A. "/>
    <s v="Please Wait...."/>
    <x v="67"/>
    <x v="0"/>
    <s v="AWB No. Gateway Port Gateway EGM No. Gateway EGM Date Gateway Site ID Error Code N.A.  INMUN1  137180  2017-10-18 00:00:00.0  INMUN1  ST "/>
    <x v="29"/>
  </r>
  <r>
    <x v="0"/>
    <n v="8065602"/>
    <s v="2017/08/17"/>
    <x v="56"/>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x v="46"/>
    <s v="EGM No. EGM Date Container No. Seal No. Error Message_x000a_R917162708  2017-8-27 0.0.0.0  WHLU5136177  400214  N.A. "/>
    <s v="ROSL Availed Amount(INR) Scroll Number Scroll Date_x000a_NULL  NULL  NULL  NULL "/>
    <x v="68"/>
    <x v="1"/>
    <s v="AWB No. Gateway Port Gateway EGM No. Gateway EGM Date Gateway Site ID Error Code N.A.  INNSA1  134681  2017-09-07 00:00:00.0  INNSA1  S "/>
    <x v="46"/>
  </r>
  <r>
    <x v="0"/>
    <n v="8067051"/>
    <s v="2017/08/17"/>
    <x v="5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x v="47"/>
    <s v="EGM No. EGM Date Container No. Seal No. Error Message_x000a_R1477100209  2017-9-2 0.0.0.0  FSCU9987548  401004  N.A. "/>
    <s v="ROSL Availed Amount(INR) Scroll Number Scroll Date_x000a_N  0  ROSL NOT CLAIMED  ROSL NOT CLAIMED "/>
    <x v="69"/>
    <x v="0"/>
    <s v="AWB No. Gateway Port Gateway EGM No. Gateway EGM Date Gateway Site ID Error Code N.A.  INMUN1  133949  2017-08-26 00:00:00.0  INMUN1  S "/>
    <x v="47"/>
  </r>
  <r>
    <x v="0"/>
    <n v="8086454"/>
    <s v="2017/08/18"/>
    <x v="5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x v="48"/>
    <s v="EGM No. EGM Date Container No. Seal No. Error Message_x000a_R917162708  2017-8-27 0.0.0.0  TCLU9275028  399574  N.A. "/>
    <s v="ROSL Availed Amount(INR) Scroll Number Scroll Date_x000a_NULL  NULL  NULL  NULL "/>
    <x v="70"/>
    <x v="1"/>
    <s v="AWB No. Gateway Port Gateway EGM No. Gateway EGM Date Gateway Site ID Error Code N.A.  INNSA1  133604  2017-08-19 00:00:00.0  INNSA1  S "/>
    <x v="48"/>
  </r>
  <r>
    <x v="0"/>
    <n v="8090388"/>
    <s v="2017/08/18"/>
    <x v="59"/>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x v="37"/>
    <s v="EGM No. EGM Date Container No. Seal No. Error Message_x000a_R027922508  2017-8-25 0.0.0.0  TCLU9529586  003209  N.A. "/>
    <s v="ROSL Availed Amount(INR) Scroll Number Scroll Date_x000a_N  0  ROSL NOT CLAIMED  ROSL NOT CLAIMED "/>
    <x v="71"/>
    <x v="0"/>
    <s v="AWB No. Gateway Port Gateway EGM No. Gateway EGM Date Gateway Site ID Error Code N.A.  INMUN1  134147  2017-08-29 00:00:00.0  INMUN1  S "/>
    <x v="37"/>
  </r>
  <r>
    <x v="0"/>
    <n v="8091385"/>
    <s v="2017/08/18"/>
    <x v="60"/>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x v="43"/>
    <s v="EGM No. EGM Date Container No. Seal No. Error Message_x000a_R557142608  2017-8-26 0.0.0.0  VMLU3500891  399839  N.A. "/>
    <s v="ROSL Availed Amount(INR) Scroll Number Scroll Date_x000a_N  0  ROSL NOT CLAIMED  ROSL NOT CLAIMED "/>
    <x v="72"/>
    <x v="0"/>
    <s v="AWB No. Gateway Port Gateway EGM No. Gateway EGM Date Gateway Site ID Error Code N.A.  INMUN1  N.A.  N.A.  N.A.  N.A. "/>
    <x v="34"/>
  </r>
  <r>
    <x v="0"/>
    <n v="8102896"/>
    <s v="2017/08/19"/>
    <x v="61"/>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x v="37"/>
    <s v="EGM No. EGM Date Container No. Seal No. Error Message_x000a_TX187202708  2017-8-27 0.0.0.0  DRYU9598215  399569  N.A. "/>
    <s v="ROSL Availed Amount(INR) Scroll Number Scroll Date_x000a_N  0  ROSL NOT CLAIMED  ROSL NOT CLAIMED "/>
    <x v="73"/>
    <x v="0"/>
    <s v="AWB No. Gateway Port Gateway EGM No. Gateway EGM Date Gateway Site ID Error Code N.A.  INMUN1  137180  2017-10-18 00:00:00.0  INMUN1  ST "/>
    <x v="29"/>
  </r>
  <r>
    <x v="0"/>
    <n v="8122393"/>
    <s v="2017/08/20"/>
    <x v="62"/>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x v="49"/>
    <s v="EGM No. EGM Date Container No. Seal No. Error Message_x000a_T917703008  2017-8-30 0.0.0.0  EMCU3961694  400391  N.A. "/>
    <s v="ROSL Availed Amount(INR) Scroll Number Scroll Date_x000a_N  0  ROSL NOT CLAIMED  ROSL NOT CLAIMED "/>
    <x v="74"/>
    <x v="1"/>
    <s v="AWB No. Gateway Port Gateway EGM No. Gateway EGM Date Gateway Site ID Error Code N.A.  INNSA1  133611  2017-08-21 00:00:00.0  INNSA1  S "/>
    <x v="49"/>
  </r>
  <r>
    <x v="0"/>
    <n v="8128641"/>
    <s v="2017/08/21"/>
    <x v="63"/>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x v="50"/>
    <s v="EGM No. EGM Date Container No. Seal No. Error Message_x000a_TR5624  2018-1-11 0.0.0.0  BEAU4057547  400081  N.A. "/>
    <s v="ROSL Availed Amount(INR) Scroll Number Scroll Date_x000a_N  0  ROSL NOT CLAIMED  ROSL NOT CLAIMED "/>
    <x v="75"/>
    <x v="1"/>
    <s v="AWB No. Gateway Port Gateway EGM No. Gateway EGM Date Gateway Site ID Error Code N.A.  INNSA1  N.A.  N.A.  N.A.  N.A. "/>
    <x v="2"/>
  </r>
  <r>
    <x v="0"/>
    <n v="8140525"/>
    <s v="2017/08/21"/>
    <x v="64"/>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x v="37"/>
    <s v="EGM No. EGM Date Container No. Seal No. Error Message_x000a_T777562908  2017-8-29 0.0.0.0  ZCSU6509680  400220  N.A. "/>
    <s v="ROSL Availed Amount(INR) Scroll Number Scroll Date_x000a_N  0  ROSL NOT CLAIMED  ROSL NOT CLAIMED "/>
    <x v="76"/>
    <x v="3"/>
    <s v="AWB No. Gateway Port Gateway EGM No. Gateway EGM Date Gateway Site ID Error Code N.A.  INPAV1  131777  2017-07-19 00:00:00.0  INPAV1  L "/>
    <x v="50"/>
  </r>
  <r>
    <x v="0"/>
    <n v="8140947"/>
    <s v="2017/08/21"/>
    <x v="26"/>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x v="37"/>
    <s v="EGM No. EGM Date Container No. Seal No. Error Message_x000a_R917162708  2017-8-27 0.0.0.0  WSCU8099149  399598  N.A. "/>
    <s v="ROSL Availed Amount(INR) Scroll Number Scroll Date_x000a_N  0  ROSL NOT CLAIMED  ROSL NOT CLAIMED "/>
    <x v="77"/>
    <x v="1"/>
    <s v="AWB No. Gateway Port Gateway EGM No. Gateway EGM Date Gateway Site ID Error Code N.A.  INNSA1  N.A.  N.A.  N.A.  N.A. "/>
    <x v="2"/>
  </r>
  <r>
    <x v="0"/>
    <n v="8144422"/>
    <s v="2017/08/21"/>
    <x v="65"/>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x v="51"/>
    <s v="EGM No. EGM Date Container No. Seal No. Error Message_x000a_T877720509  2017-9-5 0.0.0.0  TCNU9608445  401062  N.A. "/>
    <s v="ROSL Availed Amount(INR) Scroll Number Scroll Date_x000a_NULL  NULL  NULL  NULL "/>
    <x v="78"/>
    <x v="1"/>
    <s v="AWB No. Gateway Port Gateway EGM No. Gateway EGM Date Gateway Site ID Error Code N.A.  INNSA1  134462  2017-09-04 00:00:00.0  INNSA1  S "/>
    <x v="51"/>
  </r>
  <r>
    <x v="0"/>
    <n v="8146066"/>
    <s v="2017/08/21"/>
    <x v="66"/>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x v="52"/>
    <s v="EGM No. EGM Date Container No. Seal No. Error Message_x000a_R317382808  2017-8-28 0.0.0.0  HJMU2911781  400157  N.A. "/>
    <s v="ROSL Availed Amount(INR) Scroll Number Scroll Date_x000a_N  0  ROSL NOT CLAIMED  ROSL NOT CLAIMED "/>
    <x v="79"/>
    <x v="0"/>
    <s v="AWB No. Gateway Port Gateway EGM No. Gateway EGM Date Gateway Site ID Error Code N.A.  INMUN1  134134  2017-08-29 00:00:00.0  INMUN1  S "/>
    <x v="52"/>
  </r>
  <r>
    <x v="0"/>
    <n v="8146068"/>
    <s v="2017/08/21"/>
    <x v="66"/>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x v="37"/>
    <s v="EGM No. EGM Date Container No. Seal No. Error Message_x000a_R317382808  2017-8-28 0.0.0.0  HJMU2911781  400157  N.A. "/>
    <s v="ROSL Availed Amount(INR) Scroll Number Scroll Date_x000a_N  0  ROSL NOT CLAIMED  ROSL NOT CLAIMED "/>
    <x v="80"/>
    <x v="0"/>
    <s v="AWB No. Gateway Port Gateway EGM No. Gateway EGM Date Gateway Site ID Error Code N.A.  INMUN1  134134  2017-08-29 00:00:00.0  INMUN1  S "/>
    <x v="52"/>
  </r>
  <r>
    <x v="0"/>
    <n v="8159434"/>
    <s v="2017/08/22"/>
    <x v="67"/>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x v="53"/>
    <s v="EGM No. EGM Date Container No. Seal No. Error Message_x000a_J187200809  2017-9-8 0.0.0.0  BMOU6028286  401251  N.A. "/>
    <s v="ROSL Availed Amount(INR) Scroll Number Scroll Date_x000a_N  0  ROSL NOT CLAIMED  ROSL NOT CLAIMED "/>
    <x v="81"/>
    <x v="0"/>
    <s v="AWB No. Gateway Port Gateway EGM No. Gateway EGM Date Gateway Site ID Error Code N.A.  INMUN1  134209  2017-08-30 00:00:00.0  INMUN1  S "/>
    <x v="53"/>
  </r>
  <r>
    <x v="0"/>
    <n v="8160683"/>
    <s v="2017/08/22"/>
    <x v="67"/>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x v="53"/>
    <s v="EGM No. EGM Date Container No. Seal No. Error Message_x000a_J187200809  2017-9-8 0.0.0.0  BMOU6028286  401251  N.A. "/>
    <s v="ROSL Availed Amount(INR) Scroll Number Scroll Date_x000a_N  0  ROSL NOT CLAIMED  ROSL NOT CLAIMED "/>
    <x v="82"/>
    <x v="0"/>
    <s v="AWB No. Gateway Port Gateway EGM No. Gateway EGM Date Gateway Site ID Error Code N.A.  INMUN1  134209  2017-08-30 00:00:00.0  INMUN1  S "/>
    <x v="53"/>
  </r>
  <r>
    <x v="0"/>
    <n v="8169500"/>
    <s v="2017/08/22"/>
    <x v="68"/>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x v="54"/>
    <s v="EGM No. EGM Date Container No. Seal No. Error Message_x000a_T707121409  2017-9-14 0.0.0.0  PONU1385155  401038  N.A. "/>
    <s v="ROSL Availed Amount(INR) Scroll Number Scroll Date_x000a_NULL  NULL  NULL  NULL "/>
    <x v="83"/>
    <x v="1"/>
    <s v="AWB No. Gateway Port Gateway EGM No. Gateway EGM Date Gateway Site ID Error Code N.A.  INNSA1  133453  2017-08-17 00:00:00.0  INNSA1  S "/>
    <x v="54"/>
  </r>
  <r>
    <x v="0"/>
    <n v="8170873"/>
    <s v="2017/08/22"/>
    <x v="69"/>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x v="55"/>
    <s v="EGM No. EGM Date Container No. Seal No. Error Message_x000a_J207160709  2017-9-7 0.0.0.0  TCNU3029050  401092  N.A. "/>
    <s v="ROSL Availed Amount(INR) Scroll Number Scroll Date_x000a_N  0  ROSL NOT CLAIMED  ROSL NOT CLAIMED "/>
    <x v="84"/>
    <x v="1"/>
    <s v="AWB No. Gateway Port Gateway EGM No. Gateway EGM Date Gateway Site ID Error Code N.A.  INNSA1  134462  2017-09-04 00:00:00.0  INNSA1  S "/>
    <x v="51"/>
  </r>
  <r>
    <x v="0"/>
    <n v="8173971"/>
    <s v="2017/08/22"/>
    <x v="70"/>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x v="45"/>
    <s v="EGM No. EGM Date Container No. Seal No. Error Message_x000a_T677920109  2017-9-1 0.0.0.0  CMAU0445325  400284  N.A. "/>
    <s v="ROSL Availed Amount(INR) Scroll Number Scroll Date_x000a_N  0  ROSL NOT CLAIMED  ROSL NOT CLAIMED "/>
    <x v="85"/>
    <x v="0"/>
    <s v="AWB No. Gateway Port Gateway EGM No. Gateway EGM Date Gateway Site ID Error Code N.A.  INMUN1  134487  2017-09-04 00:00:00.0  INMUN1  S "/>
    <x v="55"/>
  </r>
  <r>
    <x v="0"/>
    <n v="8180485"/>
    <s v="2017/08/23"/>
    <x v="2"/>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x v="51"/>
    <s v="EGM No. EGM Date Container No. Seal No. Error Message_x000a_R267422908  2017-8-29 0.0.0.0  WHLU5156390  400214  N.A. "/>
    <s v="ROSL Availed Amount(INR) Scroll Number Scroll Date_x000a_NULL  NULL  NULL  NULL "/>
    <x v="86"/>
    <x v="1"/>
    <s v="AWB No. Gateway Port Gateway EGM No. Gateway EGM Date Gateway Site ID Error Code N.A.  INNSA1  N.A.  N.A.  N.A.  N.A. "/>
    <x v="2"/>
  </r>
  <r>
    <x v="0"/>
    <n v="8190870"/>
    <s v="2017/08/23"/>
    <x v="71"/>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x v="56"/>
    <s v="EGM No. EGM Date Container No. Seal No. Error Message_x000a_R507320309  2017-9-3 0.0.0.0  YMLU3007152  401008  N.A. "/>
    <s v="ROSL Availed Amount(INR) Scroll Number Scroll Date_x000a_N  0  ROSL NOT CLAIMED  ROSL NOT CLAIMED "/>
    <x v="87"/>
    <x v="1"/>
    <s v="AWB No. Gateway Port Gateway EGM No. Gateway EGM Date Gateway Site ID Error Code N.A.  INNSA1  N.A.  N.A.  N.A.  N.A. "/>
    <x v="2"/>
  </r>
  <r>
    <x v="0"/>
    <n v="8201692"/>
    <s v="2017/08/24"/>
    <x v="72"/>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x v="52"/>
    <s v="EGM No. EGM Date Container No. Seal No. Error Message_x000a_J247502908  2017-8-29 0.0.0.0  CRSU1065595  400161  N.A. "/>
    <s v="ROSL Availed Amount(INR) Scroll Number Scroll Date_x000a_N  0  ROSL NOT CLAIMED  ROSL NOT CLAIMED "/>
    <x v="88"/>
    <x v="0"/>
    <s v="AWB No. Gateway Port Gateway EGM No. Gateway EGM Date Gateway Site ID Error Code N.A.  INMUN1  133789  2017-08-23 00:00:00.0  INMUN1  S "/>
    <x v="56"/>
  </r>
  <r>
    <x v="0"/>
    <n v="8204016"/>
    <s v="2017/08/24"/>
    <x v="73"/>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x v="56"/>
    <s v="EGM No. EGM Date Container No. Seal No. Error Message_x000a_T987883108  2017-8-31 0.0.0.0  FSCU9016795  400271  N.A. "/>
    <s v="ROSL Availed Amount(INR) Scroll Number Scroll Date_x000a_N  0  ROSL NOT CLAIMED  ROSL NOT CLAIMED "/>
    <x v="89"/>
    <x v="1"/>
    <s v="AWB No. Gateway Port Gateway EGM No. Gateway EGM Date Gateway Site ID Error Code N.A.  INNSA1  N.A.  N.A.  N.A.  N.A. "/>
    <x v="2"/>
  </r>
  <r>
    <x v="0"/>
    <n v="8216051"/>
    <s v="2017/08/24"/>
    <x v="40"/>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x v="57"/>
    <s v="EGM No. EGM Date Container No. Seal No. Error Message_x000a_R87120209  2017-9-2 0.0.0.0  TCNU9495631  401027  N.A. "/>
    <s v="ROSL Availed Amount(INR) Scroll Number Scroll Date_x000a_N  0  ROSL NOT CLAIMED  ROSL NOT CLAIMED "/>
    <x v="90"/>
    <x v="1"/>
    <s v="AWB No. Gateway Port Gateway EGM No. Gateway EGM Date Gateway Site ID Error Code N.A.  INNSA1  134167  2017-08-29 00:00:00.0  INNSA1  S "/>
    <x v="57"/>
  </r>
  <r>
    <x v="0"/>
    <n v="8216744"/>
    <s v="2017/08/24"/>
    <x v="7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x v="55"/>
    <s v="EGM No. EGM Date Container No. Seal No. Error Message_x000a_R967440909  2017-9-9 0.0.0.0  TRHU2939342  401884  N.A. "/>
    <s v="ROSL Availed Amount(INR) Scroll Number Scroll Date_x000a_N  0  ROSL NOT CLAIMED  ROSL NOT CLAIMED "/>
    <x v="91"/>
    <x v="0"/>
    <s v="AWB No. Gateway Port Gateway EGM No. Gateway EGM Date Gateway Site ID Error Code N.A.  INMUN1  135378  2017-09-19 00:00:00.0  INMUN1  S "/>
    <x v="58"/>
  </r>
  <r>
    <x v="0"/>
    <n v="8220992"/>
    <s v="2017/08/24"/>
    <x v="75"/>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x v="58"/>
    <s v="EGM No. EGM Date Container No. Seal No. Error Message_x000a_T657743008  2017-8-30 0.0.0.0  NYKU3374976  400579  N.A. "/>
    <s v="ROSL Availed Amount(INR) Scroll Number Scroll Date_x000a_N  0  ROSL NOT CLAIMED  ROSL NOT CLAIMED "/>
    <x v="92"/>
    <x v="3"/>
    <s v="AWB No. Gateway Port Gateway EGM No. Gateway EGM Date Gateway Site ID Error Code N.A.  INPAV1  134074  2017-08-28 00:00:00.0  INPAV1  S "/>
    <x v="59"/>
  </r>
  <r>
    <x v="0"/>
    <n v="8222240"/>
    <s v="2017/08/24"/>
    <x v="76"/>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x v="59"/>
    <s v="EGM No. EGM Date Container No. Seal No. Error Message_x000a_R577683008  2017-8-30 0.0.0.0  BAXU2611948  400226  N.A. "/>
    <s v="ROSL Availed Amount(INR) Scroll Number Scroll Date_x000a_NULL  NULL  NULL  NULL "/>
    <x v="93"/>
    <x v="0"/>
    <s v="AWB No. Gateway Port Gateway EGM No. Gateway EGM Date Gateway Site ID Error Code N.A.  INMUN1  140358  2017-12-08 00:00:00.0  INMUN1  ST "/>
    <x v="60"/>
  </r>
  <r>
    <x v="0"/>
    <n v="8228343"/>
    <s v="2017/08/24"/>
    <x v="77"/>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x v="60"/>
    <s v="EGM No. EGM Date Container No. Seal No. Error Message_x000a_J207823108  2017-8-31 0.0.0.0  OOCU6867324  400241  N.A. "/>
    <s v="ROSL Availed Amount(INR) Scroll Number Scroll Date_x000a_Y  9464  25934/2018  2018-3-20 0.0.0.0 "/>
    <x v="94"/>
    <x v="0"/>
    <s v="AWB No. Gateway Port Gateway EGM No. Gateway EGM Date Gateway Site ID Error Code N.A.  INMUN1  134796  2017-09-08 00:00:00.0  INMUN1  S "/>
    <x v="61"/>
  </r>
  <r>
    <x v="0"/>
    <n v="8234289"/>
    <s v="2017/08/25"/>
    <x v="78"/>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x v="61"/>
    <s v="EGM No. EGM Date Container No. Seal No. Error Message_x000a_R1477100209  2017-9-2 0.0.0.0  SUDU1912157  401025  N.A. "/>
    <s v="ROSL Availed Amount(INR) Scroll Number Scroll Date_x000a_N  0  ROSL NOT CLAIMED  ROSL NOT CLAIMED "/>
    <x v="95"/>
    <x v="0"/>
    <s v="AWB No. Gateway Port Gateway EGM No. Gateway EGM Date Gateway Site ID Error Code N.A.  INMUN1  134487  2017-09-04 00:00:00.0  INMUN1  S "/>
    <x v="55"/>
  </r>
  <r>
    <x v="0"/>
    <n v="8235656"/>
    <s v="2017/08/25"/>
    <x v="79"/>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x v="53"/>
    <s v="EGM No. EGM Date Container No. Seal No. Error Message_x000a_R487220809  2017-9-8 0.0.0.0  TCLU5962520  401218  N.A. "/>
    <s v="ROSL Availed Amount(INR) Scroll Number Scroll Date_x000a_Y  73774  25637/2017  2017-9-20 0.0.0.0 "/>
    <x v="96"/>
    <x v="0"/>
    <s v="AWB No. Gateway Port Gateway EGM No. Gateway EGM Date Gateway Site ID Error Code N.A.  INMUN1  134795  2017-09-08 00:00:00.0  INMUN1  S "/>
    <x v="62"/>
  </r>
  <r>
    <x v="0"/>
    <n v="8239122"/>
    <s v="2017/08/25"/>
    <x v="80"/>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x v="49"/>
    <s v="EGM No. EGM Date Container No. Seal No. Error Message_x000a_T777562908  2017-8-29 0.0.0.0  MSKU8840543  400310  N.A. "/>
    <s v="ROSL Availed Amount(INR) Scroll Number Scroll Date_x000a_Y  205784  25635/2017  2017-9-15 0.0.0.0 "/>
    <x v="97"/>
    <x v="3"/>
    <s v="AWB No. Gateway Port Gateway EGM No. Gateway EGM Date Gateway Site ID Error Code N.A.  INPAV1  132218  2017-07-26 00:00:00.0  INPAV1  S "/>
    <x v="63"/>
  </r>
  <r>
    <x v="0"/>
    <n v="8239128"/>
    <s v="2017/08/25"/>
    <x v="80"/>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x v="49"/>
    <s v="EGM No. EGM Date Container No. Seal No. Error Message_x000a_T777562908  2017-8-29 0.0.0.0  MSKU8840543  400310  N.A. "/>
    <s v="ROSL Availed Amount(INR) Scroll Number Scroll Date_x000a_Y  205784  25635/2017  2017-9-15 0.0.0.0 "/>
    <x v="97"/>
    <x v="3"/>
    <s v="AWB No. Gateway Port Gateway EGM No. Gateway EGM Date Gateway Site ID Error Code N.A.  INPAV1  132218  2017-07-26 00:00:00.0  INPAV1  S "/>
    <x v="63"/>
  </r>
  <r>
    <x v="0"/>
    <n v="8239129"/>
    <s v="2017/08/25"/>
    <x v="80"/>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x v="49"/>
    <s v="EGM No. EGM Date Container No. Seal No. Error Message_x000a_T777562908  2017-8-29 0.0.0.0  MSKU8840543  400310  N.A. "/>
    <s v="ROSL Availed Amount(INR) Scroll Number Scroll Date_x000a_Y  205784  25635/2017  2017-9-15 0.0.0.0 "/>
    <x v="97"/>
    <x v="3"/>
    <s v="AWB No. Gateway Port Gateway EGM No. Gateway EGM Date Gateway Site ID Error Code N.A.  INPAV1  132218  2017-07-26 00:00:00.0  INPAV1  S "/>
    <x v="63"/>
  </r>
  <r>
    <x v="0"/>
    <n v="8241970"/>
    <s v="2017/08/25"/>
    <x v="80"/>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x v="58"/>
    <s v="EGM No. EGM Date Container No. Seal No. Error Message_x000a_R477723008  2017-8-30 0.0.0.0  MRKU2773364  400587  N.A. "/>
    <s v="ROSL Availed Amount(INR) Scroll Number Scroll Date_x000a_Y  200821  25635/2017  2017-9-15 0.0.0.0 "/>
    <x v="98"/>
    <x v="3"/>
    <s v="AWB No. Gateway Port Gateway EGM No. Gateway EGM Date Gateway Site ID Error Code N.A.  INPAV1  132218  2017-07-26 00:00:00.0  INPAV1  S "/>
    <x v="63"/>
  </r>
  <r>
    <x v="0"/>
    <n v="8241971"/>
    <s v="2017/08/25"/>
    <x v="80"/>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x v="58"/>
    <s v="EGM No. EGM Date Container No. Seal No. Error Message_x000a_R477723008  2017-8-30 0.0.0.0  MRKU2773364  400587  N.A. "/>
    <s v="ROSL Availed Amount(INR) Scroll Number Scroll Date_x000a_Y  200821  25635/2017  2017-9-15 0.0.0.0 "/>
    <x v="98"/>
    <x v="3"/>
    <s v="AWB No. Gateway Port Gateway EGM No. Gateway EGM Date Gateway Site ID Error Code N.A.  INPAV1  132218  2017-07-26 00:00:00.0  INPAV1  S "/>
    <x v="63"/>
  </r>
  <r>
    <x v="0"/>
    <n v="8241978"/>
    <s v="2017/08/25"/>
    <x v="80"/>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x v="58"/>
    <s v="EGM No. EGM Date Container No. Seal No. Error Message_x000a_R477723008  2017-8-30 0.0.0.0  MRKU2773364  400587  N.A. "/>
    <s v="ROSL Availed Amount(INR) Scroll Number Scroll Date_x000a_Y  187266  25635/2017  2017-9-15 0.0.0.0 "/>
    <x v="99"/>
    <x v="3"/>
    <s v="AWB No. Gateway Port Gateway EGM No. Gateway EGM Date Gateway Site ID Error Code N.A.  INPAV1  132218  2017-07-26 00:00:00.0  INPAV1  S "/>
    <x v="63"/>
  </r>
  <r>
    <x v="0"/>
    <n v="8247826"/>
    <s v="2017/08/26"/>
    <x v="81"/>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x v="58"/>
    <s v="EGM No. EGM Date Container No. Seal No. Error Message_x000a_T657743008  2017-8-30 0.0.0.0  MRKU5421562  400543  N.A. "/>
    <s v="ROSL Availed Amount(INR) Scroll Number Scroll Date_x000a_N  0  ROSL NOT CLAIMED  ROSL NOT CLAIMED "/>
    <x v="100"/>
    <x v="3"/>
    <s v="AWB No. Gateway Port Gateway EGM No. Gateway EGM Date Gateway Site ID Error Code N.A.  INPAV1  134066  2017-08-28 00:00:00.0  INPAV1  S "/>
    <x v="64"/>
  </r>
  <r>
    <x v="0"/>
    <n v="8249349"/>
    <s v="2017/08/26"/>
    <x v="22"/>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x v="62"/>
    <s v="EGM No. EGM Date Container No. Seal No. Error Message_x000a_J277920609  2017-9-6 0.0.0.0  GVCU2190150  404072  N.A. "/>
    <s v="ROSL Availed Amount(INR) Scroll Number Scroll Date_x000a_N  0  ROSL NOT CLAIMED  ROSL NOT CLAIMED "/>
    <x v="101"/>
    <x v="1"/>
    <s v="AWB No. Gateway Port Gateway EGM No. Gateway EGM Date Gateway Site ID Error Code N.A.  INNSA1  N.A.  N.A.  N.A.  N.A. "/>
    <x v="2"/>
  </r>
  <r>
    <x v="0"/>
    <n v="8263241"/>
    <s v="2017/08/26"/>
    <x v="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x v="62"/>
    <s v="EGM No. EGM Date Container No. Seal No. Error Message_x000a_R87120209  2017-9-2 0.0.0.0  TRHU1951343  401012  N.A. "/>
    <s v="ROSL Availed Amount(INR) Scroll Number Scroll Date_x000a_N  0  ROSL NOT CLAIMED  ROSL NOT CLAIMED "/>
    <x v="102"/>
    <x v="1"/>
    <s v="AWB No. Gateway Port Gateway EGM No. Gateway EGM Date Gateway Site ID Error Code N.A.  INNSA1  N.A.  N.A.  N.A.  N.A. "/>
    <x v="2"/>
  </r>
  <r>
    <x v="0"/>
    <n v="8288523"/>
    <s v="2017/08/28"/>
    <x v="82"/>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x v="62"/>
    <s v="EGM No. EGM Date Container No. Seal No. Error Message_x000a_R547020109  2017-9-1 0.0.0.0  MRKU3880984  400965  N.A. "/>
    <s v="ROSL Availed Amount(INR) Scroll Number Scroll Date_x000a_Y  172686  25635/2017  2017-9-15 0.0.0.0 "/>
    <x v="103"/>
    <x v="3"/>
    <s v="AWB No. Gateway Port Gateway EGM No. Gateway EGM Date Gateway Site ID Error Code N.A.  INPAV1  132218  2017-07-26 00:00:00.0  INPAV1  S "/>
    <x v="63"/>
  </r>
  <r>
    <x v="0"/>
    <n v="8290768"/>
    <s v="2017/08/28"/>
    <x v="83"/>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x v="62"/>
    <s v="EGM No. EGM Date Container No. Seal No. Error Message_x000a_R547020109  2017-9-1 0.0.0.0  MSKU9114648  400966  N.A. "/>
    <s v="ROSL Availed Amount(INR) Scroll Number Scroll Date_x000a_Y  207223  25635/2017  2017-9-15 0.0.0.0 "/>
    <x v="104"/>
    <x v="3"/>
    <s v="AWB No. Gateway Port Gateway EGM No. Gateway EGM Date Gateway Site ID Error Code N.A.  INPAV1  132218  2017-07-26 00:00:00.0  INPAV1  S "/>
    <x v="63"/>
  </r>
  <r>
    <x v="0"/>
    <n v="8290787"/>
    <s v="2017/08/28"/>
    <x v="83"/>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x v="62"/>
    <s v="EGM No. EGM Date Container No. Seal No. Error Message_x000a_R547020109  2017-9-1 0.0.0.0  MSKU9114648  400966  N.A. "/>
    <s v="ROSL Availed Amount(INR) Scroll Number Scroll Date_x000a_Y  207223  25635/2017  2017-9-15 0.0.0.0 "/>
    <x v="104"/>
    <x v="3"/>
    <s v="AWB No. Gateway Port Gateway EGM No. Gateway EGM Date Gateway Site ID Error Code N.A.  INPAV1  132218  2017-07-26 00:00:00.0  INPAV1  S "/>
    <x v="63"/>
  </r>
  <r>
    <x v="0"/>
    <n v="8304313"/>
    <s v="2017/08/29"/>
    <x v="84"/>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x v="53"/>
    <s v="EGM No. EGM Date Container No. Seal No. Error Message_x000a_J477680509  2017-9-5 0.0.0.0  CRXU3303349  401228  N.A. "/>
    <s v="ROSL Availed Amount(INR) Scroll Number Scroll Date_x000a_N  0  ROSL NOT CLAIMED  ROSL NOT CLAIMED "/>
    <x v="105"/>
    <x v="0"/>
    <s v="AWB No. Gateway Port Gateway EGM No. Gateway EGM Date Gateway Site ID Error Code N.A.  INMUN1  134406  2017-09-01 00:00:00.0  INMUN1  S "/>
    <x v="65"/>
  </r>
  <r>
    <x v="0"/>
    <n v="8305029"/>
    <s v="2017/08/29"/>
    <x v="5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x v="55"/>
    <s v="EGM No. EGM Date Container No. Seal No. Error Message_x000a_J477680509  2017-9-5 0.0.0.0  TRIU9841182  003229  N.A. "/>
    <s v="ROSL Availed Amount(INR) Scroll Number Scroll Date_x000a_N  0  ROSL NOT CLAIMED  ROSL NOT CLAIMED "/>
    <x v="106"/>
    <x v="0"/>
    <s v="AWB No. Gateway Port Gateway EGM No. Gateway EGM Date Gateway Site ID Error Code N.A.  INMUN1  134923  2017-09-12 00:00:00.0  INMUN1  S "/>
    <x v="66"/>
  </r>
  <r>
    <x v="0"/>
    <n v="8322996"/>
    <s v="2017/08/30"/>
    <x v="85"/>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x v="55"/>
    <s v="EGM No. EGM Date Container No. Seal No. Error Message_x000a_R487220809  2017-9-8 0.0.0.0  OOLU9558367  401081  N.A. "/>
    <s v="ROSL Availed Amount(INR) Scroll Number Scroll Date_x000a_N  0  ROSL NOT CLAIMED  ROSL NOT CLAIMED "/>
    <x v="107"/>
    <x v="0"/>
    <s v="AWB No. Gateway Port Gateway EGM No. Gateway EGM Date Gateway Site ID Error Code N.A.  INMUN1  132131  2017-07-25 00:00:00.0  INMUN1  S "/>
    <x v="67"/>
  </r>
  <r>
    <x v="0"/>
    <n v="8323127"/>
    <s v="2017/08/30"/>
    <x v="86"/>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x v="63"/>
    <s v="EGM No. EGM Date Container No. Seal No. Error Message_x000a_J207160709  2017-9-7 0.0.0.0  NYKU5457534  401087  N.A. "/>
    <s v="ROSL Availed Amount(INR) Scroll Number Scroll Date_x000a_NULL  NULL  NULL  NULL "/>
    <x v="108"/>
    <x v="1"/>
    <s v="AWB No. Gateway Port Gateway EGM No. Gateway EGM Date Gateway Site ID Error Code N.A.  INNSA1  133327  2017-08-16 00:00:00.0  INNSA1  S "/>
    <x v="68"/>
  </r>
  <r>
    <x v="0"/>
    <n v="8325105"/>
    <s v="2017/08/30"/>
    <x v="87"/>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x v="64"/>
    <s v="EGM No. EGM Date Container No. Seal No. Error Message_x000a_R1477641709  2017-9-17 0.0.0.0  TTNU9450840  402656  N.A. "/>
    <s v="ROSL Availed Amount(INR) Scroll Number Scroll Date_x000a_N  0  ROSL NOT CLAIMED  ROSL NOT CLAIMED "/>
    <x v="109"/>
    <x v="1"/>
    <s v="AWB No. Gateway Port Gateway EGM No. Gateway EGM Date Gateway Site ID Error Code N.A.  INNSA1  135507  2017-09-21 00:00:00.0  INNSA1  S "/>
    <x v="69"/>
  </r>
  <r>
    <x v="0"/>
    <n v="8338701"/>
    <s v="2017/08/30"/>
    <x v="13"/>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x v="53"/>
    <s v="EGM No. EGM Date Container No. Seal No. Error Message_x000a_TX187901209  2017-9-12 0.0.0.0  BMOU2854715  402096  N.A. "/>
    <s v="ROSL Availed Amount(INR) Scroll Number Scroll Date_x000a_N  0  ROSL NOT CLAIMED  ROSL NOT CLAIMED "/>
    <x v="110"/>
    <x v="3"/>
    <s v="AWB No. Gateway Port Gateway EGM No. Gateway EGM Date Gateway Site ID Error Code N.A.  INPAV1  134495  2017-09-04 00:00:00.0  INPAV1  S "/>
    <x v="70"/>
  </r>
  <r>
    <x v="0"/>
    <n v="8338807"/>
    <s v="2017/08/30"/>
    <x v="88"/>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x v="65"/>
    <s v="EGM No. EGM Date Container No. Seal No. Error Message_x000a_R587480909  2017-9-9 0.0.0.0  CAIU8999547  402029  N.A. "/>
    <s v="ROSL Availed Amount(INR) Scroll Number Scroll Date_x000a_NULL  NULL  NULL  NULL "/>
    <x v="111"/>
    <x v="0"/>
    <s v="AWB No. Gateway Port Gateway EGM No. Gateway EGM Date Gateway Site ID Error Code N.A.  INMUN1  134870  2017-09-11 00:00:00.0  INMUN1  S "/>
    <x v="71"/>
  </r>
  <r>
    <x v="0"/>
    <n v="8338839"/>
    <s v="2017/08/30"/>
    <x v="26"/>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x v="66"/>
    <s v="EGM No. EGM Date Container No. Seal No. Error Message_x000a_R917840609  2017-9-6 0.0.0.0  MSKU3385339  031724  N.A. "/>
    <s v="ROSL Availed Amount(INR) Scroll Number Scroll Date_x000a_N  0  ROSL NOT CLAIMED  ROSL NOT CLAIMED "/>
    <x v="112"/>
    <x v="3"/>
    <s v="AWB No. Gateway Port Gateway EGM No. Gateway EGM Date Gateway Site ID Error Code N.A.  INPAV1  134667  2017-09-07 00:00:00.0  INMAA1  MC "/>
    <x v="72"/>
  </r>
  <r>
    <x v="0"/>
    <n v="8340706"/>
    <s v="2017/08/30"/>
    <x v="89"/>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x v="67"/>
    <s v="EGM No. EGM Date Container No. Seal No. Error Message_x000a_T707360909  2017-9-9 0.0.0.0  CAXU9973575  402040  N.A. "/>
    <s v="ROSL Availed Amount(INR) Scroll Number Scroll Date_x000a_N  0  ROSL NOT CLAIMED  ROSL NOT CLAIMED "/>
    <x v="113"/>
    <x v="1"/>
    <s v="AWB No. Gateway Port Gateway EGM No. Gateway EGM Date Gateway Site ID Error Code N.A.  INNSA1  137304  2017-10-23 00:00:00.0  INNSA1  S "/>
    <x v="73"/>
  </r>
  <r>
    <x v="0"/>
    <n v="8348694"/>
    <s v="2017/08/31"/>
    <x v="67"/>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x v="68"/>
    <s v="EGM No. EGM Date Container No. Seal No. Error Message_x000a_R587480909  2017-9-9 0.0.0.0  BMOU6357717  001864  N.A. "/>
    <s v="ROSL Availed Amount(INR) Scroll Number Scroll Date_x000a_N  0  ROSL NOT CLAIMED  ROSL NOT CLAIMED "/>
    <x v="114"/>
    <x v="0"/>
    <s v="AWB No. Gateway Port Gateway EGM No. Gateway EGM Date Gateway Site ID Error Code N.A.  INMUN1  134209  2017-08-30 00:00:00.0  INMUN1  S "/>
    <x v="53"/>
  </r>
  <r>
    <x v="0"/>
    <n v="8361009"/>
    <s v="2017/08/31"/>
    <x v="77"/>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x v="55"/>
    <s v="EGM No. EGM Date Container No. Seal No. Error Message_x000a_R487220809  2017-9-8 0.0.0.0  OOLU9558367  401081  N.A. "/>
    <s v="ROSL Availed Amount(INR) Scroll Number Scroll Date_x000a_Y  5034  25637/2017  2017-9-20 0.0.0.0 "/>
    <x v="115"/>
    <x v="0"/>
    <s v="AWB No. Gateway Port Gateway EGM No. Gateway EGM Date Gateway Site ID Error Code N.A.  INMUN1  132131  2017-07-25 00:00:00.0  INMUN1  S "/>
    <x v="67"/>
  </r>
  <r>
    <x v="0"/>
    <n v="8371290"/>
    <s v="2017/08/31"/>
    <x v="90"/>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x v="55"/>
    <s v="EGM No. EGM Date Container No. Seal No. Error Message_x000a_R827781109  2017-9-11 0.0.0.0  GLDU5619874  402076  N.A. "/>
    <s v="ROSL Availed Amount(INR) Scroll Number Scroll Date_x000a_N  0  ROSL NOT CLAIMED  ROSL NOT CLAIMED "/>
    <x v="116"/>
    <x v="1"/>
    <s v="AWB No. Gateway Port Gateway EGM No. Gateway EGM Date Gateway Site ID Error Code N.A.  INNSA1  134500  2017-09-04 00:00:00.0  INNSA1  STC "/>
    <x v="74"/>
  </r>
  <r>
    <x v="0"/>
    <n v="8375057"/>
    <s v="2017/08/31"/>
    <x v="9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x v="69"/>
    <s v="EGM No. EGM Date Container No. Seal No. Error Message_x000a_R717581009  2017-9-10 0.0.0.0  TSAU2702857  402113  N.A. "/>
    <s v="ROSL Availed Amount(INR) Scroll Number Scroll Date_x000a_N  0  ROSL NOT CLAIMED  ROSL NOT CLAIMED "/>
    <x v="117"/>
    <x v="0"/>
    <s v="AWB No. Gateway Port Gateway EGM No. Gateway EGM Date Gateway Site ID Error Code N.A.  INMUN1  N.A.  N.A.  N.A.  N.A. "/>
    <x v="34"/>
  </r>
  <r>
    <x v="0"/>
    <n v="8395136"/>
    <s v="2017/09/01"/>
    <x v="92"/>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x v="65"/>
    <s v="EGM No. EGM Date Container No. Seal No. Error Message_x000a_R1117461609  2017-9-16 0.0.0.0  HASU4843951  402672  N.A. "/>
    <s v="ROSL Availed Amount(INR) Scroll Number Scroll Date_x000a_N  0  ROSL NOT CLAIMED  ROSL NOT CLAIMED "/>
    <x v="118"/>
    <x v="0"/>
    <s v="AWB No. Gateway Port Gateway EGM No. Gateway EGM Date Gateway Site ID Error Code N.A.  INMUN1  133179  2017-08-11 00:00:00.0  INMUN1  S "/>
    <x v="75"/>
  </r>
  <r>
    <x v="0"/>
    <n v="8395644"/>
    <s v="2017/09/01"/>
    <x v="13"/>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x v="67"/>
    <s v="EGM No. EGM Date Container No. Seal No. Error Message_x000a_T987040709  2017-9-7 0.0.0.0  TCLU5779294  014691  N.A. "/>
    <s v="ROSL Availed Amount(INR) Scroll Number Scroll Date_x000a_N  0  ROSL NOT CLAIMED  ROSL NOT CLAIMED "/>
    <x v="119"/>
    <x v="0"/>
    <s v="AWB No. Gateway Port Gateway EGM No. Gateway EGM Date Gateway Site ID Error Code N.A.  INMUN1  137035  2017-10-16 00:00:00.0  INMUN1  S "/>
    <x v="76"/>
  </r>
  <r>
    <x v="0"/>
    <n v="8398137"/>
    <s v="2017/09/01"/>
    <x v="93"/>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x v="69"/>
    <s v="EGM No. EGM Date Container No. Seal No. Error Message_x000a_R827781109  2017-9-11 0.0.0.0  BAXU5005517  402092  N.A. "/>
    <s v="ROSL Availed Amount(INR) Scroll Number Scroll Date_x000a_N  0  ROSL NOT CLAIMED  ROSL NOT CLAIMED "/>
    <x v="120"/>
    <x v="1"/>
    <s v="AWB No. Gateway Port Gateway EGM No. Gateway EGM Date Gateway Site ID Error Code N.A.  INNSA1  N.A.  N.A.  N.A.  N.A. "/>
    <x v="2"/>
  </r>
  <r>
    <x v="0"/>
    <n v="8411392"/>
    <s v="2017/09/02"/>
    <x v="63"/>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x v="70"/>
    <s v="EGM No. EGM Date Container No. Seal No. Error Message_x000a_J477982609  2017-9-26 0.0.0.0  SEGU1281597  404224  N.A. "/>
    <s v="ROSL Availed Amount(INR) Scroll Number Scroll Date_x000a_NULL  NULL  NULL  NULL "/>
    <x v="121"/>
    <x v="1"/>
    <s v="AWB No. Gateway Port Gateway EGM No. Gateway EGM Date Gateway Site ID Error Code N.A.  INNSA1  N.A.  N.A.  N.A.  N.A. "/>
    <x v="2"/>
  </r>
  <r>
    <x v="0"/>
    <n v="8424214"/>
    <s v="2017/09/04"/>
    <x v="9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x v="65"/>
    <s v="EGM No. EGM Date Container No. Seal No. Error Message_x000a_R687621009  2017-9-10 0.0.0.0  CAXU8041890  402039  N.A. "/>
    <s v="ROSL Availed Amount(INR) Scroll Number Scroll Date_x000a_NULL  NULL  NULL  NULL "/>
    <x v="122"/>
    <x v="0"/>
    <s v="AWB No. Gateway Port Gateway EGM No. Gateway EGM Date Gateway Site ID Error Code N.A.  INMUN1  134793  2017-09-08 00:00:00.0  INMUN1  C "/>
    <x v="77"/>
  </r>
  <r>
    <x v="0"/>
    <n v="8424711"/>
    <s v="2017/09/04"/>
    <x v="71"/>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x v="66"/>
    <s v="EGM No. EGM Date Container No. Seal No. Error Message_x000a_R857260809  2017-9-8 0.0.0.0  BMOU6363160  402005  N.A. "/>
    <s v="ROSL Availed Amount(INR) Scroll Number Scroll Date_x000a_N  0  ROSL NOT CLAIMED  ROSL NOT CLAIMED "/>
    <x v="123"/>
    <x v="1"/>
    <s v="AWB No. Gateway Port Gateway EGM No. Gateway EGM Date Gateway Site ID Error Code N.A.  INNSA1  134260  2017-08-31 00:00:00.0  INNSA1  S "/>
    <x v="78"/>
  </r>
  <r>
    <x v="0"/>
    <n v="8425293"/>
    <s v="2017/09/04"/>
    <x v="95"/>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x v="71"/>
    <s v="EGM No. EGM Date Container No. Seal No. Error Message_x000a_R577102009  2017-9-20 0.0.0.0  FCIU8912801  403359  N.A. "/>
    <s v="ROSL Availed Amount(INR) Scroll Number Scroll Date_x000a_N  0  ROSL NOT CLAIMED  ROSL NOT CLAIMED "/>
    <x v="124"/>
    <x v="0"/>
    <s v="AWB No. Gateway Port Gateway EGM No. Gateway EGM Date Gateway Site ID Error Code N.A.  INMUN1  135448  2017-09-20 00:00:00.0  INMUN1  S "/>
    <x v="79"/>
  </r>
  <r>
    <x v="0"/>
    <n v="8439375"/>
    <s v="2017/09/04"/>
    <x v="80"/>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x v="67"/>
    <s v="EGM No. EGM Date Container No. Seal No. Error Message_x000a_R887140709  2017-9-7 0.0.0.0  MRKU4572116  401877  N.A. "/>
    <s v="ROSL Availed Amount(INR) Scroll Number Scroll Date_x000a_Y  207223  25637/2017  2017-9-20 0.0.0.0 "/>
    <x v="125"/>
    <x v="3"/>
    <s v="AWB No. Gateway Port Gateway EGM No. Gateway EGM Date Gateway Site ID Error Code N.A.  INPAV1  134057  2017-08-28 00:00:00.0  INPAV1  S "/>
    <x v="80"/>
  </r>
  <r>
    <x v="0"/>
    <n v="8439383"/>
    <s v="2017/09/04"/>
    <x v="80"/>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x v="67"/>
    <s v="EGM No. EGM Date Container No. Seal No. Error Message_x000a_R887140709  2017-9-7 0.0.0.0  MRKU4572116  401879  N.A. "/>
    <s v="ROSL Availed Amount(INR) Scroll Number Scroll Date_x000a_Y  207223  25637/2017  2017-9-20 0.0.0.0 "/>
    <x v="125"/>
    <x v="3"/>
    <s v="AWB No. Gateway Port Gateway EGM No. Gateway EGM Date Gateway Site ID Error Code N.A.  INPAV1  134057  2017-08-28 00:00:00.0  INPAV1  S "/>
    <x v="80"/>
  </r>
  <r>
    <x v="0"/>
    <n v="8439422"/>
    <s v="2017/09/04"/>
    <x v="96"/>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x v="66"/>
    <s v="EGM No. EGM Date Container No. Seal No. Error Message_x000a_R887140709  2017-9-7 0.0.0.0  MSKU1820720  401844  N.A. "/>
    <s v="ROSL Availed Amount(INR) Scroll Number Scroll Date_x000a_Y  205496  25637/2017  2017-9-20 0.0.0.0 "/>
    <x v="126"/>
    <x v="3"/>
    <s v="AWB No. Gateway Port Gateway EGM No. Gateway EGM Date Gateway Site ID Error Code N.A.  INPAV1  134057  2017-08-28 00:00:00.0  INPAV1  S "/>
    <x v="80"/>
  </r>
  <r>
    <x v="0"/>
    <n v="8452436"/>
    <s v="2017/09/05"/>
    <x v="97"/>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x v="72"/>
    <s v="EGM No. EGM Date Container No. Seal No. Error Message_x000a_R137262109  2017-9-21 0.0.0.0  DFSU2836647  403366  N.A. "/>
    <s v="ROSL Availed Amount(INR) Scroll Number Scroll Date_x000a_N  0  ROSL NOT CLAIMED  ROSL NOT CLAIMED "/>
    <x v="127"/>
    <x v="1"/>
    <s v="AWB No. Gateway Port Gateway EGM No. Gateway EGM Date Gateway Site ID Error Code N.A.  INNSA1  135068  2017-09-14 00:00:00.0  INNSA1  S "/>
    <x v="81"/>
  </r>
  <r>
    <x v="0"/>
    <n v="8457825"/>
    <s v="2017/09/05"/>
    <x v="98"/>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x v="68"/>
    <s v="EGM No. EGM Date Container No. Seal No. Error Message_x000a_R827781109  2017-9-11 0.0.0.0  IRNU4551480  402099  N.A. "/>
    <s v="ROSL Availed Amount(INR) Scroll Number Scroll Date_x000a_N  0  ROSL NOT CLAIMED  ROSL NOT CLAIMED "/>
    <x v="128"/>
    <x v="1"/>
    <s v="AWB No. Gateway Port Gateway EGM No. Gateway EGM Date Gateway Site ID Error Code N.A.  INNSA1  N.A.  N.A.  N.A.  N.A. "/>
    <x v="2"/>
  </r>
  <r>
    <x v="0"/>
    <n v="8462659"/>
    <s v="2017/09/05"/>
    <x v="99"/>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x v="73"/>
    <s v="EGM No. EGM Date Container No. Seal No. Error Message_x000a_T707360909  2017-9-9 0.0.0.0  BEAU4624635  402036  N.A. "/>
    <s v="ROSL Availed Amount(INR) Scroll Number Scroll Date_x000a_NULL  NULL  NULL  NULL "/>
    <x v="129"/>
    <x v="1"/>
    <s v="AWB No. Gateway Port Gateway EGM No. Gateway EGM Date Gateway Site ID Error Code N.A.  INNSA1  134462  2017-09-04 00:00:00.0  INNSA1  S "/>
    <x v="51"/>
  </r>
  <r>
    <x v="0"/>
    <n v="8466834"/>
    <s v="2017/09/05"/>
    <x v="26"/>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x v="67"/>
    <s v="EGM No. EGM Date Container No. Seal No. Error Message_x000a_J207160709  2017-9-7 0.0.0.0  HLBU1502918  000515  N.A. "/>
    <s v="ROSL Availed Amount(INR) Scroll Number Scroll Date_x000a_N  0  ROSL NOT CLAIMED  ROSL NOT CLAIMED "/>
    <x v="130"/>
    <x v="1"/>
    <s v="AWB No. Gateway Port Gateway EGM No. Gateway EGM Date Gateway Site ID Error Code N.A.  INNSA1  134474  2017-09-04 00:00:00.0  INNSA1  S "/>
    <x v="82"/>
  </r>
  <r>
    <x v="0"/>
    <n v="8469058"/>
    <s v="2017/09/05"/>
    <x v="100"/>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x v="68"/>
    <s v="EGM No. EGM Date Container No. Seal No. Error Message_x000a_T417981309  2017-9-13 0.0.0.0  BAXU5064802  402212  N.A. "/>
    <s v="ROSL Availed Amount(INR) Scroll Number Scroll Date_x000a_N  0  ROSL NOT CLAIMED  ROSL NOT CLAIMED "/>
    <x v="131"/>
    <x v="0"/>
    <s v="AWB No. Gateway Port Gateway EGM No. Gateway EGM Date Gateway Site ID Error Code N.A.  INMUN1  135390  2017-09-19 00:00:00.0  INMUN1  S "/>
    <x v="83"/>
  </r>
  <r>
    <x v="0"/>
    <n v="8471397"/>
    <s v="2017/09/05"/>
    <x v="101"/>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x v="74"/>
    <s v="EGM No. EGM Date Container No. Seal No. Error Message_x000a_R517202109  2017-9-21 0.0.0.0  APZU3002351  402539  N.A. "/>
    <s v="ROSL Availed Amount(INR) Scroll Number Scroll Date_x000a_NULL  NULL  NULL  NULL "/>
    <x v="132"/>
    <x v="0"/>
    <s v="AWB No. Gateway Port Gateway EGM No. Gateway EGM Date Gateway Site ID Error Code N.A.  INMUN1  135378  2017-09-19 00:00:00.0  INMUN1  S "/>
    <x v="58"/>
  </r>
  <r>
    <x v="0"/>
    <n v="8483178"/>
    <s v="2017/09/06"/>
    <x v="64"/>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x v="68"/>
    <s v="EGM No. EGM Date Container No. Seal No. Error Message_x000a_T707121409  2017-9-14 0.0.0.0  BEAU4623808  402610  N.A. "/>
    <s v="ROSL Availed Amount(INR) Scroll Number Scroll Date_x000a_N  0  ROSL NOT CLAIMED  ROSL NOT CLAIMED "/>
    <x v="133"/>
    <x v="1"/>
    <s v="AWB No. Gateway Port Gateway EGM No. Gateway EGM Date Gateway Site ID Error Code N.A.  INNSA1  134875  2017-09-11 00:00:00.0  INNSA1  S "/>
    <x v="84"/>
  </r>
  <r>
    <x v="0"/>
    <n v="8486246"/>
    <s v="2017/09/06"/>
    <x v="59"/>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x v="69"/>
    <s v="EGM No. EGM Date Container No. Seal No. Error Message_x000a_R667380909  2017-9-9 0.0.0.0  INKU6640898  003234  N.A. "/>
    <s v="ROSL Availed Amount(INR) Scroll Number Scroll Date_x000a_N  0  ROSL NOT CLAIMED  ROSL NOT CLAIMED "/>
    <x v="134"/>
    <x v="0"/>
    <s v="AWB No. Gateway Port Gateway EGM No. Gateway EGM Date Gateway Site ID Error Code N.A.  INMUN1  134923  2017-09-12 00:00:00.0  INMUN1  S "/>
    <x v="66"/>
  </r>
  <r>
    <x v="0"/>
    <n v="8488643"/>
    <s v="2017/09/06"/>
    <x v="102"/>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x v="75"/>
    <s v="EGM No. EGM Date Container No. Seal No. Error Message_x000a_R917401509  2017-9-15 0.0.0.0  TCNU4310695  402647  N.A. "/>
    <s v="ROSL Availed Amount(INR) Scroll Number Scroll Date_x000a_Y  7168  32661/2019  2019-2-8 0.0.0.0 "/>
    <x v="135"/>
    <x v="1"/>
    <s v="AWB No. Gateway Port Gateway EGM No. Gateway EGM Date Gateway Site ID Error Code N.A.  INNSA1  134549  2017-09-05 00:00:00.0  INNSA1  S "/>
    <x v="85"/>
  </r>
  <r>
    <x v="0"/>
    <n v="8493626"/>
    <s v="2017/09/06"/>
    <x v="103"/>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x v="74"/>
    <s v="EGM No. EGM Date Container No. Seal No. Error Message_x000a_R1107481609  2017-9-16 0.0.0.0  KMTU7228639  402645  N.A. "/>
    <s v="ROSL Availed Amount(INR) Scroll Number Scroll Date_x000a_NULL  NULL  NULL  NULL "/>
    <x v="136"/>
    <x v="1"/>
    <s v="AWB No. Gateway Port Gateway EGM No. Gateway EGM Date Gateway Site ID Error Code N.A.  INNSA1  135239  2017-09-18 00:00:00.0  INNSA1  S "/>
    <x v="86"/>
  </r>
  <r>
    <x v="0"/>
    <n v="8502112"/>
    <s v="2017/09/07"/>
    <x v="104"/>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x v="76"/>
    <s v="EGM No. EGM Date Container No. Seal No. Error Message_x000a_R667781809  2017-9-18 0.0.0.0  CRXU3033449  403319  N.A. "/>
    <s v="ROSL Availed Amount(INR) Scroll Number Scroll Date_x000a_N  0  ROSL NOT CLAIMED  ROSL NOT CLAIMED "/>
    <x v="137"/>
    <x v="0"/>
    <s v="AWB No. Gateway Port Gateway EGM No. Gateway EGM Date Gateway Site ID Error Code N.A.  INMUN1  N.A.  N.A.  N.A.  N.A. "/>
    <x v="34"/>
  </r>
  <r>
    <x v="0"/>
    <n v="8513208"/>
    <s v="2017/09/07"/>
    <x v="105"/>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x v="77"/>
    <s v="EGM No. EGM Date Container No. Seal No. Error Message_x000a_R777282109  2017-9-21 0.0.0.0  TGHU9884825  403376  N.A. "/>
    <s v="ROSL Availed Amount(INR) Scroll Number Scroll Date_x000a_N  0  ROSL NOT CLAIMED  ROSL NOT CLAIMED "/>
    <x v="138"/>
    <x v="0"/>
    <s v="AWB No. Gateway Port Gateway EGM No. Gateway EGM Date Gateway Site ID Error Code N.A.  INMUN1  135462  2017-09-20 00:00:00.0  INMUN1  S "/>
    <x v="87"/>
  </r>
  <r>
    <x v="0"/>
    <n v="8528718"/>
    <s v="2017/09/08"/>
    <x v="106"/>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x v="78"/>
    <s v="EGM No. EGM Date Container No. Seal No. Error Message_x000a_R367602309  2017-9-23 0.0.0.0  CAIU7114563  403933  N.A. "/>
    <s v="ROSL Availed Amount(INR) Scroll Number Scroll Date_x000a_NULL  NULL  NULL  NULL "/>
    <x v="139"/>
    <x v="0"/>
    <s v="AWB No. Gateway Port Gateway EGM No. Gateway EGM Date Gateway Site ID Error Code N.A.  INMUN1  135378  2017-09-19 00:00:00.0  INMUN1  S "/>
    <x v="58"/>
  </r>
  <r>
    <x v="0"/>
    <n v="8533887"/>
    <s v="2017/09/08"/>
    <x v="107"/>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x v="76"/>
    <s v="EGM No. EGM Date Container No. Seal No. Error Message_x000a_R157821809  2017-9-18 0.0.0.0  INKU6262099  403336  N.A. "/>
    <s v="ROSL Availed Amount(INR) Scroll Number Scroll Date_x000a_N  0  ROSL NOT CLAIMED  ROSL NOT CLAIMED "/>
    <x v="140"/>
    <x v="1"/>
    <s v="AWB No. Gateway Port Gateway EGM No. Gateway EGM Date Gateway Site ID Error Code N.A.  INNSA1  134930  2017-09-12 00:00:00.0  INNSA1  C "/>
    <x v="88"/>
  </r>
  <r>
    <x v="0"/>
    <n v="8551635"/>
    <s v="2017/09/09"/>
    <x v="108"/>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x v="79"/>
    <s v="EGM No. EGM Date Container No. Seal No. Error Message_x000a_R157821809  2017-9-18 0.0.0.0  CCLU6335831  403325  N.A. "/>
    <s v="ROSL Availed Amount(INR) Scroll Number Scroll Date_x000a_NULL  NULL  NULL  NULL "/>
    <x v="141"/>
    <x v="1"/>
    <s v="AWB No. Gateway Port Gateway EGM No. Gateway EGM Date Gateway Site ID Error Code N.A.  INNSA1  N.A.  N.A.  N.A.  N.A. "/>
    <x v="2"/>
  </r>
  <r>
    <x v="0"/>
    <n v="8576060"/>
    <s v="2017/09/11"/>
    <x v="69"/>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x v="80"/>
    <s v="EGM No. EGM Date Container No. Seal No. Error Message_x000a_R1117461609  2017-9-16 0.0.0.0  NYKU4408134  402667  N.A. "/>
    <s v="ROSL Availed Amount(INR) Scroll Number Scroll Date_x000a_N  0  ROSL NOT CLAIMED  ROSL NOT CLAIMED "/>
    <x v="142"/>
    <x v="0"/>
    <s v="AWB No. Gateway Port Gateway EGM No. Gateway EGM Date Gateway Site ID Error Code N.A.  INMUN1  135461  2017-09-20 00:00:00.0  INMUN1  S "/>
    <x v="89"/>
  </r>
  <r>
    <x v="0"/>
    <n v="8579468"/>
    <s v="2017/09/11"/>
    <x v="6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x v="81"/>
    <s v="EGM No. EGM Date Container No. Seal No. Error Message_x000a_R917401509  2017-9-15 0.0.0.0  TCNU3705026  000111  N.A. "/>
    <s v="ROSL Availed Amount(INR) Scroll Number Scroll Date_x000a_N  0  ROSL NOT CLAIMED  ROSL NOT CLAIMED "/>
    <x v="143"/>
    <x v="1"/>
    <s v="AWB No. Gateway Port Gateway EGM No. Gateway EGM Date Gateway Site ID Error Code N.A.  INNSA1  134711  2017-09-07 00:00:00.0  INNSA1  ST "/>
    <x v="90"/>
  </r>
  <r>
    <x v="0"/>
    <n v="8581999"/>
    <s v="2017/09/11"/>
    <x v="109"/>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x v="82"/>
    <s v="EGM No. EGM Date Container No. Seal No. Error Message_x000a_R137262109  2017-9-21 0.0.0.0  VSTU9000234  403375  N.A. "/>
    <s v="ROSL Availed Amount(INR) Scroll Number Scroll Date_x000a_N  0  ROSL NOT CLAIMED  ROSL NOT CLAIMED "/>
    <x v="144"/>
    <x v="1"/>
    <s v="AWB No. Gateway Port Gateway EGM No. Gateway EGM Date Gateway Site ID Error Code N.A.  INNSA1  135192  2017-09-15 00:00:00.0  INNSA1  S "/>
    <x v="91"/>
  </r>
  <r>
    <x v="0"/>
    <n v="8584007"/>
    <s v="2017/09/11"/>
    <x v="24"/>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x v="83"/>
    <s v="EGM No. EGM Date Container No. Seal No. Error Message_x000a_R157821809  2017-9-18 0.0.0.0  CCLU6335831  403325  N.A. "/>
    <s v="ROSL Availed Amount(INR) Scroll Number Scroll Date_x000a_N  0  ROSL NOT CLAIMED  ROSL NOT CLAIMED "/>
    <x v="145"/>
    <x v="1"/>
    <s v="AWB No. Gateway Port Gateway EGM No. Gateway EGM Date Gateway Site ID Error Code N.A.  INNSA1  135086  2017-09-14 00:00:00.0  INNSA1  S "/>
    <x v="92"/>
  </r>
  <r>
    <x v="0"/>
    <n v="8584704"/>
    <s v="2017/09/11"/>
    <x v="99"/>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x v="70"/>
    <s v="EGM No. EGM Date Container No. Seal No. Error Message_x000a_T257542209  2017-9-22 0.0.0.0  ZCSU8532458  403390  N.A. "/>
    <s v="ROSL Availed Amount(INR) Scroll Number Scroll Date_x000a_NULL  NULL  NULL  NULL "/>
    <x v="146"/>
    <x v="1"/>
    <s v="AWB No. Gateway Port Gateway EGM No. Gateway EGM Date Gateway Site ID Error Code N.A.  INNSA1  134938  2017-09-12 00:00:00.0  INNSA1  S "/>
    <x v="93"/>
  </r>
  <r>
    <x v="0"/>
    <n v="8600398"/>
    <s v="2017/09/12"/>
    <x v="110"/>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x v="80"/>
    <s v="EGM No. EGM Date Container No. Seal No. Error Message_x000a_R157821809  2017-9-18 0.0.0.0  CCLU6335831  403325  N.A. "/>
    <s v="ROSL Availed Amount(INR) Scroll Number Scroll Date_x000a_N  0  ROSL NOT CLAIMED  ROSL NOT CLAIMED "/>
    <x v="147"/>
    <x v="1"/>
    <s v="AWB No. Gateway Port Gateway EGM No. Gateway EGM Date Gateway Site ID Error Code N.A.  INNSA1  N.A.  N.A.  N.A.  N.A. "/>
    <x v="2"/>
  </r>
  <r>
    <x v="0"/>
    <n v="8602587"/>
    <s v="2017/09/12"/>
    <x v="111"/>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x v="84"/>
    <s v="EGM No. EGM Date Container No. Seal No. Error Message_x000a_R137262109  2017-9-21 0.0.0.0  PONU2056658  403381  N.A. "/>
    <s v="ROSL Availed Amount(INR) Scroll Number Scroll Date_x000a_N  0  ROSL NOT CLAIMED  ROSL NOT CLAIMED "/>
    <x v="148"/>
    <x v="1"/>
    <s v="AWB No. Gateway Port Gateway EGM No. Gateway EGM Date Gateway Site ID Error Code N.A.  INNSA1  134766  2017-09-08 00:00:00.0  INNSA1  S "/>
    <x v="94"/>
  </r>
  <r>
    <x v="0"/>
    <n v="8605254"/>
    <s v="2017/09/12"/>
    <x v="1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x v="78"/>
    <s v="EGM No. EGM Date Container No. Seal No. Error Message_x000a_J277642309  2017-9-23 0.0.0.0  DFSU2494143  403925  N.A. "/>
    <s v="ROSL Availed Amount(INR) Scroll Number Scroll Date_x000a_NULL  NULL  NULL  NULL "/>
    <x v="149"/>
    <x v="1"/>
    <s v="AWB No. Gateway Port Gateway EGM No. Gateway EGM Date Gateway Site ID Error Code N.A.  INNSA1  135065  2017-09-14 00:00:00.0  INNSA1  S "/>
    <x v="95"/>
  </r>
  <r>
    <x v="0"/>
    <n v="8607213"/>
    <s v="2017/09/12"/>
    <x v="113"/>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x v="85"/>
    <s v="EGM No. EGM Date Container No. Seal No. Error Message_x000a_T437022609  2017-9-26 0.0.0.0  BLJU4450787  403977  N.A. "/>
    <s v="ROSL Availed Amount(INR) Scroll Number Scroll Date_x000a_N  0  ROSL NOT CLAIMED  ROSL NOT CLAIMED "/>
    <x v="150"/>
    <x v="0"/>
    <s v="AWB No. Gateway Port Gateway EGM No. Gateway EGM Date Gateway Site ID Error Code N.A.  INMUN1  135995  2017-09-28 00:00:00.0  INMUN1  S "/>
    <x v="96"/>
  </r>
  <r>
    <x v="0"/>
    <n v="8607674"/>
    <s v="2017/09/12"/>
    <x v="114"/>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x v="86"/>
    <s v="EGM No. EGM Date Container No. Seal No. Error Message_x000a_R157821809  2017-9-18 0.0.0.0  TRLU6853517  403326  N.A. "/>
    <s v="ROSL Availed Amount(INR) Scroll Number Scroll Date_x000a_N  0  ROSL NOT CLAIMED  ROSL NOT CLAIMED "/>
    <x v="151"/>
    <x v="1"/>
    <s v="AWB No. Gateway Port Gateway EGM No. Gateway EGM Date Gateway Site ID Error Code N.A.  INNSA1  N.A.  N.A.  N.A.  N.A. "/>
    <x v="2"/>
  </r>
  <r>
    <x v="0"/>
    <n v="8608392"/>
    <s v="2017/09/12"/>
    <x v="115"/>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x v="81"/>
    <s v="EGM No. EGM Date Container No. Seal No. Error Message_x000a_R367681709  2017-9-17 0.0.0.0  MRKU3498204  403242  N.A. "/>
    <s v="ROSL Availed Amount(INR) Scroll Number Scroll Date_x000a_Y  189355  25637/2017  2017-9-20 0.0.0.0 "/>
    <x v="152"/>
    <x v="3"/>
    <s v="AWB No. Gateway Port Gateway EGM No. Gateway EGM Date Gateway Site ID Error Code N.A.  INPAV1  134063  2017-08-28 00:00:00.0  INPAV1  S "/>
    <x v="97"/>
  </r>
  <r>
    <x v="0"/>
    <n v="8608445"/>
    <s v="2017/09/12"/>
    <x v="115"/>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x v="81"/>
    <s v="EGM No. EGM Date Container No. Seal No. Error Message_x000a_R367681709  2017-9-17 0.0.0.0  MRKU3066936  403208  N.A. "/>
    <s v="ROSL Availed Amount(INR) Scroll Number Scroll Date_x000a_Y  183043  25637/2017  2017-9-20 0.0.0.0 "/>
    <x v="153"/>
    <x v="3"/>
    <s v="AWB No. Gateway Port Gateway EGM No. Gateway EGM Date Gateway Site ID Error Code N.A.  INPAV1  134063  2017-08-28 00:00:00.0  INPAV1  S "/>
    <x v="97"/>
  </r>
  <r>
    <x v="0"/>
    <n v="8608455"/>
    <s v="2017/09/12"/>
    <x v="115"/>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x v="81"/>
    <s v="EGM No. EGM Date Container No. Seal No. Error Message_x000a_R367681709  2017-9-17 0.0.0.0  MRKU3498204  403242  N.A. "/>
    <s v="ROSL Availed Amount(INR) Scroll Number Scroll Date_x000a_Y  189355  25637/2017  2017-9-20 0.0.0.0 "/>
    <x v="152"/>
    <x v="3"/>
    <s v="AWB No. Gateway Port Gateway EGM No. Gateway EGM Date Gateway Site ID Error Code N.A.  INPAV1  134063  2017-08-28 00:00:00.0  INPAV1  S "/>
    <x v="97"/>
  </r>
  <r>
    <x v="0"/>
    <n v="8608463"/>
    <s v="2017/09/12"/>
    <x v="115"/>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x v="81"/>
    <s v="EGM No. EGM Date Container No. Seal No. Error Message_x000a_R367681709  2017-9-17 0.0.0.0  MRKU3066936  403208  N.A. "/>
    <s v="ROSL Availed Amount(INR) Scroll Number Scroll Date_x000a_Y  183043  25637/2017  2017-9-20 0.0.0.0 "/>
    <x v="153"/>
    <x v="3"/>
    <s v="AWB No. Gateway Port Gateway EGM No. Gateway EGM Date Gateway Site ID Error Code N.A.  INPAV1  134063  2017-08-28 00:00:00.0  INPAV1  S "/>
    <x v="97"/>
  </r>
  <r>
    <x v="0"/>
    <n v="8608521"/>
    <s v="2017/09/12"/>
    <x v="115"/>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x v="81"/>
    <s v="EGM No. EGM Date Container No. Seal No. Error Message_x000a_R367681709  2017-9-17 0.0.0.0  MRKU3066936  403208  N.A. "/>
    <s v="ROSL Availed Amount(INR) Scroll Number Scroll Date_x000a_Y  189355  25637/2017  2017-9-20 0.0.0.0 "/>
    <x v="152"/>
    <x v="3"/>
    <s v="AWB No. Gateway Port Gateway EGM No. Gateway EGM Date Gateway Site ID Error Code N.A.  INPAV1  134063  2017-08-28 00:00:00.0  INPAV1  S "/>
    <x v="97"/>
  </r>
  <r>
    <x v="0"/>
    <n v="8610604"/>
    <s v="2017/09/12"/>
    <x v="67"/>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x v="87"/>
    <s v="EGM No. EGM Date Container No. Seal No. Error Message_x000a_TX227302109  2017-9-21 0.0.0.0  SEGU5562627  001866  N.A. "/>
    <s v="ROSL Availed Amount(INR) Scroll Number Scroll Date_x000a_N  0  ROSL NOT CLAIMED  ROSL NOT CLAIMED "/>
    <x v="154"/>
    <x v="0"/>
    <s v="AWB No. Gateway Port Gateway EGM No. Gateway EGM Date Gateway Site ID Error Code N.A.  INMUN1  134211  2017-08-30 00:00:00.0  INMUN1  S "/>
    <x v="98"/>
  </r>
  <r>
    <x v="0"/>
    <n v="8612296"/>
    <s v="2017/09/12"/>
    <x v="116"/>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x v="78"/>
    <s v="EGM No. EGM Date Container No. Seal No. Error Message_x000a_R157821809  2017-9-18 0.0.0.0  WHLU5173740  403333  N.A. "/>
    <s v="ROSL Availed Amount(INR) Scroll Number Scroll Date_x000a_NULL  NULL  NULL  NULL "/>
    <x v="155"/>
    <x v="1"/>
    <s v="AWB No. Gateway Port Gateway EGM No. Gateway EGM Date Gateway Site ID Error Code N.A.  INNSA1  135086  2017-09-14 00:00:00.0  INNSA1  S "/>
    <x v="92"/>
  </r>
  <r>
    <x v="0"/>
    <n v="8615986"/>
    <s v="2017/09/12"/>
    <x v="117"/>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x v="88"/>
    <s v="EGM No. EGM Date Container No. Seal No. Error Message_x000a_R777282109  2017-9-21 0.0.0.0  MSCU3061583  403622  N.A. "/>
    <s v="ROSL Availed Amount(INR) Scroll Number Scroll Date_x000a_N  0  ROSL NOT CLAIMED  ROSL NOT CLAIMED "/>
    <x v="156"/>
    <x v="0"/>
    <s v="AWB No. Gateway Port Gateway EGM No. Gateway EGM Date Gateway Site ID Error Code N.A.  INMUN1  134919  2017-09-12 00:00:00.0  INMUN1  S "/>
    <x v="99"/>
  </r>
  <r>
    <x v="0"/>
    <n v="8620347"/>
    <s v="2017/09/13"/>
    <x v="118"/>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x v="82"/>
    <s v="EGM No. EGM Date Container No. Seal No. Error Message_x000a_T257542209  2017-9-22 0.0.0.0  ZCSU8532458  403390  N.A. "/>
    <s v="ROSL Availed Amount(INR) Scroll Number Scroll Date_x000a_N  0  ROSL NOT CLAIMED  ROSL NOT CLAIMED "/>
    <x v="157"/>
    <x v="1"/>
    <s v="AWB No. Gateway Port Gateway EGM No. Gateway EGM Date Gateway Site ID Error Code N.A.  INNSA1  134938  2017-09-12 00:00:00.0  INNSA1  S "/>
    <x v="93"/>
  </r>
  <r>
    <x v="0"/>
    <n v="8660236"/>
    <s v="2017/09/14"/>
    <x v="119"/>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x v="89"/>
    <s v="EGM No. EGM Date Container No. Seal No. Error Message_x000a_R227902509  2017-9-25 0.0.0.0  HLXU4543158  403952  N.A. "/>
    <s v="ROSL Availed Amount(INR) Scroll Number Scroll Date_x000a_N  0  ROSL NOT CLAIMED  ROSL NOT CLAIMED "/>
    <x v="158"/>
    <x v="1"/>
    <s v="AWB No. Gateway Port Gateway EGM No. Gateway EGM Date Gateway Site ID Error Code N.A.  INNSA1  135503  2017-09-21 00:00:00.0  INNSA1  C "/>
    <x v="100"/>
  </r>
  <r>
    <x v="0"/>
    <n v="8661641"/>
    <s v="2017/09/14"/>
    <x v="120"/>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x v="90"/>
    <s v="EGM No. EGM Date Container No. Seal No. Error Message_x000a_R227902509  2017-9-25 0.0.0.0  BSIU3015188  403955  N.A. "/>
    <s v="ROSL Availed Amount(INR) Scroll Number Scroll Date_x000a_NULL  NULL  NULL  NULL "/>
    <x v="159"/>
    <x v="1"/>
    <s v="AWB No. Gateway Port Gateway EGM No. Gateway EGM Date Gateway Site ID Error Code N.A.  INNSA1  135603  2017-09-22 00:00:00.0  INNSA1  S "/>
    <x v="101"/>
  </r>
  <r>
    <x v="0"/>
    <n v="8687607"/>
    <s v="2017/09/15"/>
    <x v="121"/>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x v="91"/>
    <s v="EGM No. EGM Date Container No. Seal No. Error Message_x000a_R367602309  2017-9-23 0.0.0.0  KKTU8256558  404113  N.A. "/>
    <s v="ROSL Availed Amount(INR) Scroll Number Scroll Date_x000a_N  0  ROSL NOT CLAIMED  ROSL NOT CLAIMED "/>
    <x v="160"/>
    <x v="0"/>
    <s v="AWB No. Gateway Port Gateway EGM No. Gateway EGM Date Gateway Site ID Error Code N.A.  INMUN1  148326  2018-04-13 00:00:00.0  INMUN1  S "/>
    <x v="102"/>
  </r>
  <r>
    <x v="0"/>
    <n v="8697591"/>
    <s v="2017/09/16"/>
    <x v="122"/>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x v="92"/>
    <s v="EGM No. EGM Date Container No. Seal No. Error Message_x000a_R1667820810  2017-10-8 0.0.0.0  PCIU9157109  405628  N.A. "/>
    <s v="ROSL Availed Amount(INR) Scroll Number Scroll Date_x000a_NULL  NULL  NULL  NULL "/>
    <x v="161"/>
    <x v="0"/>
    <s v="AWB No. Gateway Port Gateway EGM No. Gateway EGM Date Gateway Site ID Error Code N.A.  INMUN1  N.A.  N.A.  N.A.  N.A. "/>
    <x v="34"/>
  </r>
  <r>
    <x v="0"/>
    <n v="8708114"/>
    <s v="2017/09/16"/>
    <x v="123"/>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x v="93"/>
    <s v="EGM No. EGM Date Container No. Seal No. Error Message_x000a_T507322809  2017-9-28 0.0.0.0  KKFU7110034  404820  N.A. "/>
    <s v="ROSL Availed Amount(INR) Scroll Number Scroll Date_x000a_NULL  NULL  NULL  NULL "/>
    <x v="162"/>
    <x v="1"/>
    <s v="AWB No. Gateway Port Gateway EGM No. Gateway EGM Date Gateway Site ID Error Code N.A.  INNSA1  135349  2017-09-19 00:00:00.0  INNSA1  C "/>
    <x v="103"/>
  </r>
  <r>
    <x v="0"/>
    <n v="8709897"/>
    <s v="2017/09/16"/>
    <x v="124"/>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x v="94"/>
    <s v="EGM No. EGM Date Container No. Seal No. Error Message_x000a_T987822409  2017-9-24 0.0.0.0  TGHU2668341  404194  N.A. "/>
    <s v="ROSL Availed Amount(INR) Scroll Number Scroll Date_x000a_N  0  ROSL NOT CLAIMED  ROSL NOT CLAIMED "/>
    <x v="163"/>
    <x v="0"/>
    <s v="AWB No. Gateway Port Gateway EGM No. Gateway EGM Date Gateway Site ID Error Code N.A.  INMUN1  135887  2017-09-27 00:00:00.0  INMUN1  S "/>
    <x v="104"/>
  </r>
  <r>
    <x v="0"/>
    <n v="8749638"/>
    <s v="2017/09/19"/>
    <x v="125"/>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x v="95"/>
    <s v="EGM No. EGM Date Container No. Seal No. Error Message_x000a_T657202709  2017-9-27 0.0.0.0  TCKU3783810  404712  N.A. "/>
    <s v="ROSL Availed Amount(INR) Scroll Number Scroll Date_x000a_N  0  ROSL NOT CLAIMED  ROSL NOT CLAIMED "/>
    <x v="164"/>
    <x v="0"/>
    <s v="AWB No. Gateway Port Gateway EGM No. Gateway EGM Date Gateway Site ID Error Code N.A.  INMUN1  136169  2017-10-03 00:00:00.0  INMUN1  S "/>
    <x v="105"/>
  </r>
  <r>
    <x v="0"/>
    <n v="8751355"/>
    <s v="2017/09/19"/>
    <x v="126"/>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x v="96"/>
    <s v="EGM No. EGM Date Container No. Seal No. Error Message_x000a_T257542209  2017-9-22 0.0.0.0  MSKU0286482  403929  N.A. "/>
    <s v="ROSL Availed Amount(INR) Scroll Number Scroll Date_x000a_Y  14649  25835/2017  2017-10-15 0.0.0.0 "/>
    <x v="165"/>
    <x v="1"/>
    <s v="AWB No. Gateway Port Gateway EGM No. Gateway EGM Date Gateway Site ID Error Code N.A.  INNSA1  134741  2017-09-08 00:00:00.0  INNSA1  S "/>
    <x v="106"/>
  </r>
  <r>
    <x v="0"/>
    <n v="8752612"/>
    <s v="2017/09/19"/>
    <x v="127"/>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x v="97"/>
    <s v="EGM No. EGM Date Container No. Seal No. Error Message_x000a_R627583009  2017-9-30 0.0.0.0  WHLU5123143  404839  N.A. "/>
    <s v="ROSL Availed Amount(INR) Scroll Number Scroll Date_x000a_N  0  ROSL NOT CLAIMED  ROSL NOT CLAIMED "/>
    <x v="166"/>
    <x v="1"/>
    <s v="AWB No. Gateway Port Gateway EGM No. Gateway EGM Date Gateway Site ID Error Code N.A.  INNSA1  136236  2017-10-04 00:00:00.0  INNSA1  C "/>
    <x v="107"/>
  </r>
  <r>
    <x v="0"/>
    <n v="8752787"/>
    <s v="2017/09/19"/>
    <x v="128"/>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x v="98"/>
    <s v="EGM No. EGM Date Container No. Seal No. Error Message_x000a_R1417663009  2017-9-30 0.0.0.0  MSCU3996447  404832  N.A. "/>
    <s v="ROSL Availed Amount(INR) Scroll Number Scroll Date_x000a_N  0  ROSL NOT CLAIMED  ROSL NOT CLAIMED "/>
    <x v="167"/>
    <x v="0"/>
    <s v="AWB No. Gateway Port Gateway EGM No. Gateway EGM Date Gateway Site ID Error Code N.A.  INMUN1  136501  2017-10-08 00:00:00.0  INMUN1  S "/>
    <x v="108"/>
  </r>
  <r>
    <x v="0"/>
    <n v="8775656"/>
    <s v="2017/09/20"/>
    <x v="129"/>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x v="99"/>
    <s v="EGM No. EGM Date Container No. Seal No. Error Message_x000a_R1287020910  2017-10-9 0.0.0.0  WHLU5190049  406519  N.A. "/>
    <s v="ROSL Availed Amount(INR) Scroll Number Scroll Date_x000a_NULL  NULL  NULL  NULL "/>
    <x v="168"/>
    <x v="1"/>
    <s v="AWB No. Gateway Port Gateway EGM No. Gateway EGM Date Gateway Site ID Error Code N.A.  INNSA1  136144  2017-10-03 00:00:00.0  INNSA1  C "/>
    <x v="109"/>
  </r>
  <r>
    <x v="0"/>
    <n v="8783035"/>
    <s v="2017/09/20"/>
    <x v="13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x v="100"/>
    <s v="EGM No. EGM Date Container No. Seal No. Error Message_x000a_R687402909  2017-9-29 0.0.0.0  ETEU8125022  404528  N.A. "/>
    <s v="ROSL Availed Amount(INR) Scroll Number Scroll Date_x000a_N  0  ROSL NOT CLAIMED  ROSL NOT CLAIMED "/>
    <x v="169"/>
    <x v="0"/>
    <s v="AWB No. Gateway Port Gateway EGM No. Gateway EGM Date Gateway Site ID Error Code N.A.  INMUN1  N.A.  N.A.  N.A.  N.A. "/>
    <x v="34"/>
  </r>
  <r>
    <x v="0"/>
    <n v="8784077"/>
    <s v="2017/09/20"/>
    <x v="131"/>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x v="101"/>
    <s v="EGM No. EGM Date Container No. Seal No. Error Message_x000a_R1667180410  2017-10-4 0.0.0.0  GESU3267295  404881  N.A. "/>
    <s v="ROSL Availed Amount(INR) Scroll Number Scroll Date_x000a_N  0  ROSL NOT CLAIMED  ROSL NOT CLAIMED "/>
    <x v="170"/>
    <x v="2"/>
    <s v="Please Wait...."/>
    <x v="12"/>
  </r>
  <r>
    <x v="0"/>
    <n v="8794182"/>
    <s v="2017/09/21"/>
    <x v="3"/>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x v="102"/>
    <s v="EGM No. EGM Date Container No. Seal No. Error Message_x000a_R957122609  2017-9-26 0.0.0.0  CAXU9027937  403976  N.A. "/>
    <s v="ROSL Availed Amount(INR) Scroll Number Scroll Date_x000a_N  0  ROSL NOT CLAIMED  ROSL NOT CLAIMED "/>
    <x v="171"/>
    <x v="1"/>
    <s v="AWB No. Gateway Port Gateway EGM No. Gateway EGM Date Gateway Site ID Error Code N.A.  INNSA1  135731  2017-09-25 00:00:00.0  INNSA1  S "/>
    <x v="110"/>
  </r>
  <r>
    <x v="0"/>
    <n v="8796298"/>
    <s v="2017/09/21"/>
    <x v="132"/>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x v="103"/>
    <s v="EGM No. EGM Date Container No. Seal No. Error Message_x000a_R1317440610  2017-10-6 0.0.0.0  GESU3460468  405618  N.A. "/>
    <s v="ROSL Availed Amount(INR) Scroll Number Scroll Date_x000a_NULL  NULL  NULL  NULL "/>
    <x v="172"/>
    <x v="1"/>
    <s v="AWB No. Gateway Port Gateway EGM No. Gateway EGM Date Gateway Site ID Error Code N.A.  INNSA1  135726  2017-09-25 00:00:00.0  INNSA1  S "/>
    <x v="111"/>
  </r>
  <r>
    <x v="0"/>
    <n v="8826748"/>
    <s v="2017/09/22"/>
    <x v="67"/>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x v="104"/>
    <s v="EGM No. EGM Date Container No. Seal No. Error Message_x000a_R557581410  2017-10-14 0.0.0.0  SEGU4659588  407217  N.A. "/>
    <s v="ROSL Availed Amount(INR) Scroll Number Scroll Date_x000a_N  0  ROSL NOT CLAIMED  ROSL NOT CLAIMED "/>
    <x v="173"/>
    <x v="0"/>
    <s v="AWB No. Gateway Port Gateway EGM No. Gateway EGM Date Gateway Site ID Error Code N.A.  INMUN1  136070  2017-09-29 00:00:00.0  INMUN1  S "/>
    <x v="112"/>
  </r>
  <r>
    <x v="0"/>
    <n v="8848896"/>
    <s v="2017/09/23"/>
    <x v="64"/>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x v="105"/>
    <s v="EGM No. EGM Date Container No. Seal No. Error Message_x000a_R577800810  2017-10-8 0.0.0.0  HDMU6805133  406508  N.A. "/>
    <s v="ROSL Availed Amount(INR) Scroll Number Scroll Date_x000a_N  0  ROSL NOT CLAIMED  ROSL NOT CLAIMED "/>
    <x v="174"/>
    <x v="1"/>
    <s v="AWB No. Gateway Port Gateway EGM No. Gateway EGM Date Gateway Site ID Error Code N.A.  INNSA1  135331  2017-09-19 00:00:00.0  INNSA1  S "/>
    <x v="113"/>
  </r>
  <r>
    <x v="0"/>
    <n v="8849157"/>
    <s v="2017/09/23"/>
    <x v="67"/>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x v="106"/>
    <s v="EGM No. EGM Date Container No. Seal No. Error Message_x000a_R557720110  2017-10-1 0.0.0.0  BMOU6932354  001869  N.A. "/>
    <s v="ROSL Availed Amount(INR) Scroll Number Scroll Date_x000a_N  0  ROSL NOT CLAIMED  ROSL NOT CLAIMED "/>
    <x v="175"/>
    <x v="0"/>
    <s v="AWB No. Gateway Port Gateway EGM No. Gateway EGM Date Gateway Site ID Error Code N.A.  INMUN1  134212  2017-08-30 00:00:00.0  INMUN1  S "/>
    <x v="114"/>
  </r>
  <r>
    <x v="0"/>
    <n v="8876829"/>
    <s v="2017/09/25"/>
    <x v="133"/>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x v="107"/>
    <s v="EGM No. EGM Date Container No. Seal No. Error Message_x000a_R1217640710  2017-10-7 0.0.0.0  MRKU6860723  406078  N.A. "/>
    <s v="ROSL Availed Amount(INR) Scroll Number Scroll Date_x000a_N  0  ROSL NOT CLAIMED  ROSL NOT CLAIMED "/>
    <x v="176"/>
    <x v="1"/>
    <s v="AWB No. Gateway Port Gateway EGM No. Gateway EGM Date Gateway Site ID Error Code N.A.  INNSA1  134677  2017-09-07 00:00:00.0  INNSA1  S "/>
    <x v="115"/>
  </r>
  <r>
    <x v="0"/>
    <n v="8876935"/>
    <s v="2017/09/25"/>
    <x v="133"/>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x v="107"/>
    <s v="EGM No. EGM Date Container No. Seal No. Error Message_x000a_R1317440610  2017-10-6 0.0.0.0  MRKU6812849  406077  N.A. "/>
    <s v="ROSL Availed Amount(INR) Scroll Number Scroll Date_x000a_N  0  ROSL NOT CLAIMED  ROSL NOT CLAIMED "/>
    <x v="177"/>
    <x v="1"/>
    <s v="AWB No. Gateway Port Gateway EGM No. Gateway EGM Date Gateway Site ID Error Code N.A.  INNSA1  134677  2017-09-07 00:00:00.0  INNSA1  S "/>
    <x v="115"/>
  </r>
  <r>
    <x v="0"/>
    <n v="8898683"/>
    <s v="2017/09/26"/>
    <x v="134"/>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x v="108"/>
    <s v="EGM No. EGM Date Container No. Seal No. Error Message_x000a_TX227401910  2017-10-19 0.0.0.0  CAXU3150029  407289  N.A. "/>
    <s v="ROSL Availed Amount(INR) Scroll Number Scroll Date_x000a_N  0  ROSL NOT CLAIMED  ROSL NOT CLAIMED "/>
    <x v="178"/>
    <x v="0"/>
    <s v="AWB No. Gateway Port Gateway EGM No. Gateway EGM Date Gateway Site ID Error Code N.A.  INMUN1  135372  2017-09-19 00:00:00.0  INMUN1  S "/>
    <x v="116"/>
  </r>
  <r>
    <x v="0"/>
    <n v="8909116"/>
    <s v="2017/09/26"/>
    <x v="135"/>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x v="109"/>
    <s v="EGM No. EGM Date Container No. Seal No. Error Message_x000a_R977361210  2017-10-12 0.0.0.0  TGHU9620740  406014  N.A. "/>
    <s v="ROSL Availed Amount(INR) Scroll Number Scroll Date_x000a_Y  129950  25851/2017  2017-11-10 0.0.0.0 "/>
    <x v="179"/>
    <x v="0"/>
    <s v="AWB No. Gateway Port Gateway EGM No. Gateway EGM Date Gateway Site ID Error Code N.A.  INMUN1  139832  2017-11-30 00:00:00.0  INMUN1  S "/>
    <x v="117"/>
  </r>
  <r>
    <x v="0"/>
    <n v="8909119"/>
    <s v="2017/09/26"/>
    <x v="135"/>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x v="109"/>
    <s v="EGM No. EGM Date Container No. Seal No. Error Message_x000a_R977361210  2017-10-12 0.0.0.0  TGHU9620740  406014  N.A. "/>
    <s v="ROSL Availed Amount(INR) Scroll Number Scroll Date_x000a_Y  134275  25851/2017  2017-11-10 0.0.0.0 "/>
    <x v="180"/>
    <x v="0"/>
    <s v="AWB No. Gateway Port Gateway EGM No. Gateway EGM Date Gateway Site ID Error Code N.A.  INMUN1  139832  2017-11-30 00:00:00.0  INMUN1  S "/>
    <x v="117"/>
  </r>
  <r>
    <x v="0"/>
    <n v="8909141"/>
    <s v="2017/09/26"/>
    <x v="135"/>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x v="109"/>
    <s v="EGM No. EGM Date Container No. Seal No. Error Message_x000a_R977361210  2017-10-12 0.0.0.0  TGHU9620740  406014  N.A. "/>
    <s v="ROSL Availed Amount(INR) Scroll Number Scroll Date_x000a_Y  129950  25851/2017  2017-11-10 0.0.0.0 "/>
    <x v="179"/>
    <x v="0"/>
    <s v="AWB No. Gateway Port Gateway EGM No. Gateway EGM Date Gateway Site ID Error Code N.A.  INMUN1  139832  2017-11-30 00:00:00.0  INMUN1  S "/>
    <x v="117"/>
  </r>
  <r>
    <x v="0"/>
    <n v="8909143"/>
    <s v="2017/09/26"/>
    <x v="135"/>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x v="109"/>
    <s v="EGM No. EGM Date Container No. Seal No. Error Message_x000a_R977361210  2017-10-12 0.0.0.0  TGHU9620740  406014  N.A. "/>
    <s v="ROSL Availed Amount(INR) Scroll Number Scroll Date_x000a_Y  129950  25851/2017  2017-11-10 0.0.0.0 "/>
    <x v="179"/>
    <x v="0"/>
    <s v="AWB No. Gateway Port Gateway EGM No. Gateway EGM Date Gateway Site ID Error Code N.A.  INMUN1  139832  2017-11-30 00:00:00.0  INMUN1  S "/>
    <x v="117"/>
  </r>
  <r>
    <x v="0"/>
    <n v="8909148"/>
    <s v="2017/09/26"/>
    <x v="135"/>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x v="109"/>
    <s v="EGM No. EGM Date Container No. Seal No. Error Message_x000a_R977361210  2017-10-12 0.0.0.0  TGHU9620740  406014  N.A. "/>
    <s v="ROSL Availed Amount(INR) Scroll Number Scroll Date_x000a_Y  132402  25851/2017  2017-11-10 0.0.0.0 "/>
    <x v="181"/>
    <x v="0"/>
    <s v="AWB No. Gateway Port Gateway EGM No. Gateway EGM Date Gateway Site ID Error Code N.A.  INMUN1  139832  2017-11-30 00:00:00.0  INMUN1  S "/>
    <x v="117"/>
  </r>
  <r>
    <x v="0"/>
    <n v="8910761"/>
    <s v="2017/09/26"/>
    <x v="135"/>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x v="109"/>
    <s v="EGM No. EGM Date Container No. Seal No. Error Message_x000a_R977361210  2017-10-12 0.0.0.0  TGHU9620740  406014  N.A. "/>
    <s v="ROSL Availed Amount(INR) Scroll Number Scroll Date_x000a_Y  129950  25851/2017  2017-11-10 0.0.0.0 "/>
    <x v="179"/>
    <x v="0"/>
    <s v="AWB No. Gateway Port Gateway EGM No. Gateway EGM Date Gateway Site ID Error Code N.A.  INMUN1  139832  2017-11-30 00:00:00.0  INMUN1  S "/>
    <x v="117"/>
  </r>
  <r>
    <x v="0"/>
    <n v="8913772"/>
    <s v="2017/09/26"/>
    <x v="13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x v="110"/>
    <s v="EGM No. EGM Date Container No. Seal No. Error Message_x000a_R137720810  2017-10-8 0.0.0.0  CNSU2028217  405679  N.A. "/>
    <s v="ROSL Availed Amount(INR) Scroll Number Scroll Date_x000a_NULL  NULL  NULL  NULL "/>
    <x v="182"/>
    <x v="0"/>
    <s v="AWB No. Gateway Port Gateway EGM No. Gateway EGM Date Gateway Site ID Error Code N.A.  INMUN1  137768  2017-10-28 00:00:00.0  INMUN1  S "/>
    <x v="118"/>
  </r>
  <r>
    <x v="0"/>
    <n v="8937407"/>
    <s v="2017/09/27"/>
    <x v="13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x v="111"/>
    <s v="EGM No. EGM Date Container No. Seal No. Error Message_x000a_R1217640710  2017-10-7 0.0.0.0  WHLU2822403  406178  N.A. "/>
    <s v="ROSL Availed Amount(INR) Scroll Number Scroll Date_x000a_N  0  ROSL NOT CLAIMED  ROSL NOT CLAIMED "/>
    <x v="183"/>
    <x v="1"/>
    <s v="AWB No. Gateway Port Gateway EGM No. Gateway EGM Date Gateway Site ID Error Code N.A.  INNSA1  136158  2017-10-03 00:00:00.0  INNSA1  S "/>
    <x v="119"/>
  </r>
  <r>
    <x v="0"/>
    <n v="8942181"/>
    <s v="2017/09/27"/>
    <x v="138"/>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x v="92"/>
    <s v="EGM No. EGM Date Container No. Seal No. Error Message_x000a_T437260510  2017-10-5 0.0.0.0  TCNU4466055  000948  N.A. "/>
    <s v="ROSL Availed Amount(INR) Scroll Number Scroll Date_x000a_NULL  NULL  NULL  NULL "/>
    <x v="184"/>
    <x v="0"/>
    <s v="AWB No. Gateway Port Gateway EGM No. Gateway EGM Date Gateway Site ID Error Code N.A.  INMUN1  136519  2017-10-09 00:00:00.0  INMUN1  S "/>
    <x v="120"/>
  </r>
  <r>
    <x v="0"/>
    <n v="8942185"/>
    <s v="2017/09/27"/>
    <x v="138"/>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x v="92"/>
    <s v="EGM No. EGM Date Container No. Seal No. Error Message_x000a_T897160410  2017-10-4 0.0.0.0  TCKU1990300  000949  N.A. "/>
    <s v="ROSL Availed Amount(INR) Scroll Number Scroll Date_x000a_NULL  NULL  NULL  NULL "/>
    <x v="185"/>
    <x v="0"/>
    <s v="AWB No. Gateway Port Gateway EGM No. Gateway EGM Date Gateway Site ID Error Code N.A.  INMUN1  136519  2017-10-09 00:00:00.0  INMUN1  S "/>
    <x v="120"/>
  </r>
  <r>
    <x v="0"/>
    <n v="8961510"/>
    <s v="2017/09/28"/>
    <x v="139"/>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x v="112"/>
    <s v="EGM No. EGM Date Container No. Seal No. Error Message_x000a_R1287020910  2017-10-9 0.0.0.0  CCSU8593755  405692  N.A. "/>
    <s v="ROSL Availed Amount(INR) Scroll Number Scroll Date_x000a_Y  86988  25844/2017  2017-10-31 0.0.0.0 "/>
    <x v="186"/>
    <x v="1"/>
    <s v="AWB No. Gateway Port Gateway EGM No. Gateway EGM Date Gateway Site ID Error Code N.A.  INNSA1  136238  2017-10-04 00:00:00.0  INNSA1  S "/>
    <x v="121"/>
  </r>
  <r>
    <x v="0"/>
    <n v="8961708"/>
    <s v="2017/09/28"/>
    <x v="69"/>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x v="113"/>
    <s v="EGM No. EGM Date Container No. Seal No. Error Message_x000a_T567481910  2017-10-19 0.0.0.0  NYKU4815253  407294  N.A. "/>
    <s v="ROSL Availed Amount(INR) Scroll Number Scroll Date_x000a_N  0  ROSL NOT CLAIMED  ROSL NOT CLAIMED "/>
    <x v="187"/>
    <x v="1"/>
    <s v="AWB No. Gateway Port Gateway EGM No. Gateway EGM Date Gateway Site ID Error Code N.A.  INNSA1  136898  2017-10-13 00:00:00.0  INNSA1  S "/>
    <x v="122"/>
  </r>
  <r>
    <x v="0"/>
    <n v="8964619"/>
    <s v="2017/09/28"/>
    <x v="140"/>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x v="114"/>
    <s v="EGM No. EGM Date Container No. Seal No. Error Message_x000a_R37161110  2017-10-11 0.0.0.0  WHLU5142863  406553  N.A. "/>
    <s v="ROSL Availed Amount(INR) Scroll Number Scroll Date_x000a_N  0  ROSL NOT CLAIMED  ROSL NOT CLAIMED "/>
    <x v="188"/>
    <x v="1"/>
    <s v="AWB No. Gateway Port Gateway EGM No. Gateway EGM Date Gateway Site ID Error Code N.A.  INNSA1  N.A.  N.A.  N.A.  N.A. "/>
    <x v="2"/>
  </r>
  <r>
    <x v="0"/>
    <n v="8966600"/>
    <s v="2017/09/28"/>
    <x v="69"/>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x v="115"/>
    <s v="EGM No. EGM Date Container No. Seal No. Error Message_x000a_T567481910  2017-10-19 0.0.0.0  NYKU4815253  407294  N.A. "/>
    <s v="ROSL Availed Amount(INR) Scroll Number Scroll Date_x000a_N  0  ROSL NOT CLAIMED  ROSL NOT CLAIMED "/>
    <x v="189"/>
    <x v="1"/>
    <s v="AWB No. Gateway Port Gateway EGM No. Gateway EGM Date Gateway Site ID Error Code N.A.  INNSA1  136898  2017-10-13 00:00:00.0  INNSA1  S "/>
    <x v="122"/>
  </r>
  <r>
    <x v="0"/>
    <n v="8967109"/>
    <s v="2017/09/28"/>
    <x v="69"/>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x v="116"/>
    <s v="EGM No. EGM Date Container No. Seal No. Error Message_x000a_T567481910  2017-10-19 0.0.0.0  NYKU4815253  407294  N.A. "/>
    <s v="ROSL Availed Amount(INR) Scroll Number Scroll Date_x000a_N  0  ROSL NOT CLAIMED  ROSL NOT CLAIMED "/>
    <x v="190"/>
    <x v="1"/>
    <s v="AWB No. Gateway Port Gateway EGM No. Gateway EGM Date Gateway Site ID Error Code N.A.  INNSA1  136898  2017-10-13 00:00:00.0  INNSA1  S "/>
    <x v="122"/>
  </r>
  <r>
    <x v="0"/>
    <n v="8967731"/>
    <s v="2017/09/28"/>
    <x v="69"/>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x v="113"/>
    <s v="EGM No. EGM Date Container No. Seal No. Error Message_x000a_J467261810  2017-10-18 0.0.0.0  TCNU6969193  407275  N.A. "/>
    <s v="ROSL Availed Amount(INR) Scroll Number Scroll Date_x000a_N  0  ROSL NOT CLAIMED  ROSL NOT CLAIMED "/>
    <x v="191"/>
    <x v="0"/>
    <s v="AWB No. Gateway Port Gateway EGM No. Gateway EGM Date Gateway Site ID Error Code N.A.  INMUN1  135373  2017-09-19 00:00:00.0  INMUN1  S "/>
    <x v="123"/>
  </r>
  <r>
    <x v="0"/>
    <n v="8999430"/>
    <s v="2017/09/29"/>
    <x v="61"/>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x v="117"/>
    <s v="EGM No. EGM Date Container No. Seal No. Error Message_x000a_R297241810  2017-10-18 0.0.0.0  MRKU9663923  407271  N.A. "/>
    <s v="ROSL Availed Amount(INR) Scroll Number Scroll Date_x000a_N  0  ROSL NOT CLAIMED  ROSL NOT CLAIMED "/>
    <x v="192"/>
    <x v="1"/>
    <s v="AWB No. Gateway Port Gateway EGM No. Gateway EGM Date Gateway Site ID Error Code N.A.  INNSA1  135755  2017-09-25 00:00:00.0  INNSA1  NC "/>
    <x v="124"/>
  </r>
  <r>
    <x v="0"/>
    <n v="9000406"/>
    <s v="2017/09/29"/>
    <x v="67"/>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x v="118"/>
    <s v="EGM No. EGM Date Container No. Seal No. Error Message_x000a_R1477041710  2017-10-17 0.0.0.0  BMOU6923100  406966  N.A. "/>
    <s v="ROSL Availed Amount(INR) Scroll Number Scroll Date_x000a_N  0  ROSL NOT CLAIMED  ROSL NOT CLAIMED "/>
    <x v="193"/>
    <x v="0"/>
    <s v="AWB No. Gateway Port Gateway EGM No. Gateway EGM Date Gateway Site ID Error Code N.A.  INMUN1  136071  2017-09-29 00:00:00.0  INMUN1  S "/>
    <x v="125"/>
  </r>
  <r>
    <x v="0"/>
    <n v="9003019"/>
    <s v="2017/09/29"/>
    <x v="67"/>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x v="104"/>
    <s v="EGM No. EGM Date Container No. Seal No. Error Message_x000a_R1477041710  2017-10-17 0.0.0.0  BMOU6923100  406966  N.A. "/>
    <s v="ROSL Availed Amount(INR) Scroll Number Scroll Date_x000a_N  0  ROSL NOT CLAIMED  ROSL NOT CLAIMED "/>
    <x v="194"/>
    <x v="0"/>
    <s v="AWB No. Gateway Port Gateway EGM No. Gateway EGM Date Gateway Site ID Error Code N.A.  INMUN1  136071  2017-09-29 00:00:00.0  INMUN1  S "/>
    <x v="125"/>
  </r>
  <r>
    <x v="0"/>
    <n v="9009228"/>
    <s v="2017/09/29"/>
    <x v="141"/>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x v="92"/>
    <s v="EGM No. EGM Date Container No. Seal No. Error Message_x000a_R1287020910  2017-10-9 0.0.0.0  TCKU1325362  406513  N.A. "/>
    <s v="ROSL Availed Amount(INR) Scroll Number Scroll Date_x000a_NULL  NULL  NULL  NULL "/>
    <x v="195"/>
    <x v="1"/>
    <s v="AWB No. Gateway Port Gateway EGM No. Gateway EGM Date Gateway Site ID Error Code N.A.  INNSA1  135119  2017-09-14 00:00:00.0  INNSA1  S "/>
    <x v="126"/>
  </r>
  <r>
    <x v="0"/>
    <n v="9029616"/>
    <s v="2017/10/03"/>
    <x v="117"/>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x v="119"/>
    <s v="EGM No. EGM Date Container No. Seal No. Error Message_x000a_R137720810  2017-10-8 0.0.0.0  BAXU2688364  406251  N.A. "/>
    <s v="ROSL Availed Amount(INR) Scroll Number Scroll Date_x000a_N  0  ROSL NOT CLAIMED  ROSL NOT CLAIMED "/>
    <x v="196"/>
    <x v="0"/>
    <s v="AWB No. Gateway Port Gateway EGM No. Gateway EGM Date Gateway Site ID Error Code N.A.  INMUN1  136518  2017-10-09 00:00:00.0  INMUN1  S "/>
    <x v="127"/>
  </r>
  <r>
    <x v="0"/>
    <n v="9049883"/>
    <s v="2017/10/03"/>
    <x v="142"/>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x v="120"/>
    <s v="EGM No. EGM Date Container No. Seal No. Error Message_x000a_R37161110  2017-10-11 0.0.0.0  GESU2985600  40629  N.A. "/>
    <s v="ROSL Availed Amount(INR) Scroll Number Scroll Date_x000a_NULL  NULL  NULL  NULL "/>
    <x v="197"/>
    <x v="1"/>
    <s v="AWB No. Gateway Port Gateway EGM No. Gateway EGM Date Gateway Site ID Error Code N.A.  INNSA1  136163  2017-10-03 00:00:00.0  INNSA1  C "/>
    <x v="128"/>
  </r>
  <r>
    <x v="0"/>
    <n v="9064900"/>
    <s v="2017/10/04"/>
    <x v="143"/>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x v="121"/>
    <s v="EGM No. EGM Date Container No. Seal No. Error Message_x000a_R867621410  2017-10-14 0.0.0.0  NYKU2797166  407212  N.A. "/>
    <s v="ROSL Availed Amount(INR) Scroll Number Scroll Date_x000a_N  0  ROSL NOT CLAIMED  ROSL NOT CLAIMED "/>
    <x v="198"/>
    <x v="1"/>
    <s v="AWB No. Gateway Port Gateway EGM No. Gateway EGM Date Gateway Site ID Error Code N.A.  INNSA1  135895  2017-09-27 00:00:00.0  INNSA1  S "/>
    <x v="129"/>
  </r>
  <r>
    <x v="0"/>
    <n v="9073097"/>
    <s v="2017/10/04"/>
    <x v="14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x v="122"/>
    <s v="EGM No. EGM Date Container No. Seal No. Error Message_x000a_R867621410  2017-10-14 0.0.0.0  GVCU5250627  407221  N.A. "/>
    <s v="ROSL Availed Amount(INR) Scroll Number Scroll Date_x000a_NULL  NULL  NULL  NULL "/>
    <x v="199"/>
    <x v="1"/>
    <s v="AWB No. Gateway Port Gateway EGM No. Gateway EGM Date Gateway Site ID Error Code N.A.  INNSA1  135126  2017-09-14 00:00:00.0  INNSA1  S "/>
    <x v="130"/>
  </r>
  <r>
    <x v="0"/>
    <n v="9086361"/>
    <s v="2017/10/05"/>
    <x v="14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x v="123"/>
    <s v="EGM No. EGM Date Container No. Seal No. Error Message_x000a_R417321210  2017-10-12 0.0.0.0  GATU8593405  406813  N.A. "/>
    <s v="ROSL Availed Amount(INR) Scroll Number Scroll Date_x000a_NULL  NULL  NULL  NULL "/>
    <x v="200"/>
    <x v="1"/>
    <s v="AWB No. Gateway Port Gateway EGM No. Gateway EGM Date Gateway Site ID Error Code N.A.  INNSA1  136252  2017-10-04 00:00:00.0  INNSA1  S "/>
    <x v="131"/>
  </r>
  <r>
    <x v="0"/>
    <n v="9089004"/>
    <s v="2017/10/05"/>
    <x v="146"/>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x v="118"/>
    <s v="EGM No. EGM Date Container No. Seal No. Error Message_x000a_T977721510  2017-10-15 0.0.0.0  PCIU8176974  406590  N.A. "/>
    <s v="ROSL Availed Amount(INR) Scroll Number Scroll Date_x000a_N  0  ROSL NOT CLAIMED  ROSL NOT CLAIMED "/>
    <x v="201"/>
    <x v="1"/>
    <s v="AWB No. Gateway Port Gateway EGM No. Gateway EGM Date Gateway Site ID Error Code N.A.  INNSA1  137096  2017-10-17 00:00:00.0  INNSA1  C "/>
    <x v="132"/>
  </r>
  <r>
    <x v="0"/>
    <n v="9093386"/>
    <s v="2017/10/05"/>
    <x v="147"/>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x v="121"/>
    <s v="EGM No. EGM Date Container No. Seal No. Error Message_x000a_R977361210  2017-10-12 0.0.0.0  APZU2129906  406657  N.A. "/>
    <s v="ROSL Availed Amount(INR) Scroll Number Scroll Date_x000a_N  0  ROSL NOT CLAIMED  ROSL NOT CLAIMED "/>
    <x v="202"/>
    <x v="0"/>
    <s v="AWB No. Gateway Port Gateway EGM No. Gateway EGM Date Gateway Site ID Error Code N.A.  INMUN1  140361  2017-12-08 00:00:00.0  INMUN1  S "/>
    <x v="133"/>
  </r>
  <r>
    <x v="0"/>
    <n v="9096262"/>
    <s v="2017/10/05"/>
    <x v="148"/>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x v="114"/>
    <s v="EGM No. EGM Date Container No. Seal No. Error Message_x000a_R587241110  2017-10-11 0.0.0.0  GLDU5661534  406447  N.A. "/>
    <s v="ROSL Availed Amount(INR) Scroll Number Scroll Date_x000a_N  0  ROSL NOT CLAIMED  ROSL NOT CLAIMED "/>
    <x v="203"/>
    <x v="0"/>
    <s v="AWB No. Gateway Port Gateway EGM No. Gateway EGM Date Gateway Site ID Error Code N.A.  INMUN1  136910  2017-10-13 00:00:00.0  INMUN1  S "/>
    <x v="134"/>
  </r>
  <r>
    <x v="0"/>
    <n v="9098433"/>
    <s v="2017/10/05"/>
    <x v="149"/>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x v="116"/>
    <s v="EGM No. EGM Date Container No. Seal No. Error Message_x000a_R867621410  2017-10-14 0.0.0.0  CAIU7480618  407224  N.A. "/>
    <s v="ROSL Availed Amount(INR) Scroll Number Scroll Date_x000a_N  0  ROSL NOT CLAIMED  ROSL NOT CLAIMED "/>
    <x v="204"/>
    <x v="1"/>
    <s v="AWB No. Gateway Port Gateway EGM No. Gateway EGM Date Gateway Site ID Error Code N.A.  INNSA1  135895  2017-09-27 00:00:00.0  INNSA1  S "/>
    <x v="129"/>
  </r>
  <r>
    <x v="0"/>
    <n v="9122323"/>
    <s v="2017/10/06"/>
    <x v="99"/>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x v="123"/>
    <s v="EGM No. EGM Date Container No. Seal No. Error Message_x000a_R867621410  2017-10-14 0.0.0.0  CAIU7480618  407224  N.A. "/>
    <s v="ROSL Availed Amount(INR) Scroll Number Scroll Date_x000a_NULL  NULL  NULL  NULL "/>
    <x v="205"/>
    <x v="1"/>
    <s v="AWB No. Gateway Port Gateway EGM No. Gateway EGM Date Gateway Site ID Error Code N.A.  INNSA1  135895  2017-09-27 00:00:00.0  INNSA1  S "/>
    <x v="129"/>
  </r>
  <r>
    <x v="0"/>
    <n v="9131041"/>
    <s v="2017/10/06"/>
    <x v="150"/>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x v="124"/>
    <s v="EGM No. EGM Date Container No. Seal No. Error Message_x000a_R157782210  2017-10-22 0.0.0.0  MRKU5061888  407765  N.A. "/>
    <s v="ROSL Availed Amount(INR) Scroll Number Scroll Date_x000a_NULL  NULL  NULL  NULL "/>
    <x v="206"/>
    <x v="0"/>
    <s v="AWB No. Gateway Port Gateway EGM No. Gateway EGM Date Gateway Site ID Error Code N.A.  INMUN1  138865  2017-11-15 00:00:00.0  INMUN1  S "/>
    <x v="135"/>
  </r>
  <r>
    <x v="0"/>
    <n v="9136843"/>
    <s v="2017/10/07"/>
    <x v="151"/>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x v="104"/>
    <s v="EGM No. EGM Date Container No. Seal No. Error Message_x000a_R957461310  2017-10-13 0.0.0.0  AMFU8533571  407208  N.A. "/>
    <s v="ROSL Availed Amount(INR) Scroll Number Scroll Date_x000a_N  0  ROSL NOT CLAIMED  ROSL NOT CLAIMED "/>
    <x v="207"/>
    <x v="1"/>
    <s v="AWB No. Gateway Port Gateway EGM No. Gateway EGM Date Gateway Site ID Error Code N.A.  INNSA1  137147  2017-10-18 00:00:00.0  INNSA1  S "/>
    <x v="136"/>
  </r>
  <r>
    <x v="0"/>
    <n v="9137886"/>
    <s v="2017/10/07"/>
    <x v="45"/>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x v="122"/>
    <s v="EGM No. EGM Date Container No. Seal No. Error Message_x000a_R887682110  2017-10-21 0.0.0.0  GLDU0850350  407702  N.A. "/>
    <s v="ROSL Availed Amount(INR) Scroll Number Scroll Date_x000a_NULL  NULL  NULL  NULL "/>
    <x v="208"/>
    <x v="1"/>
    <s v="AWB No. Gateway Port Gateway EGM No. Gateway EGM Date Gateway Site ID Error Code N.A.  INNSA1  136648  2017-10-10 00:00:00.0  INNSA1  C "/>
    <x v="137"/>
  </r>
  <r>
    <x v="0"/>
    <n v="9150741"/>
    <s v="2017/10/07"/>
    <x v="152"/>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x v="116"/>
    <s v="EGM No. EGM Date Container No. Seal No. Error Message_x000a_R867621410  2017-10-14 0.0.0.0  TCNU8961632  406571  N.A. "/>
    <s v="ROSL Availed Amount(INR) Scroll Number Scroll Date_x000a_N  0  ROSL NOT CLAIMED  ROSL NOT CLAIMED "/>
    <x v="209"/>
    <x v="1"/>
    <s v="AWB No. Gateway Port Gateway EGM No. Gateway EGM Date Gateway Site ID Error Code N.A.  INNSA1  136123  2017-10-02 00:00:00.0  INNSA1  S "/>
    <x v="138"/>
  </r>
  <r>
    <x v="0"/>
    <n v="9161051"/>
    <s v="2017/10/09"/>
    <x v="2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x v="125"/>
    <s v="EGM No. EGM Date Container No. Seal No. Error Message_x000a_R867621410  2017-10-14 0.0.0.0  BAXU5056052  407207  N.A. "/>
    <s v="ROSL Availed Amount(INR) Scroll Number Scroll Date_x000a_NULL  NULL  NULL  NULL "/>
    <x v="210"/>
    <x v="1"/>
    <s v="AWB No. Gateway Port Gateway EGM No. Gateway EGM Date Gateway Site ID Error Code N.A.  INNSA1  136151  2017-10-03 00:00:00.0  INNSA1  S "/>
    <x v="139"/>
  </r>
  <r>
    <x v="0"/>
    <n v="9203657"/>
    <s v="2017/10/10"/>
    <x v="153"/>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x v="126"/>
    <s v="EGM No. EGM Date Container No. Seal No. Error Message_x000a_T907562710  2017-10-27 0.0.0.0  TCNU6623955  408335  N.A. "/>
    <s v="ROSL Availed Amount(INR) Scroll Number Scroll Date_x000a_NULL  NULL  NULL  NULL "/>
    <x v="211"/>
    <x v="1"/>
    <s v="AWB No. Gateway Port Gateway EGM No. Gateway EGM Date Gateway Site ID Error Code N.A.  INNSA1  136204  2017-10-03 00:00:00.0  INNSA1  S "/>
    <x v="140"/>
  </r>
  <r>
    <x v="0"/>
    <n v="9212445"/>
    <s v="2017/10/11"/>
    <x v="154"/>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x v="127"/>
    <s v="EGM No. EGM Date Container No. Seal No. Error Message_x000a_R687802210  2017-10-22 0.0.0.0  VSTU9000208  407755  N.A. "/>
    <s v="ROSL Availed Amount(INR) Scroll Number Scroll Date_x000a_N  0  ROSL NOT CLAIMED  ROSL NOT CLAIMED "/>
    <x v="212"/>
    <x v="1"/>
    <s v="AWB No. Gateway Port Gateway EGM No. Gateway EGM Date Gateway Site ID Error Code N.A.  INNSA1  136637  2017-10-10 00:00:00.0  INNSA1  C "/>
    <x v="141"/>
  </r>
  <r>
    <x v="0"/>
    <n v="9225719"/>
    <s v="2017/10/11"/>
    <x v="155"/>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x v="128"/>
    <s v="EGM No. EGM Date Container No. Seal No. Error Message_x000a_R867621410  2017-10-14 0.0.0.0  RFSU2005740  407192  N.A. "/>
    <s v="ROSL Availed Amount(INR) Scroll Number Scroll Date_x000a_N  0  ROSL NOT CLAIMED  ROSL NOT CLAIMED "/>
    <x v="213"/>
    <x v="1"/>
    <s v="AWB No. Gateway Port Gateway EGM No. Gateway EGM Date Gateway Site ID Error Code N.A.  INNSA1  N.A.  N.A.  N.A.  N.A. "/>
    <x v="2"/>
  </r>
  <r>
    <x v="0"/>
    <n v="9226280"/>
    <s v="2017/10/11"/>
    <x v="26"/>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x v="129"/>
    <s v="EGM No. EGM Date Container No. Seal No. Error Message_x000a_R917360111  2017-11-1 0.0.0.0  CAXU9973575  408924  N.A. "/>
    <s v="ROSL Availed Amount(INR) Scroll Number Scroll Date_x000a_N  0  ROSL NOT CLAIMED  ROSL NOT CLAIMED "/>
    <x v="214"/>
    <x v="1"/>
    <s v="AWB No. Gateway Port Gateway EGM No. Gateway EGM Date Gateway Site ID Error Code N.A.  INNSA1  138138  2017-11-03 00:00:00.0  INNSA1  C "/>
    <x v="142"/>
  </r>
  <r>
    <x v="0"/>
    <n v="9234919"/>
    <s v="2017/10/12"/>
    <x v="65"/>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x v="130"/>
    <s v="EGM No. EGM Date Container No. Seal No. Error Message_x000a_J207942310  2017-10-23 0.0.0.0  DFSU6802732  407794  N.A. "/>
    <s v="ROSL Availed Amount(INR) Scroll Number Scroll Date_x000a_N  0  ROSL NOT CLAIMED  ROSL NOT CLAIMED "/>
    <x v="215"/>
    <x v="1"/>
    <s v="AWB No. Gateway Port Gateway EGM No. Gateway EGM Date Gateway Site ID Error Code N.A.  INNSA1  136898  2017-10-13 00:00:00.0  INNSA1  S "/>
    <x v="122"/>
  </r>
  <r>
    <x v="0"/>
    <n v="9246037"/>
    <s v="2017/10/12"/>
    <x v="71"/>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x v="131"/>
    <s v="EGM No. EGM Date Container No. Seal No. Error Message_x000a_R157782210  2017-10-22 0.0.0.0  NYKU4430478  407751  N.A. "/>
    <s v="ROSL Availed Amount(INR) Scroll Number Scroll Date_x000a_N  0  ROSL NOT CLAIMED  ROSL NOT CLAIMED "/>
    <x v="216"/>
    <x v="3"/>
    <s v="AWB No. Gateway Port Gateway EGM No. Gateway EGM Date Gateway Site ID Error Code N.A.  INPAV1  137330  2017-10-23 00:00:00.0  INPAV1  S "/>
    <x v="143"/>
  </r>
  <r>
    <x v="0"/>
    <n v="9312599"/>
    <s v="2017/10/16"/>
    <x v="15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x v="132"/>
    <s v="EGM No. EGM Date Container No. Seal No. Error Message_x000a_R687802210  2017-10-22 0.0.0.0  HDMU2678133  40779  N.A. "/>
    <s v="ROSL Availed Amount(INR) Scroll Number Scroll Date_x000a_NULL  NULL  NULL  NULL "/>
    <x v="217"/>
    <x v="1"/>
    <s v="AWB No. Gateway Port Gateway EGM No. Gateway EGM Date Gateway Site ID Error Code N.A.  INNSA1  N.A.  N.A.  N.A.  N.A. "/>
    <x v="2"/>
  </r>
  <r>
    <x v="0"/>
    <n v="9323426"/>
    <s v="2017/10/16"/>
    <x v="69"/>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x v="133"/>
    <s v="EGM No. EGM Date Container No. Seal No. Error Message_x000a_T937660411  2017-11-4 0.0.0.0  SEGU4994420  408956  N.A. "/>
    <s v="ROSL Availed Amount(INR) Scroll Number Scroll Date_x000a_N  0  ROSL NOT CLAIMED  ROSL NOT CLAIMED "/>
    <x v="218"/>
    <x v="0"/>
    <s v="AWB No. Gateway Port Gateway EGM No. Gateway EGM Date Gateway Site ID Error Code N.A.  INMUN1  137020  2017-10-16 00:00:00.0  INMUN1  S "/>
    <x v="144"/>
  </r>
  <r>
    <x v="0"/>
    <n v="9330767"/>
    <s v="2017/10/16"/>
    <x v="157"/>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x v="134"/>
    <s v="EGM No. EGM Date Container No. Seal No. Error Message_x000a_T427042410  2017-10-24 0.0.0.0  TTNU9450840  407792  N.A. "/>
    <s v="ROSL Availed Amount(INR) Scroll Number Scroll Date_x000a_NULL  NULL  NULL  NULL "/>
    <x v="219"/>
    <x v="1"/>
    <s v="AWB No. Gateway Port Gateway EGM No. Gateway EGM Date Gateway Site ID Error Code N.A.  INNSA1  136204  2017-10-03 00:00:00.0  INNSA1  S "/>
    <x v="140"/>
  </r>
  <r>
    <x v="0"/>
    <n v="9344909"/>
    <s v="2017/10/17"/>
    <x v="158"/>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x v="132"/>
    <s v="EGM No. EGM Date Container No. Seal No. Error Message_x000a_T887462710  2017-10-27 0.0.0.0  SUDU1349505  408331  N.A. "/>
    <s v="ROSL Availed Amount(INR) Scroll Number Scroll Date_x000a_NULL  NULL  NULL  NULL "/>
    <x v="220"/>
    <x v="0"/>
    <s v="AWB No. Gateway Port Gateway EGM No. Gateway EGM Date Gateway Site ID Error Code N.A.  INMUN1  137857  2017-10-30 00:00:00.0  INMUN1  S "/>
    <x v="145"/>
  </r>
  <r>
    <x v="0"/>
    <n v="9346238"/>
    <s v="2017/10/17"/>
    <x v="159"/>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x v="135"/>
    <s v="EGM No. EGM Date Container No. Seal No. Error Message_x000a_R437682810  2017-10-28 0.0.0.0  FCIU9221260  408359  N.A. "/>
    <s v="ROSL Availed Amount(INR) Scroll Number Scroll Date_x000a_NULL  NULL  NULL  NULL "/>
    <x v="221"/>
    <x v="1"/>
    <s v="AWB No. Gateway Port Gateway EGM No. Gateway EGM Date Gateway Site ID Error Code N.A.  INNSA1  136639  2017-10-10 00:00:00.0  INNSA1  S "/>
    <x v="146"/>
  </r>
  <r>
    <x v="0"/>
    <n v="9353344"/>
    <s v="2017/10/17"/>
    <x v="160"/>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x v="134"/>
    <s v="EGM No. EGM Date Container No. Seal No. Error Message_x000a_R617602810  2017-10-28 0.0.0.0  TTNU9813289  408340  N.A. "/>
    <s v="ROSL Availed Amount(INR) Scroll Number Scroll Date_x000a_NULL  NULL  NULL  NULL "/>
    <x v="222"/>
    <x v="0"/>
    <s v="AWB No. Gateway Port Gateway EGM No. Gateway EGM Date Gateway Site ID Error Code N.A.  INMUN1  137573  2017-10-25 00:00:00.0  INMUN1  S "/>
    <x v="147"/>
  </r>
  <r>
    <x v="0"/>
    <n v="9361492"/>
    <s v="2017/10/17"/>
    <x v="161"/>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x v="136"/>
    <s v="EGM No. EGM Date Container No. Seal No. Error Message_x000a_J207942310  2017-10-23 0.0.0.0  DFSU6802732  407794  N.A. "/>
    <s v="ROSL Availed Amount(INR) Scroll Number Scroll Date_x000a_NULL  NULL  NULL  NULL "/>
    <x v="223"/>
    <x v="1"/>
    <s v="AWB No. Gateway Port Gateway EGM No. Gateway EGM Date Gateway Site ID Error Code N.A.  INNSA1  N.A.  N.A.  N.A.  N.A. "/>
    <x v="2"/>
  </r>
  <r>
    <x v="0"/>
    <n v="9425848"/>
    <s v="2017/10/23"/>
    <x v="77"/>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x v="137"/>
    <s v="EGM No. EGM Date Container No. Seal No. Error Message_x000a_T567242510  2017-10-25 0.0.0.0  DRYU9359519  408313  N.A. "/>
    <s v="ROSL Availed Amount(INR) Scroll Number Scroll Date_x000a_Y  4788  25934/2018  2018-3-20 0.0.0.0 "/>
    <x v="224"/>
    <x v="0"/>
    <s v="AWB No. Gateway Port Gateway EGM No. Gateway EGM Date Gateway Site ID Error Code N.A.  INMUN1  N.A.  N.A.  N.A.  N.A. "/>
    <x v="34"/>
  </r>
  <r>
    <x v="0"/>
    <n v="9474719"/>
    <s v="2017/10/25"/>
    <x v="162"/>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x v="138"/>
    <s v="EGM No. EGM Date Container No. Seal No. Error Message_x000a_R867722910  2017-10-29 0.0.0.0  TGHU0568934  408516  N.A. "/>
    <s v="ROSL Availed Amount(INR) Scroll Number Scroll Date_x000a_N  0  ROSL NOT CLAIMED  ROSL NOT CLAIMED "/>
    <x v="225"/>
    <x v="0"/>
    <s v="AWB No. Gateway Port Gateway EGM No. Gateway EGM Date Gateway Site ID Error Code N.A.  INMUN1  137953  2017-11-01 00:00:00.0  INMUN1  S "/>
    <x v="148"/>
  </r>
  <r>
    <x v="0"/>
    <n v="9492580"/>
    <s v="2017/10/26"/>
    <x v="73"/>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x v="139"/>
    <s v="EGM No. EGM Date Container No. Seal No. Error Message_x000a_R597123010  2017-10-30 0.0.0.0  ZCSU2655603  408394  N.A. "/>
    <s v="ROSL Availed Amount(INR) Scroll Number Scroll Date_x000a_N  0  ROSL NOT CLAIMED  ROSL NOT CLAIMED "/>
    <x v="226"/>
    <x v="1"/>
    <s v="AWB No. Gateway Port Gateway EGM No. Gateway EGM Date Gateway Site ID Error Code N.A.  INNSA1  137147  2017-10-18 00:00:00.0  INNSA1  C "/>
    <x v="149"/>
  </r>
  <r>
    <x v="0"/>
    <n v="9510284"/>
    <s v="2017/10/26"/>
    <x v="64"/>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x v="140"/>
    <s v="EGM No. EGM Date Container No. Seal No. Error Message_x000a_R117101311  2017-11-13 0.0.0.0  GLDU7092036  410152  N.A. "/>
    <s v="ROSL Availed Amount(INR) Scroll Number Scroll Date_x000a_N  0  ROSL NOT CLAIMED  ROSL NOT CLAIMED "/>
    <x v="227"/>
    <x v="1"/>
    <s v="AWB No. Gateway Port Gateway EGM No. Gateway EGM Date Gateway Site ID Error Code N.A.  INNSA1  138449  2017-11-09 00:00:00.0  INNSA1  S "/>
    <x v="150"/>
  </r>
  <r>
    <x v="0"/>
    <n v="9522381"/>
    <s v="2017/10/27"/>
    <x v="24"/>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x v="141"/>
    <s v="EGM No. EGM Date Container No. Seal No. Error Message_x000a_R1237600311  2017-11-3 0.0.0.0  TCLU8954847  409204  N.A. "/>
    <s v="ROSL Availed Amount(INR) Scroll Number Scroll Date_x000a_NULL  NULL  NULL  NULL "/>
    <x v="228"/>
    <x v="3"/>
    <s v="AWB No. Gateway Port Gateway EGM No. Gateway EGM Date Gateway Site ID Error Code N.A.  INPAV1  138356  2017-11-07 00:00:00.0  INPAV1  S "/>
    <x v="151"/>
  </r>
  <r>
    <x v="0"/>
    <n v="9531547"/>
    <s v="2017/10/27"/>
    <x v="163"/>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x v="142"/>
    <s v="EGM No. EGM Date Container No. Seal No. Error Message_x000a_J237680411  2017-11-4 0.0.0.0  TCLU3101163  408966  N.A. "/>
    <s v="ROSL Availed Amount(INR) Scroll Number Scroll Date_x000a_NULL  NULL  NULL  NULL "/>
    <x v="229"/>
    <x v="1"/>
    <s v="AWB No. Gateway Port Gateway EGM No. Gateway EGM Date Gateway Site ID Error Code N.A.  INNSA1  137367  2017-10-23 00:00:00.0  INNSA1  S "/>
    <x v="152"/>
  </r>
  <r>
    <x v="0"/>
    <n v="9535945"/>
    <s v="2017/10/27"/>
    <x v="26"/>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x v="133"/>
    <s v="EGM No. EGM Date Container No. Seal No. Error Message_x000a_J237680411  2017-11-4 0.0.0.0  HNSU2035740  408975  N.A. "/>
    <s v="ROSL Availed Amount(INR) Scroll Number Scroll Date_x000a_N  0  ROSL NOT CLAIMED  ROSL NOT CLAIMED "/>
    <x v="230"/>
    <x v="1"/>
    <s v="AWB No. Gateway Port Gateway EGM No. Gateway EGM Date Gateway Site ID Error Code N.A.  INNSA1  137969  2017-11-01 00:00:00.0  INNSA1  C "/>
    <x v="153"/>
  </r>
  <r>
    <x v="0"/>
    <n v="9536682"/>
    <s v="2017/10/27"/>
    <x v="164"/>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x v="143"/>
    <s v="EGM No. EGM Date Container No. Seal No. Error Message_x000a_T417481011  2017-11-10 0.0.0.0  NYKU3240133  409783  N.A. "/>
    <s v="ROSL Availed Amount(INR) Scroll Number Scroll Date_x000a_N  0  ROSL NOT CLAIMED  ROSL NOT CLAIMED "/>
    <x v="231"/>
    <x v="1"/>
    <s v="AWB No. Gateway Port Gateway EGM No. Gateway EGM Date Gateway Site ID Error Code N.A.  INNSA1  138138  2017-11-03 00:00:00.0  INNSA1  S "/>
    <x v="154"/>
  </r>
  <r>
    <x v="0"/>
    <n v="9565498"/>
    <s v="2017/10/30"/>
    <x v="165"/>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x v="144"/>
    <s v="EGM No. EGM Date Container No. Seal No. Error Message_x000a_R857060711  2017-11-7 0.0.0.0  BMOU5903388  408984  N.A. "/>
    <s v="ROSL Availed Amount(INR) Scroll Number Scroll Date_x000a_NULL  NULL  NULL  NULL "/>
    <x v="232"/>
    <x v="1"/>
    <s v="AWB No. Gateway Port Gateway EGM No. Gateway EGM Date Gateway Site ID Error Code N.A.  INNSA1  137453  2017-10-24 00:00:00.0  INNSA1  C "/>
    <x v="155"/>
  </r>
  <r>
    <x v="0"/>
    <n v="9572277"/>
    <s v="2017/10/30"/>
    <x v="41"/>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x v="145"/>
    <s v="EGM No. EGM Date Container No. Seal No. Error Message_x000a_R1307141411  2017-11-14 0.0.0.0  BSIU9258478  410288  N.A. "/>
    <s v="ROSL Availed Amount(INR) Scroll Number Scroll Date_x000a_N  0  ROSL NOT CLAIMED  ROSL NOT CLAIMED "/>
    <x v="233"/>
    <x v="0"/>
    <s v="AWB No. Gateway Port Gateway EGM No. Gateway EGM Date Gateway Site ID Error Code N.A.  INMUN1  139244  2017-11-21 00:00:00.0  INMUN1  S "/>
    <x v="156"/>
  </r>
  <r>
    <x v="0"/>
    <n v="9575454"/>
    <s v="2017/10/30"/>
    <x v="68"/>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x v="144"/>
    <s v="EGM No. EGM Date Container No. Seal No. Error Message_x000a_R917281511  2017-11-15 0.0.0.0  MSKU5046484  410116  N.A. "/>
    <s v="ROSL Availed Amount(INR) Scroll Number Scroll Date_x000a_NULL  NULL  NULL  NULL "/>
    <x v="234"/>
    <x v="1"/>
    <s v="AWB No. Gateway Port Gateway EGM No. Gateway EGM Date Gateway Site ID Error Code N.A.  INNSA1  137348  2017-10-23 00:00:00.0  INNSA1  S "/>
    <x v="157"/>
  </r>
  <r>
    <x v="0"/>
    <n v="9580505"/>
    <s v="2017/10/30"/>
    <x v="69"/>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x v="146"/>
    <s v="EGM No. EGM Date Container No. Seal No. Error Message_x000a_T897181411  2017-11-14 0.0.0.0  GVCU5235474  410172  N.A. "/>
    <s v="ROSL Availed Amount(INR) Scroll Number Scroll Date_x000a_N  0  ROSL NOT CLAIMED  ROSL NOT CLAIMED "/>
    <x v="235"/>
    <x v="1"/>
    <s v="AWB No. Gateway Port Gateway EGM No. Gateway EGM Date Gateway Site ID Error Code N.A.  INNSA1  137366  2017-10-23 00:00:00.0  INNSA1  S "/>
    <x v="158"/>
  </r>
  <r>
    <x v="0"/>
    <n v="9597287"/>
    <s v="2017/10/31"/>
    <x v="166"/>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x v="144"/>
    <s v="EGM No. EGM Date Container No. Seal No. Error Message_x000a_J237680411  2017-11-4 0.0.0.0  BSIU2923410  409431  N.A. "/>
    <s v="ROSL Availed Amount(INR) Scroll Number Scroll Date_x000a_NULL  NULL  NULL  NULL "/>
    <x v="236"/>
    <x v="1"/>
    <s v="AWB No. Gateway Port Gateway EGM No. Gateway EGM Date Gateway Site ID Error Code N.A.  INNSA1  137830  2017-10-30 00:00:00.0  INNSA1  S "/>
    <x v="159"/>
  </r>
  <r>
    <x v="0"/>
    <n v="9603076"/>
    <s v="2017/10/31"/>
    <x v="167"/>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x v="147"/>
    <s v="EGM No. EGM Date Container No. Seal No. Error Message_x000a_T257561711  2017-11-17 0.0.0.0  CCLU3768859  410722  N.A. "/>
    <s v="ROSL Availed Amount(INR) Scroll Number Scroll Date_x000a_N  0  ROSL NOT CLAIMED  ROSL NOT CLAIMED "/>
    <x v="237"/>
    <x v="1"/>
    <s v="AWB No. Gateway Port Gateway EGM No. Gateway EGM Date Gateway Site ID Error Code N.A.  INNSA1  138455  2017-11-09 00:00:00.0  INNSA1  S "/>
    <x v="160"/>
  </r>
  <r>
    <x v="0"/>
    <n v="9612572"/>
    <s v="2017/10/31"/>
    <x v="167"/>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x v="148"/>
    <s v="EGM No. EGM Date Container No. Seal No. Error Message_x000a_R917281511  2017-11-15 0.0.0.0  CRXU9830141  410173  N.A. "/>
    <s v="ROSL Availed Amount(INR) Scroll Number Scroll Date_x000a_N  0  ROSL NOT CLAIMED  ROSL NOT CLAIMED "/>
    <x v="238"/>
    <x v="1"/>
    <s v="AWB No. Gateway Port Gateway EGM No. Gateway EGM Date Gateway Site ID Error Code N.A.  INNSA1  138732  2017-11-14 00:00:00.0  INNSA1  S "/>
    <x v="161"/>
  </r>
  <r>
    <x v="0"/>
    <n v="9626392"/>
    <s v="2017/11/01"/>
    <x v="70"/>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x v="149"/>
    <s v="EGM No. EGM Date Container No. Seal No. Error Message_x000a_R757340911  2017-11-9 0.0.0.0  CAIU2219324  409773  N.A. "/>
    <s v="ROSL Availed Amount(INR) Scroll Number Scroll Date_x000a_N  0  ROSL NOT CLAIMED  ROSL NOT CLAIMED "/>
    <x v="239"/>
    <x v="1"/>
    <s v="AWB No. Gateway Port Gateway EGM No. Gateway EGM Date Gateway Site ID Error Code N.A.  INNSA1  137889  2017-10-31 00:00:00.0  INNSA1  S "/>
    <x v="162"/>
  </r>
  <r>
    <x v="0"/>
    <n v="9653631"/>
    <s v="2017/11/02"/>
    <x v="164"/>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x v="150"/>
    <s v="EGM No. EGM Date Container No. Seal No. Error Message_x000a_R67142711  2017-11-27 0.0.0.0  TRHU3490683  411926  N.A. "/>
    <s v="ROSL Availed Amount(INR) Scroll Number Scroll Date_x000a_N  0  ROSL NOT CLAIMED  ROSL NOT CLAIMED "/>
    <x v="240"/>
    <x v="1"/>
    <s v="AWB No. Gateway Port Gateway EGM No. Gateway EGM Date Gateway Site ID Error Code N.A.  INNSA1  138837  2017-11-15 00:00:00.0  INNSA1  S "/>
    <x v="163"/>
  </r>
  <r>
    <x v="0"/>
    <n v="9675183"/>
    <s v="2017/11/03"/>
    <x v="168"/>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x v="151"/>
    <s v="EGM No. EGM Date Container No. Seal No. Error Message_x000a_T957380911  2017-11-9 0.0.0.0  CAIU8861239  409849  N.A. "/>
    <s v="ROSL Availed Amount(INR) Scroll Number Scroll Date_x000a_N  0  ROSL NOT CLAIMED  ROSL NOT CLAIMED "/>
    <x v="241"/>
    <x v="1"/>
    <s v="AWB No. Gateway Port Gateway EGM No. Gateway EGM Date Gateway Site ID Error Code N.A.  INNSA1  N.A.  N.A.  N.A.  N.A. "/>
    <x v="2"/>
  </r>
  <r>
    <x v="0"/>
    <n v="9683009"/>
    <s v="2017/11/03"/>
    <x v="169"/>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x v="148"/>
    <s v="EGM No. EGM Date Container No. Seal No. Error Message_x000a_R987721111  2017-11-11 0.0.0.0  HMMU6037769  409797  N.A. "/>
    <s v="ROSL Availed Amount(INR) Scroll Number Scroll Date_x000a_N  0  ROSL NOT CLAIMED  ROSL NOT CLAIMED "/>
    <x v="242"/>
    <x v="1"/>
    <s v="AWB No. Gateway Port Gateway EGM No. Gateway EGM Date Gateway Site ID Error Code N.A.  INNSA1  138138  2017-11-03 00:00:00.0  INNSA1  S "/>
    <x v="154"/>
  </r>
  <r>
    <x v="0"/>
    <n v="9683904"/>
    <s v="2017/11/03"/>
    <x v="170"/>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x v="152"/>
    <s v="EGM No. EGM Date Container No. Seal No. Error Message_x000a_T437622212  2017-12-22 0.0.0.0  TCKU3159445  414297  N.A. "/>
    <s v="ROSL Availed Amount(INR) Scroll Number Scroll Date_x000a_NULL  NULL  NULL  NULL "/>
    <x v="243"/>
    <x v="0"/>
    <s v="AWB No. Gateway Port Gateway EGM No. Gateway EGM Date Gateway Site ID Error Code N.A.  INMUN1  140630  2017-12-13 00:00:00.0  INMUN1  S "/>
    <x v="164"/>
  </r>
  <r>
    <x v="0"/>
    <n v="9687200"/>
    <s v="2017/11/03"/>
    <x v="171"/>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x v="149"/>
    <s v="EGM No. EGM Date Container No. Seal No. Error Message_x000a_R627641011  2017-11-10 0.0.0.0  TRLU7601994  410141  N.A. "/>
    <s v="ROSL Availed Amount(INR) Scroll Number Scroll Date_x000a_Y  7484  25863/2017  2017-11-20 0.0.0.0 "/>
    <x v="244"/>
    <x v="1"/>
    <s v="AWB No. Gateway Port Gateway EGM No. Gateway EGM Date Gateway Site ID Error Code N.A.  INNSA1  N.A.  N.A.  N.A.  N.A. "/>
    <x v="2"/>
  </r>
  <r>
    <x v="0"/>
    <n v="9721864"/>
    <s v="2017/11/06"/>
    <x v="172"/>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x v="148"/>
    <s v="EGM No. EGM Date Container No. Seal No. Error Message_x000a_R667661111  2017-11-11 0.0.0.0  TRHU1567894  409974  N.A. "/>
    <s v="ROSL Availed Amount(INR) Scroll Number Scroll Date_x000a_N  0  ROSL NOT CLAIMED  ROSL NOT CLAIMED "/>
    <x v="245"/>
    <x v="0"/>
    <s v="AWB No. Gateway Port Gateway EGM No. Gateway EGM Date Gateway Site ID Error Code N.A.  INMUN1  138363  2017-11-07 00:00:00.0  INMUN1  S "/>
    <x v="165"/>
  </r>
  <r>
    <x v="0"/>
    <n v="9725059"/>
    <s v="2017/11/06"/>
    <x v="173"/>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x v="145"/>
    <s v="EGM No. EGM Date Container No. Seal No. Error Message_x000a_T897181411  2017-11-14 0.0.0.0  GVCU5235474  410172  N.A. "/>
    <s v="ROSL Availed Amount(INR) Scroll Number Scroll Date_x000a_N  0  ROSL NOT CLAIMED  ROSL NOT CLAIMED "/>
    <x v="246"/>
    <x v="1"/>
    <s v="AWB No. Gateway Port Gateway EGM No. Gateway EGM Date Gateway Site ID Error Code N.A.  INNSA1  137353  2017-10-23 00:00:00.0  INNSA1  C "/>
    <x v="166"/>
  </r>
  <r>
    <x v="0"/>
    <n v="9731029"/>
    <s v="2017/11/06"/>
    <x v="59"/>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x v="145"/>
    <s v="EGM No. EGM Date Container No. Seal No. Error Message_x000a_R827541011  2017-11-10 0.0.0.0  FSCU8189292  003299  N.A. "/>
    <s v="ROSL Availed Amount(INR) Scroll Number Scroll Date_x000a_N  0  ROSL NOT CLAIMED  ROSL NOT CLAIMED "/>
    <x v="247"/>
    <x v="0"/>
    <s v="AWB No. Gateway Port Gateway EGM No. Gateway EGM Date Gateway Site ID Error Code N.A.  INMUN1  137950  2017-11-01 00:00:00.0  INMUN1  S "/>
    <x v="167"/>
  </r>
  <r>
    <x v="0"/>
    <n v="9736929"/>
    <s v="2017/11/07"/>
    <x v="174"/>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x v="148"/>
    <s v="EGM No. EGM Date Container No. Seal No. Error Message_x000a_TX207081311  2017-11-13 0.0.0.0  MSKU2352794  410286  N.A. "/>
    <s v="ROSL Availed Amount(INR) Scroll Number Scroll Date_x000a_N  0  ROSL NOT CLAIMED  ROSL NOT CLAIMED "/>
    <x v="248"/>
    <x v="0"/>
    <s v="AWB No. Gateway Port Gateway EGM No. Gateway EGM Date Gateway Site ID Error Code N.A.  INMUN1  141255  2017-12-23 00:00:00.0  INMUN1  S "/>
    <x v="168"/>
  </r>
  <r>
    <x v="0"/>
    <n v="9738912"/>
    <s v="2017/11/07"/>
    <x v="175"/>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x v="153"/>
    <s v="EGM No. EGM Date Container No. Seal No. Error Message_x000a_T707501711  2017-11-17 0.0.0.0  TTNU9712600  410620  N.A. "/>
    <s v="ROSL Availed Amount(INR) Scroll Number Scroll Date_x000a_N  0  ROSL NOT CLAIMED  ROSL NOT CLAIMED "/>
    <x v="249"/>
    <x v="0"/>
    <s v="AWB No. Gateway Port Gateway EGM No. Gateway EGM Date Gateway Site ID Error Code N.A.  INMUN1  151099  2018-05-28 00:00:00.0  INMUN1  S "/>
    <x v="169"/>
  </r>
  <r>
    <x v="0"/>
    <n v="9741196"/>
    <s v="2017/11/07"/>
    <x v="176"/>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x v="145"/>
    <s v="EGM No. EGM Date Container No. Seal No. Error Message_x000a_R627641011  2017-11-10 0.0.0.0  GESU5146944  410131  N.A. "/>
    <s v="ROSL Availed Amount(INR) Scroll Number Scroll Date_x000a_N  0  ROSL NOT CLAIMED  ROSL NOT CLAIMED "/>
    <x v="250"/>
    <x v="1"/>
    <s v="AWB No. Gateway Port Gateway EGM No. Gateway EGM Date Gateway Site ID Error Code N.A.  INNSA1  137370  2017-10-23 00:00:00.0  INNSA1  C "/>
    <x v="170"/>
  </r>
  <r>
    <x v="0"/>
    <n v="9776960"/>
    <s v="2017/11/08"/>
    <x v="167"/>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x v="154"/>
    <s v="EGM No. EGM Date Container No. Seal No. Error Message_x000a_T257561711  2017-11-17 0.0.0.0  PALU5007291  410729  N.A. "/>
    <s v="ROSL Availed Amount(INR) Scroll Number Scroll Date_x000a_N  0  ROSL NOT CLAIMED  ROSL NOT CLAIMED "/>
    <x v="251"/>
    <x v="1"/>
    <s v="AWB No. Gateway Port Gateway EGM No. Gateway EGM Date Gateway Site ID Error Code N.A.  INNSA1  138710  2017-11-13 00:00:00.0  INNSA1  S "/>
    <x v="171"/>
  </r>
  <r>
    <x v="0"/>
    <n v="9786910"/>
    <s v="2017/11/09"/>
    <x v="177"/>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x v="146"/>
    <s v="EGM No. EGM Date Container No. Seal No. Error Message_x000a_TX207081311  2017-11-13 0.0.0.0  MSCU6791570  410437  N.A. "/>
    <s v="ROSL Availed Amount(INR) Scroll Number Scroll Date_x000a_N  0  ROSL NOT CLAIMED  ROSL NOT CLAIMED "/>
    <x v="252"/>
    <x v="0"/>
    <s v="AWB No. Gateway Port Gateway EGM No. Gateway EGM Date Gateway Site ID Error Code N.A.  INMUN1  139000  2017-11-17 00:00:00.0  INMUN1  S "/>
    <x v="172"/>
  </r>
  <r>
    <x v="0"/>
    <n v="9791045"/>
    <s v="2017/11/09"/>
    <x v="77"/>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x v="146"/>
    <s v="EGM No. EGM Date Container No. Seal No. Error Message_x000a_R587241511  2017-11-15 0.0.0.0  TCLU9716714  410189  N.A. "/>
    <s v="ROSL Availed Amount(INR) Scroll Number Scroll Date_x000a_Y  3300  25863/2017  2017-11-20 0.0.0.0 "/>
    <x v="253"/>
    <x v="0"/>
    <s v="AWB No. Gateway Port Gateway EGM No. Gateway EGM Date Gateway Site ID Error Code N.A.  INMUN1  138685  2017-11-13 00:00:00.0  INMUN1  S "/>
    <x v="173"/>
  </r>
  <r>
    <x v="0"/>
    <n v="9802291"/>
    <s v="2017/11/09"/>
    <x v="178"/>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x v="154"/>
    <s v="EGM No. EGM Date Container No. Seal No. Error Message_x000a_R897621811  2017-11-18 0.0.0.0  MRKU3131266  410718  N.A. "/>
    <s v="ROSL Availed Amount(INR) Scroll Number Scroll Date_x000a_N  0  ROSL NOT CLAIMED  ROSL NOT CLAIMED "/>
    <x v="254"/>
    <x v="3"/>
    <s v="AWB No. Gateway Port Gateway EGM No. Gateway EGM Date Gateway Site ID Error Code N.A.  INPAV1  137989  2017-11-01 00:00:00.0  INPAV1  S "/>
    <x v="174"/>
  </r>
  <r>
    <x v="0"/>
    <n v="9852487"/>
    <s v="2017/11/13"/>
    <x v="179"/>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x v="155"/>
    <s v="EGM No. EGM Date Container No. Seal No. Error Message_x000a_T707501711  2017-11-17 0.0.0.0  GRMU4200324  410683  N.A. "/>
    <s v="ROSL Availed Amount(INR) Scroll Number Scroll Date_x000a_N  0  ROSL NOT CLAIMED  ROSL NOT CLAIMED "/>
    <x v="255"/>
    <x v="0"/>
    <s v="AWB No. Gateway Port Gateway EGM No. Gateway EGM Date Gateway Site ID Error Code N.A.  INMUN1  139245  2017-11-21 00:00:00.0  INMUN1  S "/>
    <x v="175"/>
  </r>
  <r>
    <x v="0"/>
    <n v="9929860"/>
    <s v="2017/11/16"/>
    <x v="180"/>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x v="156"/>
    <s v="EGM No. EGM Date Container No. Seal No. Error Message_x000a_R537902011  2017-11-20 0.0.0.0  FCIU8626623  411133  N.A. "/>
    <s v="ROSL Availed Amount(INR) Scroll Number Scroll Date_x000a_Y  70617  25870/2017  2017-11-30 0.0.0.0 "/>
    <x v="256"/>
    <x v="0"/>
    <s v="AWB No. Gateway Port Gateway EGM No. Gateway EGM Date Gateway Site ID Error Code N.A.  INMUN1  139240  2017-11-21 00:00:00.0  INMUN1  S "/>
    <x v="176"/>
  </r>
  <r>
    <x v="0"/>
    <n v="9949379"/>
    <s v="2017/11/16"/>
    <x v="151"/>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x v="157"/>
    <s v="EGM No. EGM Date Container No. Seal No. Error Message_x000a_R687342211  2017-11-22 0.0.0.0  DFSU6722642  411424  N.A. "/>
    <s v="ROSL Availed Amount(INR) Scroll Number Scroll Date_x000a_N  0  ROSL NOT CLAIMED  ROSL NOT CLAIMED "/>
    <x v="257"/>
    <x v="1"/>
    <s v="AWB No. Gateway Port Gateway EGM No. Gateway EGM Date Gateway Site ID Error Code N.A.  INNSA1  138732  2017-11-14 00:00:00.0  INNSA1  S "/>
    <x v="161"/>
  </r>
  <r>
    <x v="0"/>
    <n v="9962200"/>
    <s v="2017/11/17"/>
    <x v="181"/>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x v="158"/>
    <s v="EGM No. EGM Date Container No. Seal No. Error Message_x000a_R387640112  2017-12-1 0.0.0.0  BSIU2622058  4125002  N.A. "/>
    <s v="ROSL Availed Amount(INR) Scroll Number Scroll Date_x000a_N  0  ROSL NOT CLAIMED  ROSL NOT CLAIMED "/>
    <x v="258"/>
    <x v="1"/>
    <s v="AWB No. Gateway Port Gateway EGM No. Gateway EGM Date Gateway Site ID Error Code N.A.  INNSA1  N.A.  N.A.  N.A.  N.A. "/>
    <x v="2"/>
  </r>
  <r>
    <x v="0"/>
    <n v="9962305"/>
    <s v="2017/11/17"/>
    <x v="181"/>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x v="159"/>
    <s v="EGM No. EGM Date Container No. Seal No. Error Message_x000a_R387640112  2017-12-1 0.0.0.0  BSIU2622058  412502  N.A. "/>
    <s v="ROSL Availed Amount(INR) Scroll Number Scroll Date_x000a_N  0  ROSL NOT CLAIMED  ROSL NOT CLAIMED "/>
    <x v="259"/>
    <x v="1"/>
    <s v="AWB No. Gateway Port Gateway EGM No. Gateway EGM Date Gateway Site ID Error Code N.A.  INNSA1  N.A.  N.A.  N.A.  N.A. "/>
    <x v="2"/>
  </r>
  <r>
    <x v="0"/>
    <n v="1023575"/>
    <s v="2017/11/20"/>
    <x v="142"/>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x v="160"/>
    <s v="EGM No. EGM Date Container No. Seal No. Error Message_x000a_T847822511  2017-11-25 0.0.0.0  HJCU8397833  411554  N.A. "/>
    <s v="ROSL Availed Amount(INR) Scroll Number Scroll Date_x000a_NULL  NULL  NULL  NULL "/>
    <x v="260"/>
    <x v="1"/>
    <s v="AWB No. Gateway Port Gateway EGM No. Gateway EGM Date Gateway Site ID Error Code N.A.  INNSA1  139142  2017-11-20 00:00:00.0  INNSA1  S "/>
    <x v="177"/>
  </r>
  <r>
    <x v="0"/>
    <n v="1031757"/>
    <s v="2017/11/21"/>
    <x v="182"/>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x v="161"/>
    <s v="EGM No. EGM Date Container No. Seal No. Error Message_x000a_R437503011  2017-11-30 0.0.0.0  TCNU9920746  411975  N.A. "/>
    <s v="ROSL Availed Amount(INR) Scroll Number Scroll Date_x000a_N  0  ROSL NOT CLAIMED  ROSL NOT CLAIMED "/>
    <x v="261"/>
    <x v="1"/>
    <s v="AWB No. Gateway Port Gateway EGM No. Gateway EGM Date Gateway Site ID Error Code N.A.  INNSA1  137386  2017-10-23 00:00:00.0  INNSA1  S "/>
    <x v="178"/>
  </r>
  <r>
    <x v="0"/>
    <n v="1042281"/>
    <s v="2017/11/21"/>
    <x v="183"/>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x v="162"/>
    <s v="EGM No. EGM Date Container No. Seal No. Error Message_x000a_J167202811  2017-11-28 0.0.0.0  DFSU2200589  411827  N.A. "/>
    <s v="ROSL Availed Amount(INR) Scroll Number Scroll Date_x000a_N  0  ROSL NOT CLAIMED  ROSL NOT CLAIMED "/>
    <x v="262"/>
    <x v="0"/>
    <s v="AWB No. Gateway Port Gateway EGM No. Gateway EGM Date Gateway Site ID Error Code N.A.  INMUN1  140712  2017-12-15 00:00:00.0  INMUN1  S "/>
    <x v="179"/>
  </r>
  <r>
    <x v="0"/>
    <n v="1046425"/>
    <s v="2017/11/21"/>
    <x v="184"/>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x v="163"/>
    <s v="EGM No. EGM Date Container No. Seal No. Error Message_x000a_R207722511  2017-11-25 0.0.0.0  MRSU3677223  411610  N.A. "/>
    <s v="ROSL Availed Amount(INR) Scroll Number Scroll Date_x000a_Y  68426  25875/2017  2017-12-10 0.0.0.0 "/>
    <x v="263"/>
    <x v="3"/>
    <s v="AWB No. Gateway Port Gateway EGM No. Gateway EGM Date Gateway Site ID Error Code N.A.  INPAV1  137999  2017-11-01 00:00:00.0  INPAV1  S "/>
    <x v="180"/>
  </r>
  <r>
    <x v="0"/>
    <n v="1054151"/>
    <s v="2017/11/22"/>
    <x v="71"/>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x v="164"/>
    <s v="EGM No. EGM Date Container No. Seal No. Error Message_x000a_T847822511  2017-11-25 0.0.0.0  TCNU3363089  411483  N.A. "/>
    <s v="ROSL Availed Amount(INR) Scroll Number Scroll Date_x000a_N  0  ROSL NOT CLAIMED  ROSL NOT CLAIMED "/>
    <x v="264"/>
    <x v="1"/>
    <s v="AWB No. Gateway Port Gateway EGM No. Gateway EGM Date Gateway Site ID Error Code N.A.  INNSA1  138641  2017-11-13 00:00:00.0  INNSA1  S "/>
    <x v="181"/>
  </r>
  <r>
    <x v="0"/>
    <n v="1062588"/>
    <s v="2017/11/22"/>
    <x v="185"/>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x v="165"/>
    <s v="EGM No. EGM Date Container No. Seal No. Error Message_x000a_T437060412  2017-12-4 0.0.0.0  KMTU7328622  412556  N.A. "/>
    <s v="ROSL Availed Amount(INR) Scroll Number Scroll Date_x000a_N  0  ROSL NOT CLAIMED  ROSL NOT CLAIMED "/>
    <x v="265"/>
    <x v="0"/>
    <s v="AWB No. Gateway Port Gateway EGM No. Gateway EGM Date Gateway Site ID Error Code N.A.  INMUN1  139344  2017-11-22 00:00:00.0  INMUN1  S "/>
    <x v="182"/>
  </r>
  <r>
    <x v="0"/>
    <n v="1064566"/>
    <s v="2017/11/22"/>
    <x v="77"/>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x v="166"/>
    <s v="EGM No. EGM Date Container No. Seal No. Error Message_x000a_TX187402911  2017-11-29 0.0.0.0  TRLU7427748  411957  N.A. "/>
    <s v="ROSL Availed Amount(INR) Scroll Number Scroll Date_x000a_Y  31547  25875/2017  2017-12-10 0.0.0.0 "/>
    <x v="266"/>
    <x v="2"/>
    <s v="Please Wait...."/>
    <x v="12"/>
  </r>
  <r>
    <x v="0"/>
    <n v="1071189"/>
    <s v="2017/11/22"/>
    <x v="186"/>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x v="162"/>
    <s v="EGM No. EGM Date Container No. Seal No. Error Message_x000a_R627362911  2017-11-29 0.0.0.0  NYKU4799912  411945  N.A. "/>
    <s v="ROSL Availed Amount(INR) Scroll Number Scroll Date_x000a_N  0  ROSL NOT CLAIMED  ROSL NOT CLAIMED "/>
    <x v="267"/>
    <x v="1"/>
    <s v="AWB No. Gateway Port Gateway EGM No. Gateway EGM Date Gateway Site ID Error Code N.A.  INNSA1  139138  2017-11-20 00:00:00.0  INNSA1  S "/>
    <x v="183"/>
  </r>
  <r>
    <x v="0"/>
    <n v="1071710"/>
    <s v="2017/11/22"/>
    <x v="187"/>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x v="162"/>
    <s v="EGM No. EGM Date Container No. Seal No. Error Message_x000a_R627362911  2017-11-29 0.0.0.0  BMOU6253517  411954  N.A. "/>
    <s v="ROSL Availed Amount(INR) Scroll Number Scroll Date_x000a_N  0  ROSL NOT CLAIMED  ROSL NOT CLAIMED "/>
    <x v="268"/>
    <x v="1"/>
    <s v="AWB No. Gateway Port Gateway EGM No. Gateway EGM Date Gateway Site ID Error Code N.A.  INNSA1  138478  2017-11-09 00:00:00.0  INNSA1  S "/>
    <x v="184"/>
  </r>
  <r>
    <x v="0"/>
    <n v="1072758"/>
    <s v="2017/11/22"/>
    <x v="114"/>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x v="164"/>
    <s v="EGM No. EGM Date Container No. Seal No. Error Message_x000a_T967482311  2017-11-23 0.0.0.0  HASU1140092  003335  N.A. "/>
    <s v="ROSL Availed Amount(INR) Scroll Number Scroll Date_x000a_N  0  ROSL NOT CLAIMED  ROSL NOT CLAIMED "/>
    <x v="269"/>
    <x v="0"/>
    <s v="AWB No. Gateway Port Gateway EGM No. Gateway EGM Date Gateway Site ID Error Code N.A.  INMUN1  139513  2017-11-24 00:00:00.0  INMUN1  S "/>
    <x v="185"/>
  </r>
  <r>
    <x v="0"/>
    <n v="1073185"/>
    <s v="2017/11/22"/>
    <x v="44"/>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x v="167"/>
    <s v="EGM No. EGM Date Container No. Seal No. Error Message_x000a_T857541412  2017-12-14 0.0.0.0  CAIU3489047  413637  N.A. "/>
    <s v="ROSL Availed Amount(INR) Scroll Number Scroll Date_x000a_NULL  NULL  NULL  NULL "/>
    <x v="270"/>
    <x v="0"/>
    <s v="AWB No. Gateway Port Gateway EGM No. Gateway EGM Date Gateway Site ID Error Code N.A.  INMUN1  140625  2017-12-13 00:00:00.0  INMUN1  S "/>
    <x v="186"/>
  </r>
  <r>
    <x v="0"/>
    <n v="1090894"/>
    <s v="2017/11/23"/>
    <x v="188"/>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x v="168"/>
    <s v="EGM No. EGM Date Container No. Seal No. Error Message_x000a_J197640912  2017-12-9 0.0.0.0  NYKU3801471  413243  N.A. "/>
    <s v="ROSL Availed Amount(INR) Scroll Number Scroll Date_x000a_N  0  ROSL NOT CLAIMED  ROSL NOT CLAIMED "/>
    <x v="271"/>
    <x v="1"/>
    <s v="AWB No. Gateway Port Gateway EGM No. Gateway EGM Date Gateway Site ID Error Code N.A.  INNSA1  N.A.  N.A.  N.A.  N.A. "/>
    <x v="2"/>
  </r>
  <r>
    <x v="0"/>
    <n v="1099071"/>
    <s v="2017/11/23"/>
    <x v="26"/>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x v="166"/>
    <s v="EGM No. EGM Date Container No. Seal No. Error Message_x000a_R627362911  2017-11-29 0.0.0.0  TRLU6853517  411953  N.A. "/>
    <s v="ROSL Availed Amount(INR) Scroll Number Scroll Date_x000a_N  0  ROSL NOT CLAIMED  ROSL NOT CLAIMED "/>
    <x v="272"/>
    <x v="1"/>
    <s v="AWB No. Gateway Port Gateway EGM No. Gateway EGM Date Gateway Site ID Error Code N.A.  INNSA1  139301  2017-11-22 00:00:00.0  INNSA1  S "/>
    <x v="187"/>
  </r>
  <r>
    <x v="0"/>
    <n v="1168946"/>
    <s v="2017/11/27"/>
    <x v="179"/>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x v="159"/>
    <s v="EGM No. EGM Date Container No. Seal No. Error Message_x000a_R557523011  2017-11-30 0.0.0.0  TCNU9933281  412225  N.A. "/>
    <s v="ROSL Availed Amount(INR) Scroll Number Scroll Date_x000a_N  0  ROSL NOT CLAIMED  ROSL NOT CLAIMED "/>
    <x v="273"/>
    <x v="0"/>
    <s v="AWB No. Gateway Port Gateway EGM No. Gateway EGM Date Gateway Site ID Error Code N.A.  INMUN1  140199  2017-12-06 00:00:00.0  INMUN1  S "/>
    <x v="188"/>
  </r>
  <r>
    <x v="0"/>
    <n v="1181054"/>
    <s v="2017/11/28"/>
    <x v="189"/>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x v="169"/>
    <s v="EGM No. EGM Date Container No. Seal No. Error Message_x000a_R337800212  2017-12-2 0.0.0.0  FCIU8321732  412535  N.A. "/>
    <s v="ROSL Availed Amount(INR) Scroll Number Scroll Date_x000a_N  0  ROSL NOT CLAIMED  ROSL NOT CLAIMED "/>
    <x v="274"/>
    <x v="1"/>
    <s v="AWB No. Gateway Port Gateway EGM No. Gateway EGM Date Gateway Site ID Error Code N.A.  INNSA1  139557  2017-11-27 00:00:00.0  INNSA1  S "/>
    <x v="189"/>
  </r>
  <r>
    <x v="0"/>
    <n v="1192194"/>
    <s v="2017/11/28"/>
    <x v="24"/>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x v="170"/>
    <s v="EGM No. EGM Date Container No. Seal No. Error Message_x000a_R27220612  2017-12-6 0.0.0.0  ZCSU2713253  412560  N.A. "/>
    <s v="ROSL Availed Amount(INR) Scroll Number Scroll Date_x000a_N  0  ROSL NOT CLAIMED  ROSL NOT CLAIMED "/>
    <x v="275"/>
    <x v="1"/>
    <s v="AWB No. Gateway Port Gateway EGM No. Gateway EGM Date Gateway Site ID Error Code N.A.  INNSA1  139647  2017-11-28 00:00:00.0  INNSA1  S "/>
    <x v="190"/>
  </r>
  <r>
    <x v="0"/>
    <n v="1197442"/>
    <s v="2017/11/28"/>
    <x v="190"/>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x v="171"/>
    <s v="EGM No. EGM Date Container No. Seal No. Error Message_x000a_J197640912  2017-12-9 0.0.0.0  TCKU1680074  413213  N.A. "/>
    <s v="ROSL Availed Amount(INR) Scroll Number Scroll Date_x000a_NULL  NULL  NULL  NULL "/>
    <x v="276"/>
    <x v="1"/>
    <s v="AWB No. Gateway Port Gateway EGM No. Gateway EGM Date Gateway Site ID Error Code N.A.  INNSA1  139757  2017-11-29 00:00:00.0  INNSA1  S "/>
    <x v="191"/>
  </r>
  <r>
    <x v="0"/>
    <n v="1206147"/>
    <s v="2017/11/29"/>
    <x v="191"/>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x v="172"/>
    <s v="EGM No. EGM Date Container No. Seal No. Error Message_x000a_J167401312  2017-12-13 0.0.0.0  HLBU1738246  413562  N.A. "/>
    <s v="ROSL Availed Amount(INR) Scroll Number Scroll Date_x000a_NULL  NULL  NULL  NULL "/>
    <x v="277"/>
    <x v="0"/>
    <s v="AWB No. Gateway Port Gateway EGM No. Gateway EGM Date Gateway Site ID Error Code N.A.  INMUN1  141045  2017-12-20 00:00:00.0  INMUN1  S "/>
    <x v="192"/>
  </r>
  <r>
    <x v="0"/>
    <n v="1220745"/>
    <s v="2017/11/29"/>
    <x v="173"/>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x v="173"/>
    <s v="EGM No. EGM Date Container No. Seal No. Error Message_x000a_J287881012  2017-12-10 0.0.0.0  GLDU7366712  413279  N.A. "/>
    <s v="ROSL Availed Amount(INR) Scroll Number Scroll Date_x000a_N  0  ROSL NOT CLAIMED  ROSL NOT CLAIMED "/>
    <x v="278"/>
    <x v="1"/>
    <s v="AWB No. Gateway Port Gateway EGM No. Gateway EGM Date Gateway Site ID Error Code N.A.  INNSA1  138234  2017-11-06 00:00:00.0  INNSA1  S "/>
    <x v="193"/>
  </r>
  <r>
    <x v="0"/>
    <n v="1223298"/>
    <s v="2017/11/29"/>
    <x v="192"/>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x v="174"/>
    <s v="EGM No. EGM Date Container No. Seal No. Error Message_x000a_T417621512  2017-12-15 0.0.0.0  CLKU5008455  413649  N.A. "/>
    <s v="ROSL Availed Amount(INR) Scroll Number Scroll Date_x000a_NULL  NULL  NULL  NULL "/>
    <x v="279"/>
    <x v="1"/>
    <s v="AWB No. Gateway Port Gateway EGM No. Gateway EGM Date Gateway Site ID Error Code N.A.  INNSA1  N.A.  N.A.  N.A.  N.A. "/>
    <x v="2"/>
  </r>
  <r>
    <x v="0"/>
    <n v="1223301"/>
    <s v="2017/11/29"/>
    <x v="192"/>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x v="174"/>
    <s v="EGM No. EGM Date Container No. Seal No. Error Message_x000a_T417621512  2017-12-15 0.0.0.0  CLKU5008455  413649  N.A. "/>
    <s v="ROSL Availed Amount(INR) Scroll Number Scroll Date_x000a_NULL  NULL  NULL  NULL "/>
    <x v="280"/>
    <x v="1"/>
    <s v="AWB No. Gateway Port Gateway EGM No. Gateway EGM Date Gateway Site ID Error Code N.A.  INNSA1  N.A.  N.A.  N.A.  N.A. "/>
    <x v="2"/>
  </r>
  <r>
    <x v="0"/>
    <n v="1223387"/>
    <s v="2017/11/29"/>
    <x v="193"/>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x v="175"/>
    <s v="EGM No. EGM Date Container No. Seal No. Error Message_x000a_R1237121212  2017-12-12 0.0.0.0  MXCU0013026  413549  N.A. "/>
    <s v="ROSL Availed Amount(INR) Scroll Number Scroll Date_x000a_N  0  ROSL NOT CLAIMED  ROSL NOT CLAIMED "/>
    <x v="281"/>
    <x v="1"/>
    <s v="AWB No. Gateway Port Gateway EGM No. Gateway EGM Date Gateway Site ID Error Code N.A.  INNSA1  139773  2017-11-29 00:00:00.0  INNSA1  S "/>
    <x v="194"/>
  </r>
  <r>
    <x v="0"/>
    <n v="1235474"/>
    <s v="2017/11/30"/>
    <x v="194"/>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x v="176"/>
    <s v="EGM No. EGM Date Container No. Seal No. Error Message_x000a_J277400712  2017-12-7 0.0.0.0  CAIU9937278  412596  N.A. "/>
    <s v="ROSL Availed Amount(INR) Scroll Number Scroll Date_x000a_N  0  ROSL NOT CLAIMED  ROSL NOT CLAIMED "/>
    <x v="282"/>
    <x v="0"/>
    <s v="AWB No. Gateway Port Gateway EGM No. Gateway EGM Date Gateway Site ID Error Code N.A.  INMUN1  138172  2017-11-03 00:00:00.0  INMUN1  S "/>
    <x v="195"/>
  </r>
  <r>
    <x v="0"/>
    <n v="1247813"/>
    <s v="2017/11/30"/>
    <x v="195"/>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x v="177"/>
    <s v="EGM No. EGM Date Container No. Seal No. Error Message_x000a_R1237200512  2017-12-5 0.0.0.0  DFSU2225340  412619  N.A. "/>
    <s v="ROSL Availed Amount(INR) Scroll Number Scroll Date_x000a_N  0  ROSL NOT CLAIMED  ROSL NOT CLAIMED "/>
    <x v="283"/>
    <x v="3"/>
    <s v="AWB No. Gateway Port Gateway EGM No. Gateway EGM Date Gateway Site ID Error Code N.A.  INPAV1  139653  2017-11-28 00:00:00.0  INPAV1  S "/>
    <x v="196"/>
  </r>
  <r>
    <x v="0"/>
    <n v="1249499"/>
    <s v="2017/11/30"/>
    <x v="77"/>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x v="177"/>
    <s v="EGM No. EGM Date Container No. Seal No. Error Message_x000a_R577300612  2017-12-6 0.0.0.0  CMAU4390576  412582  N.A. "/>
    <s v="ROSL Availed Amount(INR) Scroll Number Scroll Date_x000a_Y  3512  25875/2017  2017-12-10 0.0.0.0 "/>
    <x v="284"/>
    <x v="0"/>
    <s v="AWB No. Gateway Port Gateway EGM No. Gateway EGM Date Gateway Site ID Error Code N.A.  INMUN1  138172  2017-11-03 00:00:00.0  INMUN1  S "/>
    <x v="195"/>
  </r>
  <r>
    <x v="0"/>
    <n v="1249514"/>
    <s v="2017/11/30"/>
    <x v="77"/>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x v="177"/>
    <s v="EGM No. EGM Date Container No. Seal No. Error Message_x000a_R577300612  2017-12-6 0.0.0.0  CMAU4390576  412582  N.A. "/>
    <s v="ROSL Availed Amount(INR) Scroll Number Scroll Date_x000a_Y  3344  25875/2017  2017-12-10 0.0.0.0 "/>
    <x v="285"/>
    <x v="0"/>
    <s v="AWB No. Gateway Port Gateway EGM No. Gateway EGM Date Gateway Site ID Error Code N.A.  INMUN1  138172  2017-11-03 00:00:00.0  INMUN1  S "/>
    <x v="195"/>
  </r>
  <r>
    <x v="0"/>
    <n v="1252402"/>
    <s v="2017/11/30"/>
    <x v="85"/>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x v="178"/>
    <s v="EGM No. EGM Date Container No. Seal No. Error Message_x000a_T907240612  2017-12-6 0.0.0.0  HAMU1019978  001176  N.A. "/>
    <s v="ROSL Availed Amount(INR) Scroll Number Scroll Date_x000a_N  0  ROSL NOT CLAIMED  ROSL NOT CLAIMED "/>
    <x v="286"/>
    <x v="0"/>
    <s v="AWB No. Gateway Port Gateway EGM No. Gateway EGM Date Gateway Site ID Error Code N.A.  INMUN1  138681  2017-11-13 00:00:00.0  INMUN1  S "/>
    <x v="197"/>
  </r>
  <r>
    <x v="0"/>
    <n v="1254519"/>
    <s v="2017/11/30"/>
    <x v="85"/>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x v="179"/>
    <s v="EGM No. EGM Date Container No. Seal No. Error Message_x000a_T907240612  2017-12-6 0.0.0.0  HAMU1019978  001176  N.A. "/>
    <s v="ROSL Availed Amount(INR) Scroll Number Scroll Date_x000a_N  0  ROSL NOT CLAIMED  ROSL NOT CLAIMED "/>
    <x v="287"/>
    <x v="0"/>
    <s v="AWB No. Gateway Port Gateway EGM No. Gateway EGM Date Gateway Site ID Error Code N.A.  INMUN1  138991  2017-11-17 00:00:00.0  INMUN1  S "/>
    <x v="198"/>
  </r>
  <r>
    <x v="0"/>
    <n v="1254838"/>
    <s v="2017/11/30"/>
    <x v="196"/>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x v="180"/>
    <s v="EGM No. EGM Date Container No. Seal No. Error Message_x000a_J277400712  2017-12-7 0.0.0.0  CAXU8229337  413201  N.A. "/>
    <s v="ROSL Availed Amount(INR) Scroll Number Scroll Date_x000a_Y  26390  25879/2017  2017-12-20 0.0.0.0 "/>
    <x v="288"/>
    <x v="0"/>
    <s v="AWB No. Gateway Port Gateway EGM No. Gateway EGM Date Gateway Site ID Error Code N.A.  INMUN1  140232  2017-12-07 00:00:00.0  INMUN1  S "/>
    <x v="199"/>
  </r>
  <r>
    <x v="0"/>
    <n v="1255601"/>
    <s v="2017/11/30"/>
    <x v="54"/>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x v="180"/>
    <s v="EGM No. EGM Date Container No. Seal No. Error Message_x000a_J197640912  2017-12-9 0.0.0.0  VSTU9000091  413278  N.A. "/>
    <s v="ROSL Availed Amount(INR) Scroll Number Scroll Date_x000a_N  0  ROSL NOT CLAIMED  ROSL NOT CLAIMED "/>
    <x v="289"/>
    <x v="1"/>
    <s v="AWB No. Gateway Port Gateway EGM No. Gateway EGM Date Gateway Site ID Error Code N.A.  INNSA1  139792  2017-11-30 00:00:00.0  INNSA1  S "/>
    <x v="200"/>
  </r>
  <r>
    <x v="0"/>
    <n v="1269121"/>
    <s v="2017/12/01"/>
    <x v="197"/>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x v="180"/>
    <s v="EGM No. EGM Date Container No. Seal No. Error Message_x000a_R957620812  2017-12-8 0.0.0.0  MRKU8210434  413245  N.A. "/>
    <s v="ROSL Availed Amount(INR) Scroll Number Scroll Date_x000a_N  0  ROSL NOT CLAIMED  ROSL NOT CLAIMED "/>
    <x v="290"/>
    <x v="3"/>
    <s v="AWB No. Gateway Port Gateway EGM No. Gateway EGM Date Gateway Site ID Error Code N.A.  INPAV1  139963  2017-12-04 00:00:00.0  INPAV1  S "/>
    <x v="201"/>
  </r>
  <r>
    <x v="0"/>
    <n v="1274037"/>
    <s v="2017/12/01"/>
    <x v="198"/>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x v="181"/>
    <s v="EGM No. EGM Date Container No. Seal No. Error Message_x000a_J177821612  2017-12-16 0.0.0.0  TCNU9183314  414208  N.A. "/>
    <s v="ROSL Availed Amount(INR) Scroll Number Scroll Date_x000a_N  0  ROSL NOT CLAIMED  ROSL NOT CLAIMED "/>
    <x v="291"/>
    <x v="0"/>
    <s v="AWB No. Gateway Port Gateway EGM No. Gateway EGM Date Gateway Site ID Error Code N.A.  INMUN1  140925  2017-12-19 00:00:00.0  INMUN1  S "/>
    <x v="202"/>
  </r>
  <r>
    <x v="0"/>
    <n v="1277877"/>
    <s v="2017/12/01"/>
    <x v="199"/>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x v="181"/>
    <s v="EGM No. EGM Date Container No. Seal No. Error Message_x000a_R27741512  2017-12-15 0.0.0.0  TGHU7862323  413688  N.A. "/>
    <s v="ROSL Availed Amount(INR) Scroll Number Scroll Date_x000a_Y  2114  25879/2017  2017-12-20 0.0.0.0 "/>
    <x v="292"/>
    <x v="1"/>
    <s v="AWB No. Gateway Port Gateway EGM No. Gateway EGM Date Gateway Site ID Error Code N.A.  INNSA1  140047  2017-12-05 00:00:00.0  INNSA1  S "/>
    <x v="203"/>
  </r>
  <r>
    <x v="0"/>
    <n v="1277880"/>
    <s v="2017/12/01"/>
    <x v="199"/>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x v="182"/>
    <s v="EGM No. EGM Date Container No. Seal No. Error Message_x000a_R27741512  2017-12-15 0.0.0.0  TGHU7862323  413688  N.A. "/>
    <s v="ROSL Availed Amount(INR) Scroll Number Scroll Date_x000a_Y  0  YET TO BE GENERATED  YET TO BE GENERATED "/>
    <x v="293"/>
    <x v="1"/>
    <s v="AWB No. Gateway Port Gateway EGM No. Gateway EGM Date Gateway Site ID Error Code N.A.  INNSA1  140047  2017-12-05 00:00:00.0  INNSA1  S "/>
    <x v="203"/>
  </r>
  <r>
    <x v="0"/>
    <n v="1277951"/>
    <s v="2017/12/01"/>
    <x v="199"/>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x v="182"/>
    <s v="EGM No. EGM Date Container No. Seal No. Error Message_x000a_R27741512  2017-12-15 0.0.0.0  TGHU7862323  413688  N.A. "/>
    <s v="ROSL Availed Amount(INR) Scroll Number Scroll Date_x000a_Y  0  YET TO BE GENERATED  YET TO BE GENERATED "/>
    <x v="293"/>
    <x v="1"/>
    <s v="AWB No. Gateway Port Gateway EGM No. Gateway EGM Date Gateway Site ID Error Code N.A.  INNSA1  140047  2017-12-05 00:00:00.0  INNSA1  S "/>
    <x v="203"/>
  </r>
  <r>
    <x v="0"/>
    <n v="1310855"/>
    <s v="2017/12/04"/>
    <x v="88"/>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x v="183"/>
    <s v="EGM No. EGM Date Container No. Seal No. Error Message_x000a_J287881012  2017-12-10 0.0.0.0  GESU5079213  413264  N.A. "/>
    <s v="ROSL Availed Amount(INR) Scroll Number Scroll Date_x000a_NULL  NULL  NULL  NULL "/>
    <x v="294"/>
    <x v="1"/>
    <s v="AWB No. Gateway Port Gateway EGM No. Gateway EGM Date Gateway Site ID Error Code N.A.  INNSA1  140041  2017-12-05 00:00:00.0  INNSA1  S "/>
    <x v="204"/>
  </r>
  <r>
    <x v="0"/>
    <n v="1317115"/>
    <s v="2017/12/04"/>
    <x v="199"/>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x v="181"/>
    <s v="EGM No. EGM Date Container No. Seal No. Error Message_x000a_R27741512  2017-12-15 0.0.0.0  TGHU7862323  413688  N.A. "/>
    <s v="ROSL Availed Amount(INR) Scroll Number Scroll Date_x000a_Y  3082  25879/2017  2017-12-20 0.0.0.0 "/>
    <x v="295"/>
    <x v="1"/>
    <s v="AWB No. Gateway Port Gateway EGM No. Gateway EGM Date Gateway Site ID Error Code N.A.  INNSA1  140047  2017-12-05 00:00:00.0  INNSA1  S "/>
    <x v="203"/>
  </r>
  <r>
    <x v="0"/>
    <n v="1318155"/>
    <s v="2017/12/04"/>
    <x v="199"/>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x v="181"/>
    <s v="EGM No. EGM Date Container No. Seal No. Error Message_x000a_R27741512  2017-12-15 0.0.0.0  TGHU7862323  3688  N.A. "/>
    <s v="ROSL Availed Amount(INR) Scroll Number Scroll Date_x000a_Y  1564  25879/2017  2017-12-20 0.0.0.0 "/>
    <x v="296"/>
    <x v="1"/>
    <s v="AWB No. Gateway Port Gateway EGM No. Gateway EGM Date Gateway Site ID Error Code N.A.  INNSA1  140047  2017-12-05 00:00:00.0  INNSA1  S "/>
    <x v="203"/>
  </r>
  <r>
    <x v="0"/>
    <n v="1318294"/>
    <s v="2017/12/04"/>
    <x v="200"/>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x v="178"/>
    <s v="EGM No. EGM Date Container No. Seal No. Error Message_x000a_R577300612  2017-12-6 0.0.0.0  NYKU3913872  412767  N.A. "/>
    <s v="ROSL Availed Amount(INR) Scroll Number Scroll Date_x000a_N  0  ROSL NOT CLAIMED  ROSL NOT CLAIMED "/>
    <x v="297"/>
    <x v="0"/>
    <s v="AWB No. Gateway Port Gateway EGM No. Gateway EGM Date Gateway Site ID Error Code N.A.  INMUN1  139070  2017-11-17 00:00:00.0  INMUN1  S "/>
    <x v="205"/>
  </r>
  <r>
    <x v="0"/>
    <n v="1323400"/>
    <s v="2017/12/04"/>
    <x v="71"/>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x v="184"/>
    <s v="EGM No. EGM Date Container No. Seal No. Error Message_x000a_R27741512  2017-12-15 0.0.0.0  TCNU5910694  413686  N.A. "/>
    <s v="ROSL Availed Amount(INR) Scroll Number Scroll Date_x000a_N  0  ROSL NOT CLAIMED  ROSL NOT CLAIMED "/>
    <x v="298"/>
    <x v="1"/>
    <s v="AWB No. Gateway Port Gateway EGM No. Gateway EGM Date Gateway Site ID Error Code N.A.  INNSA1  139999  2017-12-04 00:00:00.0  INNSA1  S "/>
    <x v="206"/>
  </r>
  <r>
    <x v="0"/>
    <n v="1341857"/>
    <s v="2017/12/05"/>
    <x v="201"/>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x v="185"/>
    <s v="EGM No. EGM Date Container No. Seal No. Error Message_x000a_J197640912  2017-12-9 0.0.0.0  MRKU5656130  413256  N.A. "/>
    <s v="ROSL Availed Amount(INR) Scroll Number Scroll Date_x000a_Y  23075  28259/2018  2018-6-15 0.0.0.0 "/>
    <x v="299"/>
    <x v="1"/>
    <s v="AWB No. Gateway Port Gateway EGM No. Gateway EGM Date Gateway Site ID Error Code N.A.  INNSA1  138232  2017-11-06 00:00:00.0  INNSA1  N "/>
    <x v="207"/>
  </r>
  <r>
    <x v="0"/>
    <n v="1349436"/>
    <s v="2017/12/05"/>
    <x v="202"/>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x v="181"/>
    <s v="EGM No. EGM Date Container No. Seal No. Error Message_x000a_R607421312  2017-12-13 0.0.0.0  BSIU2178771  413647  N.A. "/>
    <s v="ROSL Availed Amount(INR) Scroll Number Scroll Date_x000a_N  0  ROSL NOT CLAIMED  ROSL NOT CLAIMED "/>
    <x v="300"/>
    <x v="1"/>
    <s v="AWB No. Gateway Port Gateway EGM No. Gateway EGM Date Gateway Site ID Error Code N.A.  INNSA1  140472  2017-12-12 00:00:00.0  INNSA1  S "/>
    <x v="208"/>
  </r>
  <r>
    <x v="0"/>
    <n v="1349513"/>
    <s v="2017/12/05"/>
    <x v="203"/>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x v="186"/>
    <s v="EGM No. EGM Date Container No. Seal No. Error Message_x000a_R267901612  2017-12-16 0.0.0.0  TCLU9304152  414201  N.A. "/>
    <s v="ROSL Availed Amount(INR) Scroll Number Scroll Date_x000a_N  0  ROSL NOT CLAIMED  ROSL NOT CLAIMED "/>
    <x v="301"/>
    <x v="1"/>
    <s v="AWB No. Gateway Port Gateway EGM No. Gateway EGM Date Gateway Site ID Error Code N.A.  INNSA1  139986  2017-12-04 00:00:00.0  INNSA1  S "/>
    <x v="209"/>
  </r>
  <r>
    <x v="0"/>
    <n v="1350667"/>
    <s v="2017/12/05"/>
    <x v="148"/>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x v="187"/>
    <s v="EGM No. EGM Date Container No. Seal No. Error Message_x000a_T1007221212  2017-12-12 0.0.0.0  CRXU1571954  413346  N.A. "/>
    <s v="ROSL Availed Amount(INR) Scroll Number Scroll Date_x000a_N  0  ROSL NOT CLAIMED  ROSL NOT CLAIMED "/>
    <x v="302"/>
    <x v="0"/>
    <s v="AWB No. Gateway Port Gateway EGM No. Gateway EGM Date Gateway Site ID Error Code N.A.  INMUN1  140703  2017-12-14 00:00:00.0  INMUN1  S "/>
    <x v="210"/>
  </r>
  <r>
    <x v="0"/>
    <n v="1364053"/>
    <s v="2017/12/06"/>
    <x v="204"/>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x v="188"/>
    <s v="EGM No. EGM Date Container No. Seal No. Error Message_x000a_TX187580812  2017-12-8 0.0.0.0  TGHU3089350  004585  N.A. "/>
    <s v="ROSL Availed Amount(INR) Scroll Number Scroll Date_x000a_NULL  NULL  NULL  NULL "/>
    <x v="303"/>
    <x v="0"/>
    <s v="AWB No. Gateway Port Gateway EGM No. Gateway EGM Date Gateway Site ID Error Code N.A.  INMUN1  140290  2017-12-07 00:00:00.0  INMUN1  S "/>
    <x v="211"/>
  </r>
  <r>
    <x v="0"/>
    <n v="1367821"/>
    <s v="2017/12/06"/>
    <x v="14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x v="189"/>
    <s v="EGM No. EGM Date Container No. Seal No. Error Message_x000a_R27402112  2017-12-21 0.0.0.0  BSIU2864848  414270  N.A. "/>
    <s v="ROSL Availed Amount(INR) Scroll Number Scroll Date_x000a_N  0  ROSL NOT CLAIMED  ROSL NOT CLAIMED "/>
    <x v="304"/>
    <x v="1"/>
    <s v="AWB No. Gateway Port Gateway EGM No. Gateway EGM Date Gateway Site ID Error Code N.A.  INNSA1  140726  2017-12-15 00:00:00.0  INNSA1  C "/>
    <x v="212"/>
  </r>
  <r>
    <x v="0"/>
    <n v="1381867"/>
    <s v="2017/12/06"/>
    <x v="205"/>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x v="182"/>
    <s v="EGM No. EGM Date Container No. Seal No. Error Message_x000a_R397500812  2017-12-8 0.0.0.0  MSKU6199024  413024  N.A. "/>
    <s v="ROSL Availed Amount(INR) Scroll Number Scroll Date_x000a_NULL  NULL  NULL  NULL "/>
    <x v="305"/>
    <x v="3"/>
    <s v="AWB No. Gateway Port Gateway EGM No. Gateway EGM Date Gateway Site ID Error Code N.A.  INPAV1  139963  2017-12-04 00:00:00.0  INPAV1  S "/>
    <x v="201"/>
  </r>
  <r>
    <x v="0"/>
    <n v="1386534"/>
    <s v="2017/12/07"/>
    <x v="204"/>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x v="188"/>
    <s v="EGM No. EGM Date Container No. Seal No. Error Message_x000a_R367181212  2017-12-12 0.0.0.0  NYKU9856126  004590  N.A. "/>
    <s v="ROSL Availed Amount(INR) Scroll Number Scroll Date_x000a_NULL  NULL  NULL  NULL "/>
    <x v="306"/>
    <x v="3"/>
    <s v="AWB No. Gateway Port Gateway EGM No. Gateway EGM Date Gateway Site ID Error Code N.A.  INPAV1  140083  2017-12-05 00:00:00.0  INPAV1  S "/>
    <x v="213"/>
  </r>
  <r>
    <x v="0"/>
    <n v="1411047"/>
    <s v="2017/12/07"/>
    <x v="204"/>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x v="190"/>
    <s v="EGM No. EGM Date Container No. Seal No. Error Message_x000a_R367181212  2017-12-12 0.0.0.0  DFSU2493229  004598  N.A. "/>
    <s v="ROSL Availed Amount(INR) Scroll Number Scroll Date_x000a_NULL  NULL  NULL  NULL "/>
    <x v="307"/>
    <x v="3"/>
    <s v="AWB No. Gateway Port Gateway EGM No. Gateway EGM Date Gateway Site ID Error Code N.A.  INPAV1  140083  2017-12-05 00:00:00.0  INPAV1  S "/>
    <x v="213"/>
  </r>
  <r>
    <x v="0"/>
    <n v="1466520"/>
    <s v="2017/12/11"/>
    <x v="203"/>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x v="191"/>
    <s v="EGM No. EGM Date Container No. Seal No. Error Message_x000a_T587862312  2017-12-23 0.0.0.0  DFSU6923539  414871  N.A. "/>
    <s v="ROSL Availed Amount(INR) Scroll Number Scroll Date_x000a_N  0  ROSL NOT CLAIMED  ROSL NOT CLAIMED "/>
    <x v="308"/>
    <x v="1"/>
    <s v="AWB No. Gateway Port Gateway EGM No. Gateway EGM Date Gateway Site ID Error Code N.A.  INNSA1  140677  2017-12-14 00:00:00.0  INNSA1  S "/>
    <x v="214"/>
  </r>
  <r>
    <x v="0"/>
    <n v="1468626"/>
    <s v="2017/12/11"/>
    <x v="118"/>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x v="192"/>
    <s v="EGM No. EGM Date Container No. Seal No. Error Message_x000a_T587862312  2017-12-23 0.0.0.0  HDMU6838625  414844  N.A. "/>
    <s v="ROSL Availed Amount(INR) Scroll Number Scroll Date_x000a_N  0  ROSL NOT CLAIMED  ROSL NOT CLAIMED "/>
    <x v="309"/>
    <x v="1"/>
    <s v="AWB No. Gateway Port Gateway EGM No. Gateway EGM Date Gateway Site ID Error Code N.A.  INNSA1  140365  2017-12-08 00:00:00.0  INNSA1  N "/>
    <x v="215"/>
  </r>
  <r>
    <x v="0"/>
    <n v="1469621"/>
    <s v="2017/12/11"/>
    <x v="117"/>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x v="193"/>
    <s v="EGM No. EGM Date Container No. Seal No. Error Message_x000a_T437141912  2017-12-19 0.0.0.0  HDMU2556351  414180  N.A. "/>
    <s v="ROSL Availed Amount(INR) Scroll Number Scroll Date_x000a_N  0  ROSL NOT CLAIMED  ROSL NOT CLAIMED "/>
    <x v="310"/>
    <x v="0"/>
    <s v="AWB No. Gateway Port Gateway EGM No. Gateway EGM Date Gateway Site ID Error Code N.A.  INMUN1  141077  2017-12-21 00:00:00.0  INMUN1  S "/>
    <x v="216"/>
  </r>
  <r>
    <x v="0"/>
    <n v="1471253"/>
    <s v="2017/12/11"/>
    <x v="205"/>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x v="194"/>
    <s v="EGM No. EGM Date Container No. Seal No. Error Message_x000a_R707601512  2017-12-15 0.0.0.0  MSKU2961609  413471  N.A. "/>
    <s v="ROSL Availed Amount(INR) Scroll Number Scroll Date_x000a_NULL  NULL  NULL  NULL "/>
    <x v="311"/>
    <x v="3"/>
    <s v="AWB No. Gateway Port Gateway EGM No. Gateway EGM Date Gateway Site ID Error Code N.A.  INPAV1  139966  2017-12-04 00:00:00.0  INPAV1  S "/>
    <x v="217"/>
  </r>
  <r>
    <x v="0"/>
    <n v="1474614"/>
    <s v="2017/12/11"/>
    <x v="206"/>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x v="195"/>
    <s v="EGM No. EGM Date Container No. Seal No. Error Message_x000a_T1007642212  2017-12-22 0.0.0.0  TEMU2032450  414817  N.A. "/>
    <s v="ROSL Availed Amount(INR) Scroll Number Scroll Date_x000a_NULL  NULL  NULL  NULL "/>
    <x v="312"/>
    <x v="0"/>
    <s v="AWB No. Gateway Port Gateway EGM No. Gateway EGM Date Gateway Site ID Error Code N.A.  INMUN1  141426  2017-12-27 00:00:00.0  INMUN1  S "/>
    <x v="218"/>
  </r>
  <r>
    <x v="0"/>
    <n v="1486982"/>
    <s v="2017/12/12"/>
    <x v="204"/>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x v="196"/>
    <s v="EGM No. EGM Date Container No. Seal No. Error Message_x000a_R1577902412  2017-12-24 0.0.0.0  CNSU2048548  004601  N.A. "/>
    <s v="ROSL Availed Amount(INR) Scroll Number Scroll Date_x000a_NULL  NULL  NULL  NULL "/>
    <x v="313"/>
    <x v="3"/>
    <s v="AWB No. Gateway Port Gateway EGM No. Gateway EGM Date Gateway Site ID Error Code N.A.  INPAV1  140831  2017-12-18 00:00:00.0  INPAV1  S "/>
    <x v="219"/>
  </r>
  <r>
    <x v="0"/>
    <n v="1487575"/>
    <s v="2017/12/12"/>
    <x v="207"/>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x v="197"/>
    <s v="EGM No. EGM Date Container No. Seal No. Error Message_x000a_R817941712  2017-12-17 0.0.0.0  HJMU1409260  413957  N.A. "/>
    <s v="ROSL Availed Amount(INR) Scroll Number Scroll Date_x000a_N  0  ROSL NOT CLAIMED  ROSL NOT CLAIMED "/>
    <x v="314"/>
    <x v="0"/>
    <s v="AWB No. Gateway Port Gateway EGM No. Gateway EGM Date Gateway Site ID Error Code N.A.  INMUN1  140930  2017-12-19 00:00:00.0  INMUN1  S "/>
    <x v="220"/>
  </r>
  <r>
    <x v="0"/>
    <n v="1487979"/>
    <s v="2017/12/12"/>
    <x v="208"/>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x v="198"/>
    <s v="EGM No. EGM Date Container No. Seal No. Error Message_x000a_T587862312  2017-12-23 0.0.0.0  HDMU6838625  414844  N.A. "/>
    <s v="ROSL Availed Amount(INR) Scroll Number Scroll Date_x000a_N  0  ROSL NOT CLAIMED  ROSL NOT CLAIMED "/>
    <x v="315"/>
    <x v="1"/>
    <s v="AWB No. Gateway Port Gateway EGM No. Gateway EGM Date Gateway Site ID Error Code N.A.  INNSA1  140365  2017-12-08 00:00:00.0  INNSA1  N "/>
    <x v="215"/>
  </r>
  <r>
    <x v="0"/>
    <n v="1509191"/>
    <s v="2017/12/13"/>
    <x v="209"/>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x v="199"/>
    <s v="EGM No. EGM Date Container No. Seal No. Error Message_x000a_TX227101812  2017-12-18 0.0.0.0  CRSU1134340  414192  N.A. "/>
    <s v="ROSL Availed Amount(INR) Scroll Number Scroll Date_x000a_N  0  ROSL NOT CLAIMED  ROSL NOT CLAIMED "/>
    <x v="316"/>
    <x v="2"/>
    <s v="Please Wait...."/>
    <x v="12"/>
  </r>
  <r>
    <x v="0"/>
    <n v="1512374"/>
    <s v="2017/12/13"/>
    <x v="165"/>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x v="200"/>
    <s v="EGM No. EGM Date Container No. Seal No. Error Message_x000a_R637981712  2017-12-17 0.0.0.0  SLSU6170854  414243  N.A. "/>
    <s v="ROSL Availed Amount(INR) Scroll Number Scroll Date_x000a_N  0  ROSL NOT CLAIMED  ROSL NOT CLAIMED "/>
    <x v="317"/>
    <x v="1"/>
    <s v="AWB No. Gateway Port Gateway EGM No. Gateway EGM Date Gateway Site ID Error Code N.A.  INNSA1  140677  2017-12-14 00:00:00.0  INNSA1  S "/>
    <x v="214"/>
  </r>
  <r>
    <x v="0"/>
    <n v="1521533"/>
    <s v="2017/12/13"/>
    <x v="179"/>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x v="193"/>
    <s v="EGM No. EGM Date Container No. Seal No. Error Message_x000a_TX227101812  2017-12-18 0.0.0.0  GRMU4200556  414416  N.A. "/>
    <s v="ROSL Availed Amount(INR) Scroll Number Scroll Date_x000a_N  0  ROSL NOT CLAIMED  ROSL NOT CLAIMED "/>
    <x v="318"/>
    <x v="0"/>
    <s v="AWB No. Gateway Port Gateway EGM No. Gateway EGM Date Gateway Site ID Error Code N.A.  INMUN1  140931  2017-12-19 00:00:00.0  INMUN1  S "/>
    <x v="221"/>
  </r>
  <r>
    <x v="0"/>
    <n v="1523411"/>
    <s v="2017/12/13"/>
    <x v="210"/>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x v="201"/>
    <s v="EGM No. EGM Date Container No. Seal No. Error Message_x000a_R817941712  2017-12-17 0.0.0.0  MRKU8243150  000244  N.A. "/>
    <s v="ROSL Availed Amount(INR) Scroll Number Scroll Date_x000a_N  0  ROSL NOT CLAIMED  ROSL NOT CLAIMED "/>
    <x v="319"/>
    <x v="0"/>
    <s v="AWB No. Gateway Port Gateway EGM No. Gateway EGM Date Gateway Site ID Error Code N.A.  INMUN1  N.A.  N.A.  N.A.  N.A. "/>
    <x v="34"/>
  </r>
  <r>
    <x v="0"/>
    <n v="1546285"/>
    <s v="2017/12/14"/>
    <x v="69"/>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x v="198"/>
    <s v="EGM No. EGM Date Container No. Seal No. Error Message_x000a_T1007642212  2017-12-22 0.0.0.0  DRYU9457048  414824  N.A. "/>
    <s v="ROSL Availed Amount(INR) Scroll Number Scroll Date_x000a_N  0  ROSL NOT CLAIMED  ROSL NOT CLAIMED "/>
    <x v="320"/>
    <x v="0"/>
    <s v="AWB No. Gateway Port Gateway EGM No. Gateway EGM Date Gateway Site ID Error Code N.A.  INMUN1  141045  2017-12-20 00:00:00.0  INMUN1  S "/>
    <x v="192"/>
  </r>
  <r>
    <x v="0"/>
    <n v="1547350"/>
    <s v="2017/12/14"/>
    <x v="20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x v="202"/>
    <s v="EGM No. EGM Date Container No. Seal No. Error Message_x000a_R567382012  2017-12-20 0.0.0.0  NYKU3824353  413896  N.A. "/>
    <s v="ROSL Availed Amount(INR) Scroll Number Scroll Date_x000a_NULL  NULL  NULL  NULL "/>
    <x v="321"/>
    <x v="3"/>
    <s v="AWB No. Gateway Port Gateway EGM No. Gateway EGM Date Gateway Site ID Error Code N.A.  INPAV1  140831  2017-12-18 00:00:00.0  INPAV1  S "/>
    <x v="219"/>
  </r>
  <r>
    <x v="0"/>
    <n v="1551135"/>
    <s v="2017/12/14"/>
    <x v="205"/>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x v="195"/>
    <s v="EGM No. EGM Date Container No. Seal No. Error Message_x000a_R27741512  2017-12-15 0.0.0.0  OOLU9658411  413874  N.A. "/>
    <s v="ROSL Availed Amount(INR) Scroll Number Scroll Date_x000a_NULL  NULL  NULL  NULL "/>
    <x v="322"/>
    <x v="1"/>
    <s v="AWB No. Gateway Port Gateway EGM No. Gateway EGM Date Gateway Site ID Error Code N.A.  INNSA1  138758  2017-11-14 00:00:00.0  INNSA1  S "/>
    <x v="222"/>
  </r>
  <r>
    <x v="0"/>
    <n v="1566061"/>
    <s v="2017/12/15"/>
    <x v="211"/>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x v="203"/>
    <s v="EGM No. EGM Date Container No. Seal No. Error Message_x000a_T587862312  2017-12-23 0.0.0.0  TGHU5214511  414880  N.A. "/>
    <s v="ROSL Availed Amount(INR) Scroll Number Scroll Date_x000a_NULL  NULL  NULL  NULL "/>
    <x v="323"/>
    <x v="2"/>
    <s v="Please Wait...."/>
    <x v="12"/>
  </r>
  <r>
    <x v="0"/>
    <n v="1568268"/>
    <s v="2017/12/15"/>
    <x v="61"/>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x v="191"/>
    <s v="EGM No. EGM Date Container No. Seal No. Error Message_x000a_T587862312  2017-12-23 0.0.0.0  INLU2203114  414865  N.A. "/>
    <s v="ROSL Availed Amount(INR) Scroll Number Scroll Date_x000a_N  0  ROSL NOT CLAIMED  ROSL NOT CLAIMED "/>
    <x v="324"/>
    <x v="1"/>
    <s v="AWB No. Gateway Port Gateway EGM No. Gateway EGM Date Gateway Site ID Error Code N.A.  INNSA1  140487  2017-12-12 00:00:00.0  INNSA1  S "/>
    <x v="223"/>
  </r>
  <r>
    <x v="0"/>
    <n v="1579668"/>
    <s v="2017/12/15"/>
    <x v="197"/>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x v="204"/>
    <s v="EGM No. EGM Date Container No. Seal No. Error Message_x000a_R1977520401  2018-1-4 0.0.0.0  MRKU6416473  415872  N.A. "/>
    <s v="ROSL Availed Amount(INR) Scroll Number Scroll Date_x000a_N  0  ROSL NOT CLAIMED  ROSL NOT CLAIMED "/>
    <x v="325"/>
    <x v="1"/>
    <s v="AWB No. Gateway Port Gateway EGM No. Gateway EGM Date Gateway Site ID Error Code N.A.  INNSA1  140586  2017-12-12 00:00:00.0  INNSA1  S "/>
    <x v="224"/>
  </r>
  <r>
    <x v="0"/>
    <n v="1580068"/>
    <s v="2017/12/15"/>
    <x v="212"/>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x v="205"/>
    <s v="EGM No. EGM Date Container No. Seal No. Error Message_x000a_T587862312  2017-12-23 0.0.0.0  INKU2342576  414883  N.A. "/>
    <s v="ROSL Availed Amount(INR) Scroll Number Scroll Date_x000a_N  0  ROSL NOT CLAIMED  ROSL NOT CLAIMED "/>
    <x v="326"/>
    <x v="1"/>
    <s v="AWB No. Gateway Port Gateway EGM No. Gateway EGM Date Gateway Site ID Error Code N.A.  INNSA1  140402  2017-12-11 00:00:00.0  INNSA1  S "/>
    <x v="225"/>
  </r>
  <r>
    <x v="0"/>
    <n v="1609603"/>
    <s v="2017/12/18"/>
    <x v="204"/>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x v="206"/>
    <s v="EGM No. EGM Date Container No. Seal No. Error Message_x000a_R1577902412  2017-12-24 0.0.0.0  TCKU3848465  414969  N.A. "/>
    <s v="ROSL Availed Amount(INR) Scroll Number Scroll Date_x000a_NULL  NULL  NULL  NULL "/>
    <x v="327"/>
    <x v="3"/>
    <s v="AWB No. Gateway Port Gateway EGM No. Gateway EGM Date Gateway Site ID Error Code N.A.  INPAV1  140831  2017-12-18 00:00:00.0  INPAV1  S "/>
    <x v="219"/>
  </r>
  <r>
    <x v="0"/>
    <n v="1614481"/>
    <s v="2017/12/18"/>
    <x v="213"/>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x v="207"/>
    <s v="EGM No. EGM Date Container No. Seal No. Error Message_x000a_T257700501  2018-1-5 0.0.0.0  FSCU8047472  415882  N.A. "/>
    <s v="ROSL Availed Amount(INR) Scroll Number Scroll Date_x000a_NULL  NULL  NULL  NULL "/>
    <x v="328"/>
    <x v="1"/>
    <s v="AWB No. Gateway Port Gateway EGM No. Gateway EGM Date Gateway Site ID Error Code N.A.  INNSA1  141463  2017-12-27 00:00:00.0  INNSA1  S "/>
    <x v="226"/>
  </r>
  <r>
    <x v="0"/>
    <n v="1616744"/>
    <s v="2017/12/18"/>
    <x v="214"/>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x v="208"/>
    <s v="EGM No. EGM Date Container No. Seal No. Error Message_x000a_R557963112  2017-12-31 0.0.0.0  AMFU8791180  415489  N.A. "/>
    <s v="ROSL Availed Amount(INR) Scroll Number Scroll Date_x000a_N  0  ROSL NOT CLAIMED  ROSL NOT CLAIMED "/>
    <x v="329"/>
    <x v="0"/>
    <s v="AWB No. Gateway Port Gateway EGM No. Gateway EGM Date Gateway Site ID Error Code N.A.  INMUN1  141297  2017-12-26 00:00:00.0  INMUN1  S "/>
    <x v="227"/>
  </r>
  <r>
    <x v="0"/>
    <n v="1622551"/>
    <s v="2017/12/18"/>
    <x v="71"/>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x v="205"/>
    <s v="EGM No. EGM Date Container No. Seal No. Error Message_x000a_R1267142512  2017-12-25 0.0.0.0  BSIU2789699  414845  N.A. "/>
    <s v="ROSL Availed Amount(INR) Scroll Number Scroll Date_x000a_N  0  ROSL NOT CLAIMED  ROSL NOT CLAIMED "/>
    <x v="330"/>
    <x v="1"/>
    <s v="AWB No. Gateway Port Gateway EGM No. Gateway EGM Date Gateway Site ID Error Code N.A.  INNSA1  141039  2017-12-20 00:00:00.0  INNSA1  S "/>
    <x v="228"/>
  </r>
  <r>
    <x v="0"/>
    <n v="1622558"/>
    <s v="2017/12/18"/>
    <x v="71"/>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x v="209"/>
    <s v="EGM No. EGM Date Container No. Seal No. Error Message_x000a_R1267142512  2017-12-25 0.0.0.0  BSIU2789699  414845  N.A. "/>
    <s v="ROSL Availed Amount(INR) Scroll Number Scroll Date_x000a_N  0  ROSL NOT CLAIMED  ROSL NOT CLAIMED "/>
    <x v="331"/>
    <x v="1"/>
    <s v="AWB No. Gateway Port Gateway EGM No. Gateway EGM Date Gateway Site ID Error Code N.A.  INNSA1  141039  2017-12-20 00:00:00.0  INNSA1  S "/>
    <x v="228"/>
  </r>
  <r>
    <x v="0"/>
    <n v="1630870"/>
    <s v="2017/12/18"/>
    <x v="215"/>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x v="205"/>
    <s v="EGM No. EGM Date Container No. Seal No. Error Message_x000a_T587862312  2017-12-23 0.0.0.0  CRXU9950466  414877  N.A. "/>
    <s v="ROSL Availed Amount(INR) Scroll Number Scroll Date_x000a_N  0  ROSL NOT CLAIMED  ROSL NOT CLAIMED "/>
    <x v="332"/>
    <x v="1"/>
    <s v="AWB No. Gateway Port Gateway EGM No. Gateway EGM Date Gateway Site ID Error Code N.A.  INNSA1  141083  2017-12-21 00:00:00.0  INNSA1  C "/>
    <x v="229"/>
  </r>
  <r>
    <x v="0"/>
    <n v="1657961"/>
    <s v="2017/12/19"/>
    <x v="205"/>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x v="210"/>
    <s v="EGM No. EGM Date Container No. Seal No. Error Message_x000a_R947522112  2017-12-21 0.0.0.0  TCLU3403667  414754  N.A. "/>
    <s v="ROSL Availed Amount(INR) Scroll Number Scroll Date_x000a_NULL  NULL  NULL  NULL "/>
    <x v="333"/>
    <x v="1"/>
    <s v="AWB No. Gateway Port Gateway EGM No. Gateway EGM Date Gateway Site ID Error Code N.A.  INNSA1  140724  2017-12-15 00:00:00.0  INNSA1  S "/>
    <x v="230"/>
  </r>
  <r>
    <x v="0"/>
    <n v="1668810"/>
    <s v="2017/12/20"/>
    <x v="204"/>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x v="211"/>
    <s v="EGM No. EGM Date Container No. Seal No. Error Message_x000a_J247462712  2017-12-27 0.0.0.0  TCKU3164098  415087  N.A. "/>
    <s v="ROSL Availed Amount(INR) Scroll Number Scroll Date_x000a_NULL  NULL  NULL  NULL "/>
    <x v="334"/>
    <x v="3"/>
    <s v="AWB No. Gateway Port Gateway EGM No. Gateway EGM Date Gateway Site ID Error Code N.A.  INPAV1  140831  2017-12-18 00:00:00.0  INPAV1  S "/>
    <x v="219"/>
  </r>
  <r>
    <x v="0"/>
    <n v="1670652"/>
    <s v="2017/12/20"/>
    <x v="216"/>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x v="212"/>
    <s v="EGM No. EGM Date Container No. Seal No. Error Message_x000a_T987020101  2018-1-1 0.0.0.0  WHLU5123143  415820  N.A. "/>
    <s v="ROSL Availed Amount(INR) Scroll Number Scroll Date_x000a_N  0  ROSL NOT CLAIMED  ROSL NOT CLAIMED "/>
    <x v="335"/>
    <x v="1"/>
    <s v="AWB No. Gateway Port Gateway EGM No. Gateway EGM Date Gateway Site ID Error Code N.A.  INNSA1  141344  2017-12-26 00:00:00.0  INNSA1  C "/>
    <x v="231"/>
  </r>
  <r>
    <x v="0"/>
    <n v="1671114"/>
    <s v="2017/12/20"/>
    <x v="194"/>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x v="213"/>
    <s v="EGM No. EGM Date Container No. Seal No. Error Message_x000a_R627622812  2017-12-28 0.0.0.0  TCNU6391417  415420  N.A. "/>
    <s v="ROSL Availed Amount(INR) Scroll Number Scroll Date_x000a_N  0  ROSL NOT CLAIMED  ROSL NOT CLAIMED "/>
    <x v="336"/>
    <x v="0"/>
    <s v="AWB No. Gateway Port Gateway EGM No. Gateway EGM Date Gateway Site ID Error Code N.A.  INMUN1  141756  2018-01-02 00:00:00.0  INMUN1  S "/>
    <x v="232"/>
  </r>
  <r>
    <x v="0"/>
    <n v="1673346"/>
    <s v="2017/12/20"/>
    <x v="217"/>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x v="206"/>
    <s v="EGM No. EGM Date Container No. Seal No. Error Message_x000a_T587862312  2017-12-23 0.0.0.0  HDMU6838625  414844  N.A. "/>
    <s v="ROSL Availed Amount(INR) Scroll Number Scroll Date_x000a_NULL  NULL  NULL  NULL "/>
    <x v="337"/>
    <x v="1"/>
    <s v="AWB No. Gateway Port Gateway EGM No. Gateway EGM Date Gateway Site ID Error Code N.A.  INNSA1  140365  2017-12-08 00:00:00.0  INNSA1  N "/>
    <x v="215"/>
  </r>
  <r>
    <x v="0"/>
    <n v="1682294"/>
    <s v="2017/12/20"/>
    <x v="218"/>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x v="214"/>
    <s v="EGM No. EGM Date Container No. Seal No. Error Message_x000a_R427662812  2017-12-28 0.0.0.0  TCLU3881619  415438  N.A. "/>
    <s v="ROSL Availed Amount(INR) Scroll Number Scroll Date_x000a_N  0  ROSL NOT CLAIMED  ROSL NOT CLAIMED "/>
    <x v="338"/>
    <x v="1"/>
    <s v="AWB No. Gateway Port Gateway EGM No. Gateway EGM Date Gateway Site ID Error Code N.A.  INNSA1  141116  2017-12-21 00:00:00.0  INNSA1  S "/>
    <x v="233"/>
  </r>
  <r>
    <x v="0"/>
    <n v="1694312"/>
    <s v="2017/12/21"/>
    <x v="219"/>
    <s v="IEC CHA No. Job No. Job Date Port of Discharge Total Package Gross Weight (Kg) FOB(INR) Total Cess (INR) Drawback STR Total (DBK+STR) CIN NO. CIN DT. Reward Flag_x000a_No Record found"/>
    <x v="211"/>
    <s v="EGM No. EGM Date Container No. Seal No. Error Message_x000a_T1007642212  2017-12-22 0.0.0.0  RFCU2268528  LYNK00542782  N.A. "/>
    <s v="ROSL Availed Amount(INR) Scroll Number Scroll Date_x000a_NULL  NULL  NULL  NULL "/>
    <x v="339"/>
    <x v="0"/>
    <s v="AWB No. Gateway Port Gateway EGM No. Gateway EGM Date Gateway Site ID Error Code N.A.  INMUN1  140648  2017-12-13 00:00:00.0  INMUN1  S "/>
    <x v="234"/>
  </r>
  <r>
    <x v="0"/>
    <n v="1696466"/>
    <s v="2017/12/21"/>
    <x v="204"/>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x v="215"/>
    <s v="EGM No. EGM Date Container No. Seal No. Error Message_x000a_J247462712  2017-12-27 0.0.0.0  CAIU3885876  414651  N.A. "/>
    <s v="ROSL Availed Amount(INR) Scroll Number Scroll Date_x000a_NULL  NULL  NULL  NULL "/>
    <x v="340"/>
    <x v="3"/>
    <s v="AWB No. Gateway Port Gateway EGM No. Gateway EGM Date Gateway Site ID Error Code N.A.  INPAV1  140831  2017-12-18 00:00:00.0  INPAV1  S "/>
    <x v="219"/>
  </r>
  <r>
    <x v="0"/>
    <n v="1705753"/>
    <s v="2017/12/21"/>
    <x v="67"/>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x v="216"/>
    <s v="EGM No. EGM Date Container No. Seal No. Error Message_x000a_Z17883012  2017-12-30 0.0.0.0  CRSU9314842  001894  N.A. "/>
    <s v="ROSL Availed Amount(INR) Scroll Number Scroll Date_x000a_N  0  ROSL NOT CLAIMED  ROSL NOT CLAIMED "/>
    <x v="341"/>
    <x v="0"/>
    <s v="AWB No. Gateway Port Gateway EGM No. Gateway EGM Date Gateway Site ID Error Code N.A.  INMUN1  141078  2017-12-21 00:00:00.0  INMUN1  S "/>
    <x v="235"/>
  </r>
  <r>
    <x v="0"/>
    <n v="1718128"/>
    <s v="2017/12/22"/>
    <x v="215"/>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x v="208"/>
    <s v="EGM No. EGM Date Container No. Seal No. Error Message_x000a_R987702912  2017-12-29 0.0.0.0  HASU4458235  415458  N.A. "/>
    <s v="ROSL Availed Amount(INR) Scroll Number Scroll Date_x000a_N  0  ROSL NOT CLAIMED  ROSL NOT CLAIMED "/>
    <x v="342"/>
    <x v="0"/>
    <s v="AWB No. Gateway Port Gateway EGM No. Gateway EGM Date Gateway Site ID Error Code N.A.  INMUN1  141502  2017-12-27 00:00:00.0  INMUN1  S "/>
    <x v="236"/>
  </r>
  <r>
    <x v="0"/>
    <n v="1719344"/>
    <s v="2017/12/22"/>
    <x v="219"/>
    <s v="IEC CHA No. Job No. Job Date Port of Discharge Total Package Gross Weight (Kg) FOB(INR) Total Cess (INR) Drawback STR Total (DBK+STR) CIN NO. CIN DT. Reward Flag_x000a_No Record found"/>
    <x v="207"/>
    <s v="EGM No. EGM Date Container No. Seal No. Error Message_x000a_R827422712  2017-12-27 0.0.0.0  TCKU3346030  LYNK00542784  N.A. "/>
    <s v="ROSL Availed Amount(INR) Scroll Number Scroll Date_x000a_NULL  NULL  NULL  NULL "/>
    <x v="343"/>
    <x v="0"/>
    <s v="AWB No. Gateway Port Gateway EGM No. Gateway EGM Date Gateway Site ID Error Code N.A.  INMUN1  141142  2017-12-21 00:00:00.0  INMUN1  S "/>
    <x v="237"/>
  </r>
  <r>
    <x v="0"/>
    <n v="1729499"/>
    <s v="2017/12/22"/>
    <x v="220"/>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x v="217"/>
    <s v="EGM No. EGM Date Container No. Seal No. Error Message_x000a_Z17883012  2017-12-30 0.0.0.0  HDMU2472219  415642  N.A. "/>
    <s v="ROSL Availed Amount(INR) Scroll Number Scroll Date_x000a_N  0  ROSL NOT CLAIMED  ROSL NOT CLAIMED "/>
    <x v="344"/>
    <x v="0"/>
    <s v="AWB No. Gateway Port Gateway EGM No. Gateway EGM Date Gateway Site ID Error Code N.A.  INMUN1  141855  2018-01-03 00:00:00.0  INMUN1  S "/>
    <x v="238"/>
  </r>
  <r>
    <x v="0"/>
    <n v="1752198"/>
    <s v="2017/12/23"/>
    <x v="221"/>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x v="214"/>
    <s v="EGM No. EGM Date Container No. Seal No. Error Message_x000a_R827422712  2017-12-27 0.0.0.0  PONU0253154  LYNK00564451  N.A. "/>
    <s v="ROSL Availed Amount(INR) Scroll Number Scroll Date_x000a_N  0  ROSL NOT CLAIMED  ROSL NOT CLAIMED "/>
    <x v="345"/>
    <x v="0"/>
    <s v="AWB No. Gateway Port Gateway EGM No. Gateway EGM Date Gateway Site ID Error Code N.A.  INMUN1  141901  2018-01-03 00:00:00.0  INMUN1  S "/>
    <x v="239"/>
  </r>
  <r>
    <x v="0"/>
    <n v="1773410"/>
    <s v="2017/12/26"/>
    <x v="204"/>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x v="218"/>
    <s v="EGM No. EGM Date Container No. Seal No. Error Message_x000a_J477923112  2017-12-31 0.0.0.0  DFSU1161364  GEID00000171  N.A. "/>
    <s v="ROSL Availed Amount(INR) Scroll Number Scroll Date_x000a_NULL  NULL  NULL  NULL "/>
    <x v="346"/>
    <x v="0"/>
    <s v="AWB No. Gateway Port Gateway EGM No. Gateway EGM Date Gateway Site ID Error Code N.A.  INMUN1  142133  2018-01-08 00:00:00.0  INMUN1  S "/>
    <x v="240"/>
  </r>
  <r>
    <x v="0"/>
    <n v="1773615"/>
    <s v="2017/12/26"/>
    <x v="222"/>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x v="214"/>
    <s v="EGM No. EGM Date Container No. Seal No. Error Message_x000a_R427662812  2017-12-28 0.0.0.0  TRLU7452102  415457  N.A. "/>
    <s v="ROSL Availed Amount(INR) Scroll Number Scroll Date_x000a_N  0  ROSL NOT CLAIMED  ROSL NOT CLAIMED "/>
    <x v="347"/>
    <x v="1"/>
    <s v="AWB No. Gateway Port Gateway EGM No. Gateway EGM Date Gateway Site ID Error Code N.A.  INNSA1  141039  2017-12-20 00:00:00.0  INNSA1  S "/>
    <x v="228"/>
  </r>
  <r>
    <x v="0"/>
    <n v="1779449"/>
    <s v="2017/12/26"/>
    <x v="67"/>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x v="219"/>
    <s v="EGM No. EGM Date Container No. Seal No. Error Message_x000a_R1667320301  2018-1-3 0.0.0.0  SEGU4806945  416065  N.A. "/>
    <s v="ROSL Availed Amount(INR) Scroll Number Scroll Date_x000a_N  0  ROSL NOT CLAIMED  ROSL NOT CLAIMED "/>
    <x v="348"/>
    <x v="0"/>
    <s v="AWB No. Gateway Port Gateway EGM No. Gateway EGM Date Gateway Site ID Error Code N.A.  INMUN1  141230  2017-12-22 00:00:00.0  INMUN1  S "/>
    <x v="241"/>
  </r>
  <r>
    <x v="0"/>
    <n v="1780079"/>
    <s v="2017/12/26"/>
    <x v="215"/>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x v="214"/>
    <s v="EGM No. EGM Date Container No. Seal No. Error Message_x000a_R987702912  2017-12-29 0.0.0.0  HASU4458235  415458  N.A. "/>
    <s v="ROSL Availed Amount(INR) Scroll Number Scroll Date_x000a_N  0  ROSL NOT CLAIMED  ROSL NOT CLAIMED "/>
    <x v="349"/>
    <x v="0"/>
    <s v="AWB No. Gateway Port Gateway EGM No. Gateway EGM Date Gateway Site ID Error Code N.A.  INMUN1  141502  2017-12-27 00:00:00.0  INMUN1  S "/>
    <x v="236"/>
  </r>
  <r>
    <x v="0"/>
    <n v="1787183"/>
    <s v="2017/12/26"/>
    <x v="223"/>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x v="220"/>
    <s v="EGM No. EGM Date Container No. Seal No. Error Message_x000a_R1577680501  2018-1-5 0.0.0.0  TCNU9903836  416467  N.A. "/>
    <s v="ROSL Availed Amount(INR) Scroll Number Scroll Date_x000a_N  0  ROSL NOT CLAIMED  ROSL NOT CLAIMED "/>
    <x v="350"/>
    <x v="0"/>
    <s v="AWB No. Gateway Port Gateway EGM No. Gateway EGM Date Gateway Site ID Error Code N.A.  INMUN1  141297  2017-12-26 00:00:00.0  INMUN1  S "/>
    <x v="227"/>
  </r>
  <r>
    <x v="0"/>
    <n v="1789517"/>
    <s v="2017/12/26"/>
    <x v="224"/>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x v="221"/>
    <s v="EGM No. EGM Date Container No. Seal No. Error Message_x000a_J187200201  2018-1-2 0.0.0.0  TRHU1718645  415796  N.A. "/>
    <s v="ROSL Availed Amount(INR) Scroll Number Scroll Date_x000a_N  0  ROSL NOT CLAIMED  ROSL NOT CLAIMED "/>
    <x v="351"/>
    <x v="1"/>
    <s v="AWB No. Gateway Port Gateway EGM No. Gateway EGM Date Gateway Site ID Error Code N.A.  INNSA1  N.A.  N.A.  N.A.  N.A. "/>
    <x v="2"/>
  </r>
  <r>
    <x v="0"/>
    <n v="1808535"/>
    <s v="2017/12/27"/>
    <x v="204"/>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x v="222"/>
    <s v="EGM No. EGM Date Container No. Seal No. Error Message_x000a_J477923112  2017-12-31 0.0.0.0  CAIU2296399  GEID00000177  N.A. "/>
    <s v="ROSL Availed Amount(INR) Scroll Number Scroll Date_x000a_NULL  NULL  NULL  NULL "/>
    <x v="352"/>
    <x v="0"/>
    <s v="AWB No. Gateway Port Gateway EGM No. Gateway EGM Date Gateway Site ID Error Code N.A.  INMUN1  142133  2018-01-08 00:00:00.0  INMUN1  S "/>
    <x v="240"/>
  </r>
  <r>
    <x v="0"/>
    <n v="1809398"/>
    <s v="2017/12/27"/>
    <x v="45"/>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x v="218"/>
    <s v="EGM No. EGM Date Container No. Seal No. Error Message_x000a_T987020101  2018-1-1 0.0.0.0  HJCU1719711  415025  N.A. "/>
    <s v="ROSL Availed Amount(INR) Scroll Number Scroll Date_x000a_NULL  NULL  NULL  NULL "/>
    <x v="353"/>
    <x v="1"/>
    <s v="AWB No. Gateway Port Gateway EGM No. Gateway EGM Date Gateway Site ID Error Code N.A.  INNSA1  141394  2017-12-26 00:00:00.0  INNSA1  S "/>
    <x v="242"/>
  </r>
  <r>
    <x v="0"/>
    <n v="1811286"/>
    <s v="2017/12/27"/>
    <x v="225"/>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x v="223"/>
    <s v="EGM No. EGM Date Container No. Seal No. Error Message_x000a_T437021401  2018-1-14 0.0.0.0  TEMU0782559  417070  N.A. "/>
    <s v="ROSL Availed Amount(INR) Scroll Number Scroll Date_x000a_N  0  ROSL NOT CLAIMED  ROSL NOT CLAIMED "/>
    <x v="354"/>
    <x v="0"/>
    <s v="AWB No. Gateway Port Gateway EGM No. Gateway EGM Date Gateway Site ID Error Code N.A.  INMUN1  143166  2018-01-23 00:00:00.0  INMUN1  S "/>
    <x v="243"/>
  </r>
  <r>
    <x v="0"/>
    <n v="1817413"/>
    <s v="2017/12/27"/>
    <x v="6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x v="219"/>
    <s v="EGM No. EGM Date Container No. Seal No. Error Message_x000a_R1667320301  2018-1-3 0.0.0.0  SEGU4785903  001898  N.A. "/>
    <s v="ROSL Availed Amount(INR) Scroll Number Scroll Date_x000a_N  0  ROSL NOT CLAIMED  ROSL NOT CLAIMED "/>
    <x v="355"/>
    <x v="0"/>
    <s v="AWB No. Gateway Port Gateway EGM No. Gateway EGM Date Gateway Site ID Error Code N.A.  INMUN1  141230  2017-12-22 00:00:00.0  INMUN1  S "/>
    <x v="241"/>
  </r>
  <r>
    <x v="0"/>
    <n v="1817472"/>
    <s v="2017/12/27"/>
    <x v="6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x v="219"/>
    <s v="EGM No. EGM Date Container No. Seal No. Error Message_x000a_R1667320301  2018-1-3 0.0.0.0  TCNU7193524  001896  N.A. "/>
    <s v="ROSL Availed Amount(INR) Scroll Number Scroll Date_x000a_N  0  ROSL NOT CLAIMED  ROSL NOT CLAIMED "/>
    <x v="356"/>
    <x v="0"/>
    <s v="AWB No. Gateway Port Gateway EGM No. Gateway EGM Date Gateway Site ID Error Code N.A.  INMUN1  141230  2017-12-22 00:00:00.0  INMUN1  S "/>
    <x v="241"/>
  </r>
  <r>
    <x v="0"/>
    <n v="1838515"/>
    <s v="2017/12/28"/>
    <x v="204"/>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x v="224"/>
    <s v="EGM No. EGM Date Container No. Seal No. Error Message_x000a_TX207260201  2018-1-2 0.0.0.0  HDMU2596246  GEID00000181  N.A. "/>
    <s v="ROSL Availed Amount(INR) Scroll Number Scroll Date_x000a_NULL  NULL  NULL  NULL "/>
    <x v="357"/>
    <x v="0"/>
    <s v="AWB No. Gateway Port Gateway EGM No. Gateway EGM Date Gateway Site ID Error Code N.A.  INMUN1  142479  2018-01-12 00:00:00.0  INMUN1  S "/>
    <x v="244"/>
  </r>
  <r>
    <x v="0"/>
    <n v="1852350"/>
    <s v="2017/12/28"/>
    <x v="205"/>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x v="222"/>
    <s v="EGM No. EGM Date Container No. Seal No. Error Message_x000a_J477923112  2017-12-31 0.0.0.0  MSKU2326584  415287  N.A. "/>
    <s v="ROSL Availed Amount(INR) Scroll Number Scroll Date_x000a_NULL  NULL  NULL  NULL "/>
    <x v="358"/>
    <x v="0"/>
    <s v="AWB No. Gateway Port Gateway EGM No. Gateway EGM Date Gateway Site ID Error Code N.A.  INMUN1  141264  2017-12-23 00:00:00.0  INMUN1  S "/>
    <x v="245"/>
  </r>
  <r>
    <x v="0"/>
    <n v="1865148"/>
    <s v="2017/12/29"/>
    <x v="219"/>
    <s v="IEC CHA No. Job No. Job Date Port of Discharge Total Package Gross Weight (Kg) FOB(INR) Total Cess (INR) Drawback STR Total (DBK+STR) CIN NO. CIN DT. Reward Flag_x000a_No Record found"/>
    <x v="224"/>
    <s v="EGM No. EGM Date Container No. Seal No. Error Message_x000a_R287920701  2018-1-7 0.0.0.0  BAXU5062245  416534  N.A. "/>
    <s v="ROSL Availed Amount(INR) Scroll Number Scroll Date_x000a_NULL  NULL  NULL  NULL "/>
    <x v="359"/>
    <x v="1"/>
    <s v="AWB No. Gateway Port Gateway EGM No. Gateway EGM Date Gateway Site ID Error Code N.A.  INNSA1  142173  2018-01-08 00:00:00.0  INNSA1  S "/>
    <x v="246"/>
  </r>
  <r>
    <x v="0"/>
    <n v="1865329"/>
    <s v="2017/12/29"/>
    <x v="204"/>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x v="225"/>
    <s v="EGM No. EGM Date Container No. Seal No. Error Message_x000a_R937340301  2018-1-3 0.0.0.0  TCLU3282230  GEID00000186  N.A. "/>
    <s v="ROSL Availed Amount(INR) Scroll Number Scroll Date_x000a_NULL  NULL  NULL  NULL "/>
    <x v="360"/>
    <x v="3"/>
    <s v="AWB No. Gateway Port Gateway EGM No. Gateway EGM Date Gateway Site ID Error Code N.A.  INPAV1  141634  2017-12-29 00:00:00.0  INPAV1  S "/>
    <x v="247"/>
  </r>
  <r>
    <x v="0"/>
    <n v="1866627"/>
    <s v="2017/12/29"/>
    <x v="215"/>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x v="226"/>
    <s v="EGM No. EGM Date Container No. Seal No. Error Message_x000a_T897341001  2018-1-10 0.0.0.0  HLXU8630693  416587  N.A. "/>
    <s v="ROSL Availed Amount(INR) Scroll Number Scroll Date_x000a_N  0  ROSL NOT CLAIMED  ROSL NOT CLAIMED "/>
    <x v="361"/>
    <x v="0"/>
    <s v="AWB No. Gateway Port Gateway EGM No. Gateway EGM Date Gateway Site ID Error Code N.A.  INMUN1  141770  2018-01-02 00:00:00.0  INMUN1  S "/>
    <x v="248"/>
  </r>
  <r>
    <x v="0"/>
    <n v="1868552"/>
    <s v="2017/12/29"/>
    <x v="219"/>
    <s v="IEC CHA No. Job No. Job Date Port of Discharge Total Package Gross Weight (Kg) FOB(INR) Total Cess (INR) Drawback STR Total (DBK+STR) CIN NO. CIN DT. Reward Flag_x000a_No Record found"/>
    <x v="224"/>
    <s v="EGM No. EGM Date Container No. Seal No. Error Message_x000a_R1977520401  2018-1-4 0.0.0.0  TRLU7451153  415871  N.A. "/>
    <s v="ROSL Availed Amount(INR) Scroll Number Scroll Date_x000a_NULL  NULL  NULL  NULL "/>
    <x v="362"/>
    <x v="1"/>
    <s v="AWB No. Gateway Port Gateway EGM No. Gateway EGM Date Gateway Site ID Error Code N.A.  INNSA1  141170  2017-12-22 00:00:00.0  INNSA1  S "/>
    <x v="249"/>
  </r>
  <r>
    <x v="0"/>
    <n v="1899578"/>
    <s v="2017/12/30"/>
    <x v="148"/>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x v="227"/>
    <s v="EGM No. EGM Date Container No. Seal No. Error Message_x000a_T437021401  2018-1-14 0.0.0.0  TEMU0782559  417070  N.A. "/>
    <s v="ROSL Availed Amount(INR) Scroll Number Scroll Date_x000a_NULL  NULL  NULL  NULL "/>
    <x v="363"/>
    <x v="0"/>
    <s v="AWB No. Gateway Port Gateway EGM No. Gateway EGM Date Gateway Site ID Error Code N.A.  INMUN1  143166  2018-01-23 00:00:00.0  INMUN1  S "/>
    <x v="243"/>
  </r>
  <r>
    <x v="0"/>
    <n v="1900474"/>
    <s v="2017/12/30"/>
    <x v="226"/>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x v="228"/>
    <s v="EGM No. EGM Date Container No. Seal No. Error Message_x000a_R1177860601  2018-1-6 0.0.0.0  CRSU1073564  416539  N.A. "/>
    <s v="ROSL Availed Amount(INR) Scroll Number Scroll Date_x000a_N  0  ROSL NOT CLAIMED  ROSL NOT CLAIMED "/>
    <x v="364"/>
    <x v="0"/>
    <s v="AWB No. Gateway Port Gateway EGM No. Gateway EGM Date Gateway Site ID Error Code N.A.  INMUN1  142204  2018-01-09 00:00:00.0  INMUN1  S "/>
    <x v="250"/>
  </r>
  <r>
    <x v="0"/>
    <n v="1904114"/>
    <s v="2017/12/30"/>
    <x v="67"/>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x v="229"/>
    <s v="EGM No. EGM Date Container No. Seal No. Error Message_x000a_R127160801  2018-1-8 0.0.0.0  DFSU7698896  001899  N.A. "/>
    <s v="ROSL Availed Amount(INR) Scroll Number Scroll Date_x000a_N  0  ROSL NOT CLAIMED  ROSL NOT CLAIMED "/>
    <x v="365"/>
    <x v="0"/>
    <s v="AWB No. Gateway Port Gateway EGM No. Gateway EGM Date Gateway Site ID Error Code N.A.  INMUN1  141231  2017-12-22 00:00:00.0  INMUN1  S "/>
    <x v="251"/>
  </r>
  <r>
    <x v="0"/>
    <n v="1905542"/>
    <s v="2017/12/30"/>
    <x v="67"/>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x v="230"/>
    <s v="EGM No. EGM Date Container No. Seal No. Error Message_x000a_R557701201  2018-1-12 0.0.0.0  BMOU6247406  416849  N.A. "/>
    <s v="ROSL Availed Amount(INR) Scroll Number Scroll Date_x000a_N  0  ROSL NOT CLAIMED  ROSL NOT CLAIMED "/>
    <x v="366"/>
    <x v="0"/>
    <s v="AWB No. Gateway Port Gateway EGM No. Gateway EGM Date Gateway Site ID Error Code N.A.  INMUN1  141231  2017-12-22 00:00:00.0  INMUN1  S "/>
    <x v="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7B265-4170-46FE-A518-0AB5A66D8418}"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F7" firstHeaderRow="1" firstDataRow="2" firstDataCol="1" rowPageCount="2" colPageCount="1"/>
  <pivotFields count="12">
    <pivotField axis="axisRow" compact="0" outline="0" showAll="0" defaultSubtotal="0">
      <items count="1">
        <item x="0"/>
      </items>
    </pivotField>
    <pivotField dataField="1" compact="0" outline="0" showAll="0" defaultSubtotal="0"/>
    <pivotField compact="0" outline="0" showAll="0" defaultSubtotal="0"/>
    <pivotField axis="axisPage" compact="0" outline="0" showAll="0" defaultSubtotal="0">
      <items count="227">
        <item x="66"/>
        <item x="168"/>
        <item x="158"/>
        <item x="127"/>
        <item x="94"/>
        <item x="151"/>
        <item x="49"/>
        <item x="214"/>
        <item x="132"/>
        <item x="150"/>
        <item x="12"/>
        <item x="38"/>
        <item x="163"/>
        <item x="205"/>
        <item x="160"/>
        <item x="33"/>
        <item x="222"/>
        <item x="77"/>
        <item x="161"/>
        <item x="203"/>
        <item x="129"/>
        <item x="149"/>
        <item x="23"/>
        <item x="28"/>
        <item x="36"/>
        <item x="220"/>
        <item x="122"/>
        <item x="157"/>
        <item x="224"/>
        <item x="50"/>
        <item x="176"/>
        <item x="179"/>
        <item x="101"/>
        <item x="202"/>
        <item x="70"/>
        <item x="143"/>
        <item x="121"/>
        <item x="64"/>
        <item x="198"/>
        <item x="204"/>
        <item x="71"/>
        <item x="152"/>
        <item x="2"/>
        <item x="105"/>
        <item x="208"/>
        <item x="84"/>
        <item x="110"/>
        <item x="142"/>
        <item x="91"/>
        <item x="10"/>
        <item x="37"/>
        <item x="166"/>
        <item x="119"/>
        <item x="5"/>
        <item x="171"/>
        <item x="1"/>
        <item x="78"/>
        <item x="182"/>
        <item x="218"/>
        <item x="99"/>
        <item x="72"/>
        <item x="24"/>
        <item x="59"/>
        <item x="31"/>
        <item x="89"/>
        <item x="3"/>
        <item x="165"/>
        <item x="90"/>
        <item x="75"/>
        <item x="120"/>
        <item x="85"/>
        <item x="58"/>
        <item x="27"/>
        <item x="45"/>
        <item x="137"/>
        <item x="17"/>
        <item x="186"/>
        <item x="93"/>
        <item x="55"/>
        <item x="136"/>
        <item x="217"/>
        <item x="21"/>
        <item x="153"/>
        <item x="191"/>
        <item x="51"/>
        <item x="22"/>
        <item x="76"/>
        <item x="79"/>
        <item x="73"/>
        <item x="164"/>
        <item x="221"/>
        <item x="65"/>
        <item x="29"/>
        <item x="123"/>
        <item x="116"/>
        <item x="193"/>
        <item x="108"/>
        <item x="60"/>
        <item x="178"/>
        <item x="104"/>
        <item x="53"/>
        <item x="196"/>
        <item x="107"/>
        <item x="63"/>
        <item x="162"/>
        <item x="81"/>
        <item x="154"/>
        <item x="113"/>
        <item x="216"/>
        <item x="54"/>
        <item x="223"/>
        <item x="30"/>
        <item x="7"/>
        <item x="6"/>
        <item x="118"/>
        <item x="43"/>
        <item x="124"/>
        <item x="146"/>
        <item x="192"/>
        <item x="52"/>
        <item x="145"/>
        <item x="57"/>
        <item x="183"/>
        <item x="177"/>
        <item x="174"/>
        <item x="139"/>
        <item x="25"/>
        <item x="109"/>
        <item x="82"/>
        <item x="126"/>
        <item x="35"/>
        <item x="112"/>
        <item x="173"/>
        <item x="209"/>
        <item x="147"/>
        <item x="102"/>
        <item x="62"/>
        <item x="98"/>
        <item x="197"/>
        <item x="95"/>
        <item x="9"/>
        <item x="88"/>
        <item x="131"/>
        <item x="83"/>
        <item x="16"/>
        <item x="41"/>
        <item x="47"/>
        <item x="144"/>
        <item x="181"/>
        <item x="34"/>
        <item x="14"/>
        <item x="199"/>
        <item x="140"/>
        <item x="148"/>
        <item x="215"/>
        <item x="189"/>
        <item x="61"/>
        <item x="48"/>
        <item x="11"/>
        <item x="68"/>
        <item x="155"/>
        <item x="74"/>
        <item x="190"/>
        <item x="26"/>
        <item x="206"/>
        <item x="213"/>
        <item x="32"/>
        <item x="8"/>
        <item x="125"/>
        <item x="159"/>
        <item x="100"/>
        <item x="134"/>
        <item x="207"/>
        <item x="67"/>
        <item x="87"/>
        <item x="42"/>
        <item x="188"/>
        <item x="4"/>
        <item x="18"/>
        <item x="167"/>
        <item x="0"/>
        <item x="92"/>
        <item x="19"/>
        <item x="128"/>
        <item x="172"/>
        <item x="44"/>
        <item x="46"/>
        <item x="117"/>
        <item x="56"/>
        <item x="138"/>
        <item x="20"/>
        <item x="175"/>
        <item x="97"/>
        <item x="114"/>
        <item x="211"/>
        <item x="225"/>
        <item x="130"/>
        <item x="210"/>
        <item x="13"/>
        <item x="111"/>
        <item x="185"/>
        <item x="156"/>
        <item x="200"/>
        <item x="86"/>
        <item x="141"/>
        <item x="201"/>
        <item x="195"/>
        <item x="212"/>
        <item x="169"/>
        <item x="184"/>
        <item x="39"/>
        <item x="69"/>
        <item x="170"/>
        <item x="15"/>
        <item x="187"/>
        <item x="103"/>
        <item x="194"/>
        <item x="133"/>
        <item x="180"/>
        <item x="96"/>
        <item x="115"/>
        <item x="80"/>
        <item x="106"/>
        <item x="40"/>
        <item x="226"/>
        <item x="135"/>
        <item x="219"/>
      </items>
    </pivotField>
    <pivotField compact="0" outline="0" showAll="0" defaultSubtotal="0"/>
    <pivotField axis="axisPage" compact="0" outline="0" showAll="0" defaultSubtotal="0">
      <items count="231">
        <item x="11"/>
        <item x="177"/>
        <item x="171"/>
        <item x="224"/>
        <item x="143"/>
        <item x="141"/>
        <item x="53"/>
        <item x="64"/>
        <item x="63"/>
        <item x="10"/>
        <item x="14"/>
        <item x="225"/>
        <item x="144"/>
        <item x="18"/>
        <item x="13"/>
        <item x="16"/>
        <item x="223"/>
        <item x="92"/>
        <item x="15"/>
        <item x="12"/>
        <item x="174"/>
        <item x="180"/>
        <item x="176"/>
        <item x="173"/>
        <item x="172"/>
        <item x="228"/>
        <item x="1"/>
        <item x="111"/>
        <item x="117"/>
        <item x="110"/>
        <item x="55"/>
        <item x="23"/>
        <item x="21"/>
        <item x="25"/>
        <item x="178"/>
        <item x="179"/>
        <item x="229"/>
        <item x="227"/>
        <item x="119"/>
        <item x="120"/>
        <item x="66"/>
        <item x="65"/>
        <item x="175"/>
        <item x="184"/>
        <item x="183"/>
        <item x="230"/>
        <item x="151"/>
        <item x="114"/>
        <item x="113"/>
        <item x="115"/>
        <item x="67"/>
        <item x="73"/>
        <item x="27"/>
        <item x="185"/>
        <item x="187"/>
        <item x="181"/>
        <item x="182"/>
        <item x="2"/>
        <item x="149"/>
        <item x="121"/>
        <item x="123"/>
        <item x="69"/>
        <item x="24"/>
        <item x="22"/>
        <item x="189"/>
        <item x="188"/>
        <item x="148"/>
        <item x="68"/>
        <item x="75"/>
        <item x="28"/>
        <item x="145"/>
        <item x="116"/>
        <item x="122"/>
        <item x="17"/>
        <item x="30"/>
        <item x="20"/>
        <item x="146"/>
        <item x="150"/>
        <item x="118"/>
        <item x="125"/>
        <item x="19"/>
        <item x="29"/>
        <item x="190"/>
        <item x="104"/>
        <item x="74"/>
        <item x="0"/>
        <item x="127"/>
        <item x="124"/>
        <item x="76"/>
        <item x="72"/>
        <item x="186"/>
        <item x="192"/>
        <item x="197"/>
        <item x="194"/>
        <item x="147"/>
        <item x="154"/>
        <item x="128"/>
        <item x="129"/>
        <item x="80"/>
        <item x="77"/>
        <item x="79"/>
        <item x="31"/>
        <item x="35"/>
        <item x="200"/>
        <item x="196"/>
        <item x="153"/>
        <item x="81"/>
        <item x="71"/>
        <item x="84"/>
        <item x="86"/>
        <item x="78"/>
        <item x="193"/>
        <item x="199"/>
        <item x="195"/>
        <item x="155"/>
        <item x="82"/>
        <item x="70"/>
        <item x="33"/>
        <item x="36"/>
        <item x="38"/>
        <item x="201"/>
        <item x="152"/>
        <item x="130"/>
        <item x="126"/>
        <item x="88"/>
        <item x="90"/>
        <item x="41"/>
        <item x="39"/>
        <item x="156"/>
        <item x="131"/>
        <item x="132"/>
        <item x="26"/>
        <item x="40"/>
        <item x="191"/>
        <item x="202"/>
        <item x="157"/>
        <item x="134"/>
        <item x="87"/>
        <item x="89"/>
        <item x="46"/>
        <item x="42"/>
        <item x="198"/>
        <item x="203"/>
        <item x="93"/>
        <item x="205"/>
        <item x="204"/>
        <item x="210"/>
        <item x="136"/>
        <item x="91"/>
        <item x="44"/>
        <item x="34"/>
        <item x="209"/>
        <item x="212"/>
        <item x="206"/>
        <item x="96"/>
        <item x="94"/>
        <item x="85"/>
        <item x="213"/>
        <item x="211"/>
        <item x="160"/>
        <item x="97"/>
        <item x="102"/>
        <item x="43"/>
        <item x="48"/>
        <item x="208"/>
        <item x="164"/>
        <item x="163"/>
        <item x="137"/>
        <item x="95"/>
        <item x="98"/>
        <item x="100"/>
        <item x="37"/>
        <item x="45"/>
        <item x="50"/>
        <item x="51"/>
        <item x="162"/>
        <item x="161"/>
        <item x="135"/>
        <item x="52"/>
        <item x="47"/>
        <item x="54"/>
        <item x="166"/>
        <item x="158"/>
        <item x="167"/>
        <item x="101"/>
        <item x="99"/>
        <item x="49"/>
        <item x="56"/>
        <item x="60"/>
        <item x="59"/>
        <item x="216"/>
        <item x="215"/>
        <item x="138"/>
        <item x="103"/>
        <item x="214"/>
        <item x="207"/>
        <item x="3"/>
        <item x="140"/>
        <item x="105"/>
        <item x="58"/>
        <item x="220"/>
        <item x="217"/>
        <item x="218"/>
        <item x="4"/>
        <item x="5"/>
        <item x="159"/>
        <item x="168"/>
        <item x="139"/>
        <item x="106"/>
        <item x="107"/>
        <item x="61"/>
        <item x="57"/>
        <item x="221"/>
        <item x="222"/>
        <item x="7"/>
        <item x="170"/>
        <item x="112"/>
        <item x="108"/>
        <item x="109"/>
        <item x="62"/>
        <item x="219"/>
        <item x="226"/>
        <item x="165"/>
        <item x="169"/>
        <item x="133"/>
        <item x="142"/>
        <item x="9"/>
        <item x="8"/>
        <item x="6"/>
        <item x="83"/>
        <item x="32"/>
      </items>
    </pivotField>
    <pivotField compact="0" outline="0" showAll="0" defaultSubtotal="0"/>
    <pivotField compact="0" outline="0" showAll="0" defaultSubtotal="0"/>
    <pivotField compact="0" outline="0" showAll="0" defaultSubtotal="0"/>
    <pivotField axis="axisCol" compact="0" outline="0" subtotalTop="0" showAll="0" defaultSubtotal="0">
      <items count="4">
        <item x="2"/>
        <item x="0"/>
        <item x="1"/>
        <item x="3"/>
      </items>
    </pivotField>
    <pivotField compact="0" outline="0" subtotalTop="0" showAll="0" defaultSubtotal="0"/>
    <pivotField compact="0" outline="0" showAll="0" defaultSubtotal="0">
      <items count="252">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s>
    </pivotField>
  </pivotFields>
  <rowFields count="1">
    <field x="0"/>
  </rowFields>
  <rowItems count="2">
    <i>
      <x/>
    </i>
    <i t="grand">
      <x/>
    </i>
  </rowItems>
  <colFields count="1">
    <field x="9"/>
  </colFields>
  <colItems count="5">
    <i>
      <x/>
    </i>
    <i>
      <x v="1"/>
    </i>
    <i>
      <x v="2"/>
    </i>
    <i>
      <x v="3"/>
    </i>
    <i t="grand">
      <x/>
    </i>
  </colItems>
  <pageFields count="2">
    <pageField fld="5" hier="-1"/>
    <pageField fld="3" hier="-1"/>
  </pageFields>
  <dataFields count="1">
    <dataField name="Count of SB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B5FB69-8120-46BE-959C-76EEE6927FA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C461" firstHeaderRow="1" firstDataRow="1" firstDataCol="2" rowPageCount="2" colPageCount="1"/>
  <pivotFields count="12">
    <pivotField axis="axisRow" compact="0" outline="0" subtotalTop="0" showAll="0">
      <items count="2">
        <item sd="0" x="0"/>
        <item t="default"/>
      </items>
    </pivotField>
    <pivotField dataField="1" compact="0" outline="0" subtotalTop="0" showAll="0"/>
    <pivotField compact="0" outline="0" subtotalTop="0" showAll="0"/>
    <pivotField axis="axisRow" compact="0" outline="0" subtotalTop="0" showAll="0">
      <items count="228">
        <item sd="0" x="66"/>
        <item x="168"/>
        <item x="158"/>
        <item x="127"/>
        <item x="94"/>
        <item x="151"/>
        <item x="49"/>
        <item x="214"/>
        <item x="132"/>
        <item x="150"/>
        <item x="12"/>
        <item x="38"/>
        <item x="163"/>
        <item x="205"/>
        <item x="160"/>
        <item x="33"/>
        <item x="222"/>
        <item x="77"/>
        <item x="161"/>
        <item x="203"/>
        <item x="129"/>
        <item x="149"/>
        <item x="23"/>
        <item x="28"/>
        <item x="36"/>
        <item x="220"/>
        <item x="122"/>
        <item x="157"/>
        <item x="224"/>
        <item x="50"/>
        <item x="176"/>
        <item x="179"/>
        <item x="101"/>
        <item x="202"/>
        <item x="70"/>
        <item x="143"/>
        <item x="121"/>
        <item x="64"/>
        <item x="198"/>
        <item x="204"/>
        <item x="71"/>
        <item x="152"/>
        <item x="2"/>
        <item x="105"/>
        <item x="208"/>
        <item x="84"/>
        <item x="110"/>
        <item x="142"/>
        <item x="91"/>
        <item x="10"/>
        <item x="37"/>
        <item x="166"/>
        <item x="119"/>
        <item x="5"/>
        <item x="171"/>
        <item x="1"/>
        <item x="78"/>
        <item x="182"/>
        <item x="218"/>
        <item x="99"/>
        <item x="72"/>
        <item x="24"/>
        <item x="59"/>
        <item x="31"/>
        <item x="89"/>
        <item x="3"/>
        <item x="165"/>
        <item x="90"/>
        <item x="75"/>
        <item x="120"/>
        <item x="85"/>
        <item x="58"/>
        <item x="27"/>
        <item x="45"/>
        <item x="137"/>
        <item x="17"/>
        <item x="186"/>
        <item x="93"/>
        <item x="55"/>
        <item x="136"/>
        <item x="217"/>
        <item x="21"/>
        <item x="153"/>
        <item x="191"/>
        <item x="51"/>
        <item x="22"/>
        <item x="76"/>
        <item x="79"/>
        <item x="73"/>
        <item x="164"/>
        <item x="221"/>
        <item x="65"/>
        <item x="29"/>
        <item x="123"/>
        <item x="116"/>
        <item x="193"/>
        <item x="108"/>
        <item x="60"/>
        <item x="178"/>
        <item x="104"/>
        <item x="53"/>
        <item x="196"/>
        <item x="107"/>
        <item x="63"/>
        <item x="162"/>
        <item x="81"/>
        <item x="154"/>
        <item x="113"/>
        <item x="216"/>
        <item x="54"/>
        <item x="223"/>
        <item x="30"/>
        <item x="7"/>
        <item x="6"/>
        <item x="118"/>
        <item x="43"/>
        <item x="124"/>
        <item x="146"/>
        <item x="192"/>
        <item x="52"/>
        <item x="145"/>
        <item x="57"/>
        <item x="183"/>
        <item x="177"/>
        <item x="174"/>
        <item x="139"/>
        <item x="25"/>
        <item x="109"/>
        <item x="82"/>
        <item x="126"/>
        <item x="35"/>
        <item x="112"/>
        <item x="173"/>
        <item x="209"/>
        <item x="147"/>
        <item x="102"/>
        <item x="62"/>
        <item x="98"/>
        <item x="197"/>
        <item x="95"/>
        <item x="9"/>
        <item x="88"/>
        <item x="131"/>
        <item x="83"/>
        <item x="16"/>
        <item x="41"/>
        <item x="47"/>
        <item x="144"/>
        <item x="181"/>
        <item x="34"/>
        <item x="14"/>
        <item x="199"/>
        <item x="140"/>
        <item x="148"/>
        <item x="215"/>
        <item x="189"/>
        <item x="61"/>
        <item x="48"/>
        <item x="11"/>
        <item x="68"/>
        <item x="155"/>
        <item x="74"/>
        <item x="190"/>
        <item x="26"/>
        <item x="206"/>
        <item x="213"/>
        <item x="32"/>
        <item x="8"/>
        <item x="125"/>
        <item x="159"/>
        <item x="100"/>
        <item x="134"/>
        <item x="207"/>
        <item x="67"/>
        <item x="87"/>
        <item x="42"/>
        <item x="188"/>
        <item x="4"/>
        <item x="18"/>
        <item x="167"/>
        <item x="0"/>
        <item x="92"/>
        <item x="19"/>
        <item x="128"/>
        <item x="172"/>
        <item x="44"/>
        <item x="46"/>
        <item x="117"/>
        <item x="56"/>
        <item x="138"/>
        <item x="20"/>
        <item x="175"/>
        <item x="97"/>
        <item x="114"/>
        <item x="211"/>
        <item x="225"/>
        <item x="130"/>
        <item x="210"/>
        <item x="13"/>
        <item x="111"/>
        <item x="185"/>
        <item x="156"/>
        <item x="200"/>
        <item x="86"/>
        <item x="141"/>
        <item x="201"/>
        <item x="195"/>
        <item x="212"/>
        <item x="169"/>
        <item x="184"/>
        <item x="39"/>
        <item x="69"/>
        <item x="170"/>
        <item x="15"/>
        <item x="187"/>
        <item x="103"/>
        <item x="194"/>
        <item x="133"/>
        <item x="180"/>
        <item x="96"/>
        <item x="115"/>
        <item x="80"/>
        <item x="106"/>
        <item x="40"/>
        <item x="226"/>
        <item x="135"/>
        <item x="219"/>
        <item t="default"/>
      </items>
    </pivotField>
    <pivotField compact="0" outline="0" subtotalTop="0" showAll="0"/>
    <pivotField axis="axisPage" compact="0" outline="0" subtotalTop="0" showAll="0">
      <items count="232">
        <item x="11"/>
        <item x="177"/>
        <item x="171"/>
        <item x="224"/>
        <item x="143"/>
        <item x="141"/>
        <item x="53"/>
        <item x="64"/>
        <item x="63"/>
        <item x="10"/>
        <item x="14"/>
        <item x="225"/>
        <item x="144"/>
        <item x="18"/>
        <item x="13"/>
        <item x="16"/>
        <item x="223"/>
        <item x="92"/>
        <item x="15"/>
        <item x="12"/>
        <item x="174"/>
        <item x="180"/>
        <item x="176"/>
        <item x="173"/>
        <item x="172"/>
        <item x="228"/>
        <item x="1"/>
        <item x="111"/>
        <item x="117"/>
        <item x="110"/>
        <item x="55"/>
        <item x="23"/>
        <item x="21"/>
        <item x="25"/>
        <item x="178"/>
        <item x="179"/>
        <item x="229"/>
        <item x="227"/>
        <item x="119"/>
        <item x="120"/>
        <item x="66"/>
        <item x="65"/>
        <item x="175"/>
        <item x="184"/>
        <item x="183"/>
        <item x="230"/>
        <item x="151"/>
        <item x="114"/>
        <item x="113"/>
        <item x="115"/>
        <item x="67"/>
        <item x="73"/>
        <item x="27"/>
        <item x="185"/>
        <item x="187"/>
        <item x="181"/>
        <item x="182"/>
        <item x="2"/>
        <item x="149"/>
        <item x="121"/>
        <item x="123"/>
        <item x="69"/>
        <item x="24"/>
        <item x="22"/>
        <item x="189"/>
        <item x="188"/>
        <item x="148"/>
        <item x="68"/>
        <item x="75"/>
        <item x="28"/>
        <item x="145"/>
        <item x="116"/>
        <item x="122"/>
        <item x="17"/>
        <item x="30"/>
        <item x="20"/>
        <item x="146"/>
        <item x="150"/>
        <item x="118"/>
        <item x="125"/>
        <item x="19"/>
        <item x="29"/>
        <item x="190"/>
        <item x="104"/>
        <item x="74"/>
        <item x="0"/>
        <item x="127"/>
        <item x="124"/>
        <item x="76"/>
        <item x="72"/>
        <item x="186"/>
        <item x="192"/>
        <item x="197"/>
        <item x="194"/>
        <item x="147"/>
        <item x="154"/>
        <item x="128"/>
        <item x="129"/>
        <item x="80"/>
        <item x="77"/>
        <item x="79"/>
        <item x="31"/>
        <item x="35"/>
        <item x="200"/>
        <item x="196"/>
        <item x="153"/>
        <item x="81"/>
        <item x="71"/>
        <item x="84"/>
        <item x="86"/>
        <item x="78"/>
        <item x="193"/>
        <item x="199"/>
        <item x="195"/>
        <item x="155"/>
        <item x="82"/>
        <item x="70"/>
        <item x="33"/>
        <item x="36"/>
        <item x="38"/>
        <item x="201"/>
        <item x="152"/>
        <item x="130"/>
        <item x="126"/>
        <item x="88"/>
        <item x="90"/>
        <item x="41"/>
        <item x="39"/>
        <item x="156"/>
        <item x="131"/>
        <item x="132"/>
        <item x="26"/>
        <item x="40"/>
        <item x="191"/>
        <item x="202"/>
        <item x="157"/>
        <item x="134"/>
        <item x="87"/>
        <item x="89"/>
        <item x="46"/>
        <item x="42"/>
        <item x="198"/>
        <item x="203"/>
        <item x="93"/>
        <item x="205"/>
        <item x="204"/>
        <item x="210"/>
        <item x="136"/>
        <item x="91"/>
        <item x="44"/>
        <item x="34"/>
        <item x="209"/>
        <item x="212"/>
        <item x="206"/>
        <item x="96"/>
        <item x="94"/>
        <item x="85"/>
        <item x="213"/>
        <item x="211"/>
        <item x="160"/>
        <item x="97"/>
        <item x="102"/>
        <item x="43"/>
        <item x="48"/>
        <item x="208"/>
        <item x="164"/>
        <item x="163"/>
        <item x="137"/>
        <item x="95"/>
        <item x="98"/>
        <item x="100"/>
        <item x="37"/>
        <item x="45"/>
        <item x="50"/>
        <item x="51"/>
        <item x="162"/>
        <item x="161"/>
        <item x="135"/>
        <item x="52"/>
        <item x="47"/>
        <item x="54"/>
        <item x="166"/>
        <item x="158"/>
        <item x="167"/>
        <item x="101"/>
        <item x="99"/>
        <item x="49"/>
        <item x="56"/>
        <item x="60"/>
        <item x="59"/>
        <item x="216"/>
        <item x="215"/>
        <item x="138"/>
        <item x="103"/>
        <item x="214"/>
        <item x="207"/>
        <item x="3"/>
        <item x="140"/>
        <item x="105"/>
        <item x="58"/>
        <item x="220"/>
        <item x="217"/>
        <item x="218"/>
        <item x="4"/>
        <item x="5"/>
        <item x="159"/>
        <item x="168"/>
        <item x="139"/>
        <item x="106"/>
        <item x="107"/>
        <item x="61"/>
        <item x="57"/>
        <item x="221"/>
        <item x="222"/>
        <item x="7"/>
        <item x="170"/>
        <item x="112"/>
        <item x="108"/>
        <item x="109"/>
        <item x="62"/>
        <item x="219"/>
        <item x="226"/>
        <item x="165"/>
        <item x="169"/>
        <item x="133"/>
        <item x="142"/>
        <item x="9"/>
        <item x="8"/>
        <item x="6"/>
        <item x="83"/>
        <item x="32"/>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axis="axisPage" compact="0" outline="0" subtotalTop="0" showAll="0">
      <items count="253">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s>
  <rowFields count="2">
    <field x="3"/>
    <field x="0"/>
  </rowFields>
  <rowItems count="454">
    <i>
      <x/>
    </i>
    <i>
      <x v="1"/>
      <x/>
    </i>
    <i t="default">
      <x v="1"/>
    </i>
    <i>
      <x v="2"/>
      <x/>
    </i>
    <i t="default">
      <x v="2"/>
    </i>
    <i>
      <x v="3"/>
      <x/>
    </i>
    <i t="default">
      <x v="3"/>
    </i>
    <i>
      <x v="4"/>
      <x/>
    </i>
    <i t="default">
      <x v="4"/>
    </i>
    <i>
      <x v="5"/>
      <x/>
    </i>
    <i t="default">
      <x v="5"/>
    </i>
    <i>
      <x v="6"/>
      <x/>
    </i>
    <i t="default">
      <x v="6"/>
    </i>
    <i>
      <x v="7"/>
      <x/>
    </i>
    <i t="default">
      <x v="7"/>
    </i>
    <i>
      <x v="8"/>
      <x/>
    </i>
    <i t="default">
      <x v="8"/>
    </i>
    <i>
      <x v="9"/>
      <x/>
    </i>
    <i t="default">
      <x v="9"/>
    </i>
    <i>
      <x v="10"/>
      <x/>
    </i>
    <i t="default">
      <x v="10"/>
    </i>
    <i>
      <x v="11"/>
      <x/>
    </i>
    <i t="default">
      <x v="11"/>
    </i>
    <i>
      <x v="12"/>
      <x/>
    </i>
    <i t="default">
      <x v="12"/>
    </i>
    <i>
      <x v="13"/>
      <x/>
    </i>
    <i t="default">
      <x v="13"/>
    </i>
    <i>
      <x v="14"/>
      <x/>
    </i>
    <i t="default">
      <x v="14"/>
    </i>
    <i>
      <x v="15"/>
      <x/>
    </i>
    <i t="default">
      <x v="15"/>
    </i>
    <i>
      <x v="16"/>
      <x/>
    </i>
    <i t="default">
      <x v="16"/>
    </i>
    <i>
      <x v="17"/>
      <x/>
    </i>
    <i t="default">
      <x v="17"/>
    </i>
    <i>
      <x v="18"/>
      <x/>
    </i>
    <i t="default">
      <x v="18"/>
    </i>
    <i>
      <x v="19"/>
      <x/>
    </i>
    <i t="default">
      <x v="19"/>
    </i>
    <i>
      <x v="20"/>
      <x/>
    </i>
    <i t="default">
      <x v="20"/>
    </i>
    <i>
      <x v="21"/>
      <x/>
    </i>
    <i t="default">
      <x v="21"/>
    </i>
    <i>
      <x v="22"/>
      <x/>
    </i>
    <i t="default">
      <x v="22"/>
    </i>
    <i>
      <x v="23"/>
      <x/>
    </i>
    <i t="default">
      <x v="23"/>
    </i>
    <i>
      <x v="24"/>
      <x/>
    </i>
    <i t="default">
      <x v="24"/>
    </i>
    <i>
      <x v="25"/>
      <x/>
    </i>
    <i t="default">
      <x v="25"/>
    </i>
    <i>
      <x v="26"/>
      <x/>
    </i>
    <i t="default">
      <x v="26"/>
    </i>
    <i>
      <x v="27"/>
      <x/>
    </i>
    <i t="default">
      <x v="27"/>
    </i>
    <i>
      <x v="28"/>
      <x/>
    </i>
    <i t="default">
      <x v="28"/>
    </i>
    <i>
      <x v="29"/>
      <x/>
    </i>
    <i t="default">
      <x v="29"/>
    </i>
    <i>
      <x v="30"/>
      <x/>
    </i>
    <i t="default">
      <x v="30"/>
    </i>
    <i>
      <x v="31"/>
      <x/>
    </i>
    <i t="default">
      <x v="31"/>
    </i>
    <i>
      <x v="32"/>
      <x/>
    </i>
    <i t="default">
      <x v="32"/>
    </i>
    <i>
      <x v="33"/>
      <x/>
    </i>
    <i t="default">
      <x v="33"/>
    </i>
    <i>
      <x v="34"/>
      <x/>
    </i>
    <i t="default">
      <x v="34"/>
    </i>
    <i>
      <x v="35"/>
      <x/>
    </i>
    <i t="default">
      <x v="35"/>
    </i>
    <i>
      <x v="36"/>
      <x/>
    </i>
    <i t="default">
      <x v="36"/>
    </i>
    <i>
      <x v="37"/>
      <x/>
    </i>
    <i t="default">
      <x v="37"/>
    </i>
    <i>
      <x v="38"/>
      <x/>
    </i>
    <i t="default">
      <x v="38"/>
    </i>
    <i>
      <x v="39"/>
      <x/>
    </i>
    <i t="default">
      <x v="39"/>
    </i>
    <i>
      <x v="40"/>
      <x/>
    </i>
    <i t="default">
      <x v="40"/>
    </i>
    <i>
      <x v="41"/>
      <x/>
    </i>
    <i t="default">
      <x v="41"/>
    </i>
    <i>
      <x v="42"/>
      <x/>
    </i>
    <i t="default">
      <x v="42"/>
    </i>
    <i>
      <x v="43"/>
      <x/>
    </i>
    <i t="default">
      <x v="43"/>
    </i>
    <i>
      <x v="44"/>
      <x/>
    </i>
    <i t="default">
      <x v="44"/>
    </i>
    <i>
      <x v="45"/>
      <x/>
    </i>
    <i t="default">
      <x v="45"/>
    </i>
    <i>
      <x v="46"/>
      <x/>
    </i>
    <i t="default">
      <x v="46"/>
    </i>
    <i>
      <x v="47"/>
      <x/>
    </i>
    <i t="default">
      <x v="47"/>
    </i>
    <i>
      <x v="48"/>
      <x/>
    </i>
    <i t="default">
      <x v="48"/>
    </i>
    <i>
      <x v="49"/>
      <x/>
    </i>
    <i t="default">
      <x v="49"/>
    </i>
    <i>
      <x v="50"/>
      <x/>
    </i>
    <i t="default">
      <x v="50"/>
    </i>
    <i>
      <x v="51"/>
      <x/>
    </i>
    <i t="default">
      <x v="51"/>
    </i>
    <i>
      <x v="52"/>
      <x/>
    </i>
    <i t="default">
      <x v="52"/>
    </i>
    <i>
      <x v="53"/>
      <x/>
    </i>
    <i t="default">
      <x v="53"/>
    </i>
    <i>
      <x v="54"/>
      <x/>
    </i>
    <i t="default">
      <x v="54"/>
    </i>
    <i>
      <x v="55"/>
      <x/>
    </i>
    <i t="default">
      <x v="55"/>
    </i>
    <i>
      <x v="56"/>
      <x/>
    </i>
    <i t="default">
      <x v="56"/>
    </i>
    <i>
      <x v="57"/>
      <x/>
    </i>
    <i t="default">
      <x v="57"/>
    </i>
    <i>
      <x v="58"/>
      <x/>
    </i>
    <i t="default">
      <x v="58"/>
    </i>
    <i>
      <x v="59"/>
      <x/>
    </i>
    <i t="default">
      <x v="59"/>
    </i>
    <i>
      <x v="60"/>
      <x/>
    </i>
    <i t="default">
      <x v="60"/>
    </i>
    <i>
      <x v="61"/>
      <x/>
    </i>
    <i t="default">
      <x v="61"/>
    </i>
    <i>
      <x v="62"/>
      <x/>
    </i>
    <i t="default">
      <x v="62"/>
    </i>
    <i>
      <x v="63"/>
      <x/>
    </i>
    <i t="default">
      <x v="63"/>
    </i>
    <i>
      <x v="64"/>
      <x/>
    </i>
    <i t="default">
      <x v="64"/>
    </i>
    <i>
      <x v="65"/>
      <x/>
    </i>
    <i t="default">
      <x v="65"/>
    </i>
    <i>
      <x v="66"/>
      <x/>
    </i>
    <i t="default">
      <x v="66"/>
    </i>
    <i>
      <x v="67"/>
      <x/>
    </i>
    <i t="default">
      <x v="67"/>
    </i>
    <i>
      <x v="68"/>
      <x/>
    </i>
    <i t="default">
      <x v="68"/>
    </i>
    <i>
      <x v="69"/>
      <x/>
    </i>
    <i t="default">
      <x v="69"/>
    </i>
    <i>
      <x v="70"/>
      <x/>
    </i>
    <i t="default">
      <x v="70"/>
    </i>
    <i>
      <x v="71"/>
      <x/>
    </i>
    <i t="default">
      <x v="71"/>
    </i>
    <i>
      <x v="72"/>
      <x/>
    </i>
    <i t="default">
      <x v="72"/>
    </i>
    <i>
      <x v="73"/>
      <x/>
    </i>
    <i t="default">
      <x v="73"/>
    </i>
    <i>
      <x v="74"/>
      <x/>
    </i>
    <i t="default">
      <x v="74"/>
    </i>
    <i>
      <x v="75"/>
      <x/>
    </i>
    <i t="default">
      <x v="75"/>
    </i>
    <i>
      <x v="76"/>
      <x/>
    </i>
    <i t="default">
      <x v="76"/>
    </i>
    <i>
      <x v="77"/>
      <x/>
    </i>
    <i t="default">
      <x v="77"/>
    </i>
    <i>
      <x v="78"/>
      <x/>
    </i>
    <i t="default">
      <x v="78"/>
    </i>
    <i>
      <x v="79"/>
      <x/>
    </i>
    <i t="default">
      <x v="79"/>
    </i>
    <i>
      <x v="80"/>
      <x/>
    </i>
    <i t="default">
      <x v="80"/>
    </i>
    <i>
      <x v="81"/>
      <x/>
    </i>
    <i t="default">
      <x v="81"/>
    </i>
    <i>
      <x v="82"/>
      <x/>
    </i>
    <i t="default">
      <x v="82"/>
    </i>
    <i>
      <x v="83"/>
      <x/>
    </i>
    <i t="default">
      <x v="83"/>
    </i>
    <i>
      <x v="84"/>
      <x/>
    </i>
    <i t="default">
      <x v="84"/>
    </i>
    <i>
      <x v="85"/>
      <x/>
    </i>
    <i t="default">
      <x v="85"/>
    </i>
    <i>
      <x v="86"/>
      <x/>
    </i>
    <i t="default">
      <x v="86"/>
    </i>
    <i>
      <x v="87"/>
      <x/>
    </i>
    <i t="default">
      <x v="87"/>
    </i>
    <i>
      <x v="88"/>
      <x/>
    </i>
    <i t="default">
      <x v="88"/>
    </i>
    <i>
      <x v="89"/>
      <x/>
    </i>
    <i t="default">
      <x v="89"/>
    </i>
    <i>
      <x v="90"/>
      <x/>
    </i>
    <i t="default">
      <x v="90"/>
    </i>
    <i>
      <x v="91"/>
      <x/>
    </i>
    <i t="default">
      <x v="91"/>
    </i>
    <i>
      <x v="92"/>
      <x/>
    </i>
    <i t="default">
      <x v="92"/>
    </i>
    <i>
      <x v="93"/>
      <x/>
    </i>
    <i t="default">
      <x v="93"/>
    </i>
    <i>
      <x v="94"/>
      <x/>
    </i>
    <i t="default">
      <x v="94"/>
    </i>
    <i>
      <x v="95"/>
      <x/>
    </i>
    <i t="default">
      <x v="95"/>
    </i>
    <i>
      <x v="96"/>
      <x/>
    </i>
    <i t="default">
      <x v="96"/>
    </i>
    <i>
      <x v="97"/>
      <x/>
    </i>
    <i t="default">
      <x v="97"/>
    </i>
    <i>
      <x v="98"/>
      <x/>
    </i>
    <i t="default">
      <x v="98"/>
    </i>
    <i>
      <x v="99"/>
      <x/>
    </i>
    <i t="default">
      <x v="99"/>
    </i>
    <i>
      <x v="100"/>
      <x/>
    </i>
    <i t="default">
      <x v="100"/>
    </i>
    <i>
      <x v="101"/>
      <x/>
    </i>
    <i t="default">
      <x v="101"/>
    </i>
    <i>
      <x v="102"/>
      <x/>
    </i>
    <i t="default">
      <x v="102"/>
    </i>
    <i>
      <x v="103"/>
      <x/>
    </i>
    <i t="default">
      <x v="103"/>
    </i>
    <i>
      <x v="104"/>
      <x/>
    </i>
    <i t="default">
      <x v="104"/>
    </i>
    <i>
      <x v="105"/>
      <x/>
    </i>
    <i t="default">
      <x v="105"/>
    </i>
    <i>
      <x v="106"/>
      <x/>
    </i>
    <i t="default">
      <x v="106"/>
    </i>
    <i>
      <x v="107"/>
      <x/>
    </i>
    <i t="default">
      <x v="107"/>
    </i>
    <i>
      <x v="108"/>
      <x/>
    </i>
    <i t="default">
      <x v="108"/>
    </i>
    <i>
      <x v="109"/>
      <x/>
    </i>
    <i t="default">
      <x v="109"/>
    </i>
    <i>
      <x v="110"/>
      <x/>
    </i>
    <i t="default">
      <x v="110"/>
    </i>
    <i>
      <x v="111"/>
      <x/>
    </i>
    <i t="default">
      <x v="111"/>
    </i>
    <i>
      <x v="112"/>
      <x/>
    </i>
    <i t="default">
      <x v="112"/>
    </i>
    <i>
      <x v="113"/>
      <x/>
    </i>
    <i t="default">
      <x v="113"/>
    </i>
    <i>
      <x v="114"/>
      <x/>
    </i>
    <i t="default">
      <x v="114"/>
    </i>
    <i>
      <x v="115"/>
      <x/>
    </i>
    <i t="default">
      <x v="115"/>
    </i>
    <i>
      <x v="116"/>
      <x/>
    </i>
    <i t="default">
      <x v="116"/>
    </i>
    <i>
      <x v="117"/>
      <x/>
    </i>
    <i t="default">
      <x v="117"/>
    </i>
    <i>
      <x v="118"/>
      <x/>
    </i>
    <i t="default">
      <x v="118"/>
    </i>
    <i>
      <x v="119"/>
      <x/>
    </i>
    <i t="default">
      <x v="119"/>
    </i>
    <i>
      <x v="120"/>
      <x/>
    </i>
    <i t="default">
      <x v="120"/>
    </i>
    <i>
      <x v="121"/>
      <x/>
    </i>
    <i t="default">
      <x v="121"/>
    </i>
    <i>
      <x v="122"/>
      <x/>
    </i>
    <i t="default">
      <x v="122"/>
    </i>
    <i>
      <x v="123"/>
      <x/>
    </i>
    <i t="default">
      <x v="123"/>
    </i>
    <i>
      <x v="124"/>
      <x/>
    </i>
    <i t="default">
      <x v="124"/>
    </i>
    <i>
      <x v="125"/>
      <x/>
    </i>
    <i t="default">
      <x v="125"/>
    </i>
    <i>
      <x v="126"/>
      <x/>
    </i>
    <i t="default">
      <x v="126"/>
    </i>
    <i>
      <x v="127"/>
      <x/>
    </i>
    <i t="default">
      <x v="127"/>
    </i>
    <i>
      <x v="128"/>
      <x/>
    </i>
    <i t="default">
      <x v="128"/>
    </i>
    <i>
      <x v="129"/>
      <x/>
    </i>
    <i t="default">
      <x v="129"/>
    </i>
    <i>
      <x v="130"/>
      <x/>
    </i>
    <i t="default">
      <x v="130"/>
    </i>
    <i>
      <x v="131"/>
      <x/>
    </i>
    <i t="default">
      <x v="131"/>
    </i>
    <i>
      <x v="132"/>
      <x/>
    </i>
    <i t="default">
      <x v="132"/>
    </i>
    <i>
      <x v="133"/>
      <x/>
    </i>
    <i t="default">
      <x v="133"/>
    </i>
    <i>
      <x v="134"/>
      <x/>
    </i>
    <i t="default">
      <x v="134"/>
    </i>
    <i>
      <x v="135"/>
      <x/>
    </i>
    <i t="default">
      <x v="135"/>
    </i>
    <i>
      <x v="136"/>
      <x/>
    </i>
    <i t="default">
      <x v="136"/>
    </i>
    <i>
      <x v="137"/>
      <x/>
    </i>
    <i t="default">
      <x v="137"/>
    </i>
    <i>
      <x v="138"/>
      <x/>
    </i>
    <i t="default">
      <x v="138"/>
    </i>
    <i>
      <x v="139"/>
      <x/>
    </i>
    <i t="default">
      <x v="139"/>
    </i>
    <i>
      <x v="140"/>
      <x/>
    </i>
    <i t="default">
      <x v="140"/>
    </i>
    <i>
      <x v="141"/>
      <x/>
    </i>
    <i t="default">
      <x v="141"/>
    </i>
    <i>
      <x v="142"/>
      <x/>
    </i>
    <i t="default">
      <x v="142"/>
    </i>
    <i>
      <x v="143"/>
      <x/>
    </i>
    <i t="default">
      <x v="143"/>
    </i>
    <i>
      <x v="144"/>
      <x/>
    </i>
    <i t="default">
      <x v="144"/>
    </i>
    <i>
      <x v="145"/>
      <x/>
    </i>
    <i t="default">
      <x v="145"/>
    </i>
    <i>
      <x v="146"/>
      <x/>
    </i>
    <i t="default">
      <x v="146"/>
    </i>
    <i>
      <x v="147"/>
      <x/>
    </i>
    <i t="default">
      <x v="147"/>
    </i>
    <i>
      <x v="148"/>
      <x/>
    </i>
    <i t="default">
      <x v="148"/>
    </i>
    <i>
      <x v="149"/>
      <x/>
    </i>
    <i t="default">
      <x v="149"/>
    </i>
    <i>
      <x v="150"/>
      <x/>
    </i>
    <i t="default">
      <x v="150"/>
    </i>
    <i>
      <x v="151"/>
      <x/>
    </i>
    <i t="default">
      <x v="151"/>
    </i>
    <i>
      <x v="152"/>
      <x/>
    </i>
    <i t="default">
      <x v="152"/>
    </i>
    <i>
      <x v="153"/>
      <x/>
    </i>
    <i t="default">
      <x v="153"/>
    </i>
    <i>
      <x v="154"/>
      <x/>
    </i>
    <i t="default">
      <x v="154"/>
    </i>
    <i>
      <x v="155"/>
      <x/>
    </i>
    <i t="default">
      <x v="155"/>
    </i>
    <i>
      <x v="156"/>
      <x/>
    </i>
    <i t="default">
      <x v="156"/>
    </i>
    <i>
      <x v="157"/>
      <x/>
    </i>
    <i t="default">
      <x v="157"/>
    </i>
    <i>
      <x v="158"/>
      <x/>
    </i>
    <i t="default">
      <x v="158"/>
    </i>
    <i>
      <x v="159"/>
      <x/>
    </i>
    <i t="default">
      <x v="159"/>
    </i>
    <i>
      <x v="160"/>
      <x/>
    </i>
    <i t="default">
      <x v="160"/>
    </i>
    <i>
      <x v="161"/>
      <x/>
    </i>
    <i t="default">
      <x v="161"/>
    </i>
    <i>
      <x v="162"/>
      <x/>
    </i>
    <i t="default">
      <x v="162"/>
    </i>
    <i>
      <x v="163"/>
      <x/>
    </i>
    <i t="default">
      <x v="163"/>
    </i>
    <i>
      <x v="164"/>
      <x/>
    </i>
    <i t="default">
      <x v="164"/>
    </i>
    <i>
      <x v="165"/>
      <x/>
    </i>
    <i t="default">
      <x v="165"/>
    </i>
    <i>
      <x v="166"/>
      <x/>
    </i>
    <i t="default">
      <x v="166"/>
    </i>
    <i>
      <x v="167"/>
      <x/>
    </i>
    <i t="default">
      <x v="167"/>
    </i>
    <i>
      <x v="168"/>
      <x/>
    </i>
    <i t="default">
      <x v="168"/>
    </i>
    <i>
      <x v="169"/>
      <x/>
    </i>
    <i t="default">
      <x v="169"/>
    </i>
    <i>
      <x v="170"/>
      <x/>
    </i>
    <i t="default">
      <x v="170"/>
    </i>
    <i>
      <x v="171"/>
      <x/>
    </i>
    <i t="default">
      <x v="171"/>
    </i>
    <i>
      <x v="172"/>
      <x/>
    </i>
    <i t="default">
      <x v="172"/>
    </i>
    <i>
      <x v="173"/>
      <x/>
    </i>
    <i t="default">
      <x v="173"/>
    </i>
    <i>
      <x v="174"/>
      <x/>
    </i>
    <i t="default">
      <x v="174"/>
    </i>
    <i>
      <x v="175"/>
      <x/>
    </i>
    <i t="default">
      <x v="175"/>
    </i>
    <i>
      <x v="176"/>
      <x/>
    </i>
    <i t="default">
      <x v="176"/>
    </i>
    <i>
      <x v="177"/>
      <x/>
    </i>
    <i t="default">
      <x v="177"/>
    </i>
    <i>
      <x v="178"/>
      <x/>
    </i>
    <i t="default">
      <x v="178"/>
    </i>
    <i>
      <x v="179"/>
      <x/>
    </i>
    <i t="default">
      <x v="179"/>
    </i>
    <i>
      <x v="180"/>
      <x/>
    </i>
    <i t="default">
      <x v="180"/>
    </i>
    <i>
      <x v="181"/>
      <x/>
    </i>
    <i t="default">
      <x v="181"/>
    </i>
    <i>
      <x v="182"/>
      <x/>
    </i>
    <i t="default">
      <x v="182"/>
    </i>
    <i>
      <x v="183"/>
      <x/>
    </i>
    <i t="default">
      <x v="183"/>
    </i>
    <i>
      <x v="184"/>
      <x/>
    </i>
    <i t="default">
      <x v="184"/>
    </i>
    <i>
      <x v="185"/>
      <x/>
    </i>
    <i t="default">
      <x v="185"/>
    </i>
    <i>
      <x v="186"/>
      <x/>
    </i>
    <i t="default">
      <x v="186"/>
    </i>
    <i>
      <x v="187"/>
      <x/>
    </i>
    <i t="default">
      <x v="187"/>
    </i>
    <i>
      <x v="188"/>
      <x/>
    </i>
    <i t="default">
      <x v="188"/>
    </i>
    <i>
      <x v="189"/>
      <x/>
    </i>
    <i t="default">
      <x v="189"/>
    </i>
    <i>
      <x v="190"/>
      <x/>
    </i>
    <i t="default">
      <x v="190"/>
    </i>
    <i>
      <x v="191"/>
      <x/>
    </i>
    <i t="default">
      <x v="191"/>
    </i>
    <i>
      <x v="192"/>
      <x/>
    </i>
    <i t="default">
      <x v="192"/>
    </i>
    <i>
      <x v="193"/>
      <x/>
    </i>
    <i t="default">
      <x v="193"/>
    </i>
    <i>
      <x v="194"/>
      <x/>
    </i>
    <i t="default">
      <x v="194"/>
    </i>
    <i>
      <x v="195"/>
      <x/>
    </i>
    <i t="default">
      <x v="195"/>
    </i>
    <i>
      <x v="196"/>
      <x/>
    </i>
    <i t="default">
      <x v="196"/>
    </i>
    <i>
      <x v="197"/>
      <x/>
    </i>
    <i t="default">
      <x v="197"/>
    </i>
    <i>
      <x v="198"/>
      <x/>
    </i>
    <i t="default">
      <x v="198"/>
    </i>
    <i>
      <x v="199"/>
      <x/>
    </i>
    <i t="default">
      <x v="199"/>
    </i>
    <i>
      <x v="200"/>
      <x/>
    </i>
    <i t="default">
      <x v="200"/>
    </i>
    <i>
      <x v="201"/>
      <x/>
    </i>
    <i t="default">
      <x v="201"/>
    </i>
    <i>
      <x v="202"/>
      <x/>
    </i>
    <i t="default">
      <x v="202"/>
    </i>
    <i>
      <x v="203"/>
      <x/>
    </i>
    <i t="default">
      <x v="203"/>
    </i>
    <i>
      <x v="204"/>
      <x/>
    </i>
    <i t="default">
      <x v="204"/>
    </i>
    <i>
      <x v="205"/>
      <x/>
    </i>
    <i t="default">
      <x v="205"/>
    </i>
    <i>
      <x v="206"/>
      <x/>
    </i>
    <i t="default">
      <x v="206"/>
    </i>
    <i>
      <x v="207"/>
      <x/>
    </i>
    <i t="default">
      <x v="207"/>
    </i>
    <i>
      <x v="208"/>
      <x/>
    </i>
    <i t="default">
      <x v="208"/>
    </i>
    <i>
      <x v="209"/>
      <x/>
    </i>
    <i t="default">
      <x v="209"/>
    </i>
    <i>
      <x v="210"/>
      <x/>
    </i>
    <i t="default">
      <x v="210"/>
    </i>
    <i>
      <x v="211"/>
      <x/>
    </i>
    <i t="default">
      <x v="211"/>
    </i>
    <i>
      <x v="212"/>
      <x/>
    </i>
    <i t="default">
      <x v="212"/>
    </i>
    <i>
      <x v="213"/>
      <x/>
    </i>
    <i t="default">
      <x v="213"/>
    </i>
    <i>
      <x v="214"/>
      <x/>
    </i>
    <i t="default">
      <x v="214"/>
    </i>
    <i>
      <x v="215"/>
      <x/>
    </i>
    <i t="default">
      <x v="215"/>
    </i>
    <i>
      <x v="216"/>
      <x/>
    </i>
    <i t="default">
      <x v="216"/>
    </i>
    <i>
      <x v="217"/>
      <x/>
    </i>
    <i t="default">
      <x v="217"/>
    </i>
    <i>
      <x v="218"/>
      <x/>
    </i>
    <i t="default">
      <x v="218"/>
    </i>
    <i>
      <x v="219"/>
      <x/>
    </i>
    <i t="default">
      <x v="219"/>
    </i>
    <i>
      <x v="220"/>
      <x/>
    </i>
    <i t="default">
      <x v="220"/>
    </i>
    <i>
      <x v="221"/>
      <x/>
    </i>
    <i t="default">
      <x v="221"/>
    </i>
    <i>
      <x v="222"/>
      <x/>
    </i>
    <i t="default">
      <x v="222"/>
    </i>
    <i>
      <x v="223"/>
      <x/>
    </i>
    <i t="default">
      <x v="223"/>
    </i>
    <i>
      <x v="224"/>
      <x/>
    </i>
    <i t="default">
      <x v="224"/>
    </i>
    <i>
      <x v="225"/>
      <x/>
    </i>
    <i t="default">
      <x v="225"/>
    </i>
    <i>
      <x v="226"/>
      <x/>
    </i>
    <i t="default">
      <x v="226"/>
    </i>
    <i t="grand">
      <x/>
    </i>
  </rowItems>
  <colItems count="1">
    <i/>
  </colItems>
  <pageFields count="2">
    <pageField fld="5" hier="-1"/>
    <pageField fld="11" hier="-1"/>
  </pageFields>
  <dataFields count="1">
    <dataField name="Count of SB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0AA949-8AF0-4335-92B6-2A2C5A602064}"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location ref="A3:C622" firstHeaderRow="1" firstDataRow="1" firstDataCol="2"/>
  <pivotFields count="12">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368">
        <item x="332"/>
        <item x="342"/>
        <item x="349"/>
        <item x="361"/>
        <item x="283"/>
        <item x="326"/>
        <item x="263"/>
        <item x="299"/>
        <item x="46"/>
        <item x="242"/>
        <item x="354"/>
        <item x="139"/>
        <item x="169"/>
        <item x="297"/>
        <item x="158"/>
        <item x="188"/>
        <item x="34"/>
        <item x="303"/>
        <item x="306"/>
        <item x="307"/>
        <item x="313"/>
        <item x="321"/>
        <item x="327"/>
        <item x="334"/>
        <item x="340"/>
        <item x="346"/>
        <item x="352"/>
        <item x="357"/>
        <item x="360"/>
        <item x="204"/>
        <item x="155"/>
        <item x="243"/>
        <item x="88"/>
        <item x="0"/>
        <item x="1"/>
        <item x="282"/>
        <item x="336"/>
        <item x="244"/>
        <item x="232"/>
        <item x="317"/>
        <item x="151"/>
        <item x="269"/>
        <item x="219"/>
        <item x="85"/>
        <item x="239"/>
        <item x="300"/>
        <item x="277"/>
        <item x="314"/>
        <item x="214"/>
        <item x="225"/>
        <item x="102"/>
        <item x="130"/>
        <item x="230"/>
        <item x="32"/>
        <item x="38"/>
        <item x="112"/>
        <item x="272"/>
        <item x="77"/>
        <item x="49"/>
        <item x="259"/>
        <item x="258"/>
        <item x="268"/>
        <item x="159"/>
        <item x="344"/>
        <item x="184"/>
        <item x="185"/>
        <item x="19"/>
        <item x="4"/>
        <item x="10"/>
        <item x="9"/>
        <item x="8"/>
        <item x="171"/>
        <item x="109"/>
        <item x="7"/>
        <item x="132"/>
        <item x="86"/>
        <item x="3"/>
        <item x="43"/>
        <item x="337"/>
        <item x="338"/>
        <item x="83"/>
        <item x="234"/>
        <item x="13"/>
        <item x="209"/>
        <item x="315"/>
        <item x="231"/>
        <item x="240"/>
        <item x="177"/>
        <item x="176"/>
        <item x="167"/>
        <item x="12"/>
        <item x="65"/>
        <item x="107"/>
        <item x="287"/>
        <item x="286"/>
        <item x="6"/>
        <item x="293"/>
        <item x="292"/>
        <item x="295"/>
        <item x="296"/>
        <item x="212"/>
        <item x="73"/>
        <item x="143"/>
        <item x="192"/>
        <item x="324"/>
        <item x="78"/>
        <item x="215"/>
        <item x="138"/>
        <item x="345"/>
        <item x="246"/>
        <item x="278"/>
        <item x="254"/>
        <item x="280"/>
        <item x="279"/>
        <item x="183"/>
        <item x="14"/>
        <item x="120"/>
        <item x="198"/>
        <item x="79"/>
        <item x="80"/>
        <item x="364"/>
        <item x="74"/>
        <item x="48"/>
        <item x="233"/>
        <item x="140"/>
        <item x="30"/>
        <item x="50"/>
        <item x="55"/>
        <item x="275"/>
        <item x="145"/>
        <item x="165"/>
        <item x="52"/>
        <item x="270"/>
        <item x="97"/>
        <item x="99"/>
        <item x="98"/>
        <item x="125"/>
        <item x="103"/>
        <item x="27"/>
        <item x="265"/>
        <item x="36"/>
        <item x="69"/>
        <item x="200"/>
        <item x="67"/>
        <item x="335"/>
        <item x="129"/>
        <item x="146"/>
        <item x="205"/>
        <item x="92"/>
        <item x="175"/>
        <item x="114"/>
        <item x="81"/>
        <item x="82"/>
        <item x="154"/>
        <item x="173"/>
        <item x="193"/>
        <item x="194"/>
        <item x="341"/>
        <item x="348"/>
        <item x="356"/>
        <item x="366"/>
        <item x="355"/>
        <item x="365"/>
        <item x="87"/>
        <item x="123"/>
        <item x="216"/>
        <item x="264"/>
        <item x="298"/>
        <item x="330"/>
        <item x="331"/>
        <item x="312"/>
        <item x="90"/>
        <item x="47"/>
        <item x="149"/>
        <item x="271"/>
        <item x="100"/>
        <item x="153"/>
        <item x="152"/>
        <item x="250"/>
        <item x="54"/>
        <item x="118"/>
        <item x="126"/>
        <item x="267"/>
        <item x="16"/>
        <item x="163"/>
        <item x="255"/>
        <item x="273"/>
        <item x="318"/>
        <item x="33"/>
        <item x="59"/>
        <item x="220"/>
        <item x="75"/>
        <item x="121"/>
        <item x="237"/>
        <item x="238"/>
        <item x="251"/>
        <item x="44"/>
        <item x="20"/>
        <item x="308"/>
        <item x="301"/>
        <item x="157"/>
        <item x="309"/>
        <item x="305"/>
        <item x="311"/>
        <item x="322"/>
        <item x="333"/>
        <item x="358"/>
        <item x="289"/>
        <item x="63"/>
        <item x="104"/>
        <item x="40"/>
        <item x="72"/>
        <item x="42"/>
        <item x="62"/>
        <item x="245"/>
        <item x="252"/>
        <item x="291"/>
        <item x="51"/>
        <item x="178"/>
        <item x="39"/>
        <item x="281"/>
        <item x="111"/>
        <item x="294"/>
        <item x="203"/>
        <item x="302"/>
        <item x="363"/>
        <item x="70"/>
        <item x="288"/>
        <item x="113"/>
        <item x="350"/>
        <item x="64"/>
        <item x="66"/>
        <item x="31"/>
        <item x="211"/>
        <item x="147"/>
        <item x="162"/>
        <item x="347"/>
        <item x="221"/>
        <item x="89"/>
        <item x="226"/>
        <item x="93"/>
        <item x="274"/>
        <item x="236"/>
        <item x="117"/>
        <item x="96"/>
        <item x="35"/>
        <item x="210"/>
        <item x="23"/>
        <item x="156"/>
        <item x="196"/>
        <item x="310"/>
        <item x="202"/>
        <item x="56"/>
        <item x="2"/>
        <item x="316"/>
        <item x="222"/>
        <item x="22"/>
        <item x="144"/>
        <item x="168"/>
        <item x="182"/>
        <item x="276"/>
        <item x="131"/>
        <item x="248"/>
        <item x="353"/>
        <item x="53"/>
        <item x="208"/>
        <item x="60"/>
        <item x="137"/>
        <item x="91"/>
        <item x="197"/>
        <item x="260"/>
        <item x="94"/>
        <item x="115"/>
        <item x="224"/>
        <item x="253"/>
        <item x="266"/>
        <item x="284"/>
        <item x="285"/>
        <item x="18"/>
        <item x="164"/>
        <item x="229"/>
        <item x="262"/>
        <item x="45"/>
        <item x="161"/>
        <item x="29"/>
        <item x="41"/>
        <item x="160"/>
        <item x="128"/>
        <item x="61"/>
        <item x="170"/>
        <item x="179"/>
        <item x="181"/>
        <item x="180"/>
        <item x="11"/>
        <item x="325"/>
        <item x="290"/>
        <item x="328"/>
        <item x="351"/>
        <item x="319"/>
        <item x="339"/>
        <item x="343"/>
        <item x="359"/>
        <item x="362"/>
        <item x="124"/>
        <item x="199"/>
        <item x="28"/>
        <item x="101"/>
        <item x="148"/>
        <item x="110"/>
        <item x="17"/>
        <item x="119"/>
        <item x="201"/>
        <item x="304"/>
        <item x="150"/>
        <item x="135"/>
        <item x="186"/>
        <item x="136"/>
        <item x="5"/>
        <item x="24"/>
        <item x="25"/>
        <item x="95"/>
        <item x="26"/>
        <item x="15"/>
        <item x="116"/>
        <item x="57"/>
        <item x="249"/>
        <item x="223"/>
        <item x="37"/>
        <item x="105"/>
        <item x="68"/>
        <item x="213"/>
        <item x="206"/>
        <item x="71"/>
        <item x="106"/>
        <item x="134"/>
        <item x="247"/>
        <item x="21"/>
        <item x="261"/>
        <item x="141"/>
        <item x="76"/>
        <item x="133"/>
        <item x="174"/>
        <item x="227"/>
        <item x="228"/>
        <item x="195"/>
        <item x="127"/>
        <item x="241"/>
        <item x="217"/>
        <item x="108"/>
        <item x="256"/>
        <item x="172"/>
        <item x="166"/>
        <item x="122"/>
        <item x="257"/>
        <item x="207"/>
        <item x="329"/>
        <item x="58"/>
        <item x="84"/>
        <item x="142"/>
        <item x="191"/>
        <item x="190"/>
        <item x="187"/>
        <item x="189"/>
        <item x="218"/>
        <item x="235"/>
        <item x="320"/>
        <item x="323"/>
        <item t="default"/>
      </items>
    </pivotField>
    <pivotField compact="0" outline="0" subtotalTop="0" showAll="0"/>
    <pivotField compact="0" outline="0" subtotalTop="0" showAll="0"/>
    <pivotField axis="axisRow" compact="0" outline="0" subtotalTop="0" showAll="0">
      <items count="253">
        <item sd="0"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s>
  <rowFields count="2">
    <field x="11"/>
    <field x="8"/>
  </rowFields>
  <rowItems count="619">
    <i>
      <x/>
    </i>
    <i>
      <x v="1"/>
      <x v="92"/>
    </i>
    <i r="1">
      <x v="272"/>
    </i>
    <i t="default">
      <x v="1"/>
    </i>
    <i>
      <x v="2"/>
      <x v="317"/>
    </i>
    <i t="default">
      <x v="2"/>
    </i>
    <i>
      <x v="3"/>
      <x v="180"/>
    </i>
    <i t="default">
      <x v="3"/>
    </i>
    <i>
      <x v="4"/>
      <x v="219"/>
    </i>
    <i t="default">
      <x v="4"/>
    </i>
    <i>
      <x v="5"/>
      <x v="196"/>
    </i>
    <i t="default">
      <x v="5"/>
    </i>
    <i>
      <x v="6"/>
      <x v="210"/>
    </i>
    <i t="default">
      <x v="6"/>
    </i>
    <i>
      <x v="7"/>
      <x v="32"/>
    </i>
    <i t="default">
      <x v="7"/>
    </i>
    <i>
      <x v="8"/>
      <x v="141"/>
    </i>
    <i t="default">
      <x v="8"/>
    </i>
    <i>
      <x v="9"/>
      <x v="138"/>
    </i>
    <i t="default">
      <x v="9"/>
    </i>
    <i>
      <x v="10"/>
      <x v="91"/>
    </i>
    <i t="default">
      <x v="10"/>
    </i>
    <i>
      <x v="11"/>
      <x v="8"/>
    </i>
    <i t="default">
      <x v="11"/>
    </i>
    <i>
      <x v="12"/>
      <x v="73"/>
    </i>
    <i t="default">
      <x v="12"/>
    </i>
    <i>
      <x v="13"/>
      <x v="118"/>
    </i>
    <i r="1">
      <x v="119"/>
    </i>
    <i t="default">
      <x v="13"/>
    </i>
    <i>
      <x v="14"/>
      <x v="324"/>
    </i>
    <i r="1">
      <x v="332"/>
    </i>
    <i t="default">
      <x v="14"/>
    </i>
    <i>
      <x v="15"/>
      <x v="217"/>
    </i>
    <i t="default">
      <x v="15"/>
    </i>
    <i>
      <x v="16"/>
      <x v="150"/>
    </i>
    <i r="1">
      <x v="151"/>
    </i>
    <i r="1">
      <x v="152"/>
    </i>
    <i t="default">
      <x v="16"/>
    </i>
    <i>
      <x v="17"/>
      <x v="153"/>
    </i>
    <i t="default">
      <x v="17"/>
    </i>
    <i>
      <x v="18"/>
      <x v="149"/>
    </i>
    <i t="default">
      <x v="18"/>
    </i>
    <i>
      <x v="19"/>
      <x v="328"/>
    </i>
    <i t="default">
      <x v="19"/>
    </i>
    <i>
      <x v="20"/>
      <x v="43"/>
    </i>
    <i r="1">
      <x v="320"/>
    </i>
    <i t="default">
      <x v="20"/>
    </i>
    <i>
      <x v="21"/>
      <x v="309"/>
    </i>
    <i t="default">
      <x v="21"/>
    </i>
    <i>
      <x v="22"/>
      <x v="352"/>
    </i>
    <i t="default">
      <x v="22"/>
    </i>
    <i>
      <x v="23"/>
      <x v="356"/>
    </i>
    <i t="default">
      <x v="23"/>
    </i>
    <i>
      <x v="24"/>
      <x v="244"/>
    </i>
    <i t="default">
      <x v="24"/>
    </i>
    <i>
      <x v="25"/>
      <x v="271"/>
    </i>
    <i t="default">
      <x v="25"/>
    </i>
    <i>
      <x v="26"/>
      <x v="221"/>
    </i>
    <i t="default">
      <x v="26"/>
    </i>
    <i>
      <x v="27"/>
      <x v="248"/>
    </i>
    <i t="default">
      <x v="27"/>
    </i>
    <i>
      <x v="28"/>
      <x v="333"/>
    </i>
    <i r="1">
      <x v="334"/>
    </i>
    <i t="default">
      <x v="28"/>
    </i>
    <i>
      <x v="29"/>
      <x v="218"/>
    </i>
    <i t="default">
      <x v="29"/>
    </i>
    <i>
      <x v="30"/>
      <x v="359"/>
    </i>
    <i t="default">
      <x v="30"/>
    </i>
    <i>
      <x v="31"/>
      <x v="11"/>
    </i>
    <i r="1">
      <x v="74"/>
    </i>
    <i r="1">
      <x v="268"/>
    </i>
    <i t="default">
      <x v="31"/>
    </i>
    <i>
      <x v="32"/>
      <x v="261"/>
    </i>
    <i t="default">
      <x v="32"/>
    </i>
    <i>
      <x v="33"/>
      <x v="303"/>
    </i>
    <i t="default">
      <x v="33"/>
    </i>
    <i>
      <x v="34"/>
      <x v="358"/>
    </i>
    <i t="default">
      <x v="34"/>
    </i>
    <i>
      <x v="35"/>
      <x v="107"/>
    </i>
    <i t="default">
      <x v="35"/>
    </i>
    <i>
      <x v="36"/>
      <x v="184"/>
    </i>
    <i t="default">
      <x v="36"/>
    </i>
    <i>
      <x v="37"/>
      <x v="313"/>
    </i>
    <i t="default">
      <x v="37"/>
    </i>
    <i>
      <x v="38"/>
      <x v="154"/>
    </i>
    <i t="default">
      <x v="38"/>
    </i>
    <i>
      <x v="39"/>
      <x v="155"/>
    </i>
    <i r="1">
      <x v="156"/>
    </i>
    <i t="default">
      <x v="39"/>
    </i>
    <i>
      <x v="40"/>
      <x v="279"/>
    </i>
    <i t="default">
      <x v="40"/>
    </i>
    <i>
      <x v="41"/>
      <x v="89"/>
    </i>
    <i t="default">
      <x v="41"/>
    </i>
    <i>
      <x v="42"/>
      <x v="249"/>
    </i>
    <i t="default">
      <x v="42"/>
    </i>
    <i>
      <x v="43"/>
      <x v="64"/>
    </i>
    <i r="1">
      <x v="65"/>
    </i>
    <i t="default">
      <x v="43"/>
    </i>
    <i>
      <x v="44"/>
      <x v="223"/>
    </i>
    <i t="default">
      <x v="44"/>
    </i>
    <i>
      <x v="45"/>
      <x v="363"/>
    </i>
    <i t="default">
      <x v="45"/>
    </i>
    <i>
      <x v="46"/>
      <x v="310"/>
    </i>
    <i t="default">
      <x v="46"/>
    </i>
    <i>
      <x v="47"/>
      <x v="101"/>
    </i>
    <i r="1">
      <x v="122"/>
    </i>
    <i r="1">
      <x v="143"/>
    </i>
    <i r="1">
      <x v="212"/>
    </i>
    <i r="1">
      <x v="252"/>
    </i>
    <i t="default">
      <x v="47"/>
    </i>
    <i>
      <x v="48"/>
      <x v="255"/>
    </i>
    <i t="default">
      <x v="48"/>
    </i>
    <i>
      <x v="49"/>
      <x v="259"/>
    </i>
    <i t="default">
      <x v="49"/>
    </i>
    <i>
      <x v="50"/>
      <x v="190"/>
    </i>
    <i t="default">
      <x v="50"/>
    </i>
    <i>
      <x v="51"/>
      <x v="335"/>
    </i>
    <i t="default">
      <x v="51"/>
    </i>
    <i>
      <x v="52"/>
      <x v="49"/>
    </i>
    <i t="default">
      <x v="52"/>
    </i>
    <i>
      <x v="53"/>
      <x v="33"/>
    </i>
    <i t="default">
      <x v="53"/>
    </i>
    <i>
      <x v="54"/>
      <x v="35"/>
    </i>
    <i r="1">
      <x v="276"/>
    </i>
    <i r="1">
      <x v="277"/>
    </i>
    <i t="default">
      <x v="54"/>
    </i>
    <i>
      <x v="55"/>
      <x v="214"/>
    </i>
    <i t="default">
      <x v="55"/>
    </i>
    <i>
      <x v="56"/>
      <x v="94"/>
    </i>
    <i t="default">
      <x v="56"/>
    </i>
    <i>
      <x v="57"/>
      <x v="274"/>
    </i>
    <i t="default">
      <x v="57"/>
    </i>
    <i>
      <x v="58"/>
      <x v="331"/>
    </i>
    <i t="default">
      <x v="58"/>
    </i>
    <i>
      <x v="59"/>
      <x v="93"/>
    </i>
    <i t="default">
      <x v="59"/>
    </i>
    <i>
      <x v="60"/>
      <x v="215"/>
    </i>
    <i t="default">
      <x v="60"/>
    </i>
    <i>
      <x v="61"/>
      <x v="13"/>
    </i>
    <i t="default">
      <x v="61"/>
    </i>
    <i>
      <x v="62"/>
      <x v="349"/>
    </i>
    <i t="default">
      <x v="62"/>
    </i>
    <i>
      <x v="63"/>
      <x v="123"/>
    </i>
    <i t="default">
      <x v="63"/>
    </i>
    <i>
      <x v="64"/>
      <x v="185"/>
    </i>
    <i t="default">
      <x v="64"/>
    </i>
    <i>
      <x v="65"/>
      <x v="139"/>
    </i>
    <i t="default">
      <x v="65"/>
    </i>
    <i>
      <x v="66"/>
      <x v="41"/>
    </i>
    <i t="default">
      <x v="66"/>
    </i>
    <i>
      <x v="67"/>
      <x v="290"/>
    </i>
    <i r="1">
      <x v="291"/>
    </i>
    <i r="1">
      <x v="292"/>
    </i>
    <i t="default">
      <x v="67"/>
    </i>
    <i>
      <x v="68"/>
      <x v="186"/>
    </i>
    <i t="default">
      <x v="68"/>
    </i>
    <i>
      <x v="69"/>
      <x v="227"/>
    </i>
    <i t="default">
      <x v="69"/>
    </i>
    <i>
      <x v="70"/>
      <x v="17"/>
    </i>
    <i t="default">
      <x v="70"/>
    </i>
    <i>
      <x v="71"/>
      <x v="240"/>
    </i>
    <i t="default">
      <x v="71"/>
    </i>
    <i>
      <x v="72"/>
      <x v="251"/>
    </i>
    <i t="default">
      <x v="72"/>
    </i>
    <i>
      <x v="73"/>
      <x v="132"/>
    </i>
    <i t="default">
      <x v="73"/>
    </i>
    <i>
      <x v="74"/>
      <x v="31"/>
    </i>
    <i t="default">
      <x v="74"/>
    </i>
    <i>
      <x v="75"/>
      <x v="299"/>
    </i>
    <i t="default">
      <x v="75"/>
    </i>
    <i>
      <x v="76"/>
      <x v="224"/>
    </i>
    <i t="default">
      <x v="76"/>
    </i>
    <i>
      <x v="77"/>
      <x v="281"/>
    </i>
    <i t="default">
      <x v="77"/>
    </i>
    <i>
      <x v="78"/>
      <x v="216"/>
    </i>
    <i t="default">
      <x v="78"/>
    </i>
    <i>
      <x v="79"/>
      <x v="47"/>
    </i>
    <i t="default">
      <x v="79"/>
    </i>
    <i>
      <x v="80"/>
      <x v="187"/>
    </i>
    <i t="default">
      <x v="80"/>
    </i>
    <i>
      <x v="81"/>
      <x v="46"/>
    </i>
    <i r="1">
      <x v="365"/>
    </i>
    <i t="default">
      <x v="81"/>
    </i>
    <i>
      <x v="82"/>
      <x v="250"/>
    </i>
    <i t="default">
      <x v="82"/>
    </i>
    <i>
      <x v="83"/>
      <x v="157"/>
    </i>
    <i t="default">
      <x v="83"/>
    </i>
    <i>
      <x v="84"/>
      <x v="300"/>
    </i>
    <i t="default">
      <x v="84"/>
    </i>
    <i>
      <x v="85"/>
      <x v="158"/>
    </i>
    <i r="1">
      <x v="159"/>
    </i>
    <i r="1">
      <x v="161"/>
    </i>
    <i t="default">
      <x v="85"/>
    </i>
    <i>
      <x v="86"/>
      <x v="160"/>
    </i>
    <i r="1">
      <x v="162"/>
    </i>
    <i t="default">
      <x v="86"/>
    </i>
    <i>
      <x v="87"/>
      <x v="262"/>
    </i>
    <i t="default">
      <x v="87"/>
    </i>
    <i>
      <x v="88"/>
      <x v="206"/>
    </i>
    <i t="default">
      <x v="88"/>
    </i>
    <i>
      <x v="89"/>
      <x v="229"/>
    </i>
    <i r="1">
      <x v="355"/>
    </i>
    <i t="default">
      <x v="89"/>
    </i>
    <i>
      <x v="90"/>
      <x v="170"/>
    </i>
    <i t="default">
      <x v="90"/>
    </i>
    <i>
      <x v="91"/>
      <x v="1"/>
    </i>
    <i r="1">
      <x v="2"/>
    </i>
    <i t="default">
      <x v="91"/>
    </i>
    <i>
      <x v="92"/>
      <x v="36"/>
    </i>
    <i t="default">
      <x v="92"/>
    </i>
    <i>
      <x v="93"/>
      <x v="3"/>
    </i>
    <i t="default">
      <x v="93"/>
    </i>
    <i>
      <x v="94"/>
      <x v="63"/>
    </i>
    <i t="default">
      <x v="94"/>
    </i>
    <i>
      <x v="95"/>
      <x v="108"/>
    </i>
    <i t="default">
      <x v="95"/>
    </i>
    <i>
      <x v="96"/>
      <x v="25"/>
    </i>
    <i r="1">
      <x v="26"/>
    </i>
    <i t="default">
      <x v="96"/>
    </i>
    <i>
      <x v="97"/>
      <x v="120"/>
    </i>
    <i t="default">
      <x v="97"/>
    </i>
    <i>
      <x v="98"/>
      <x v="27"/>
    </i>
    <i t="default">
      <x v="98"/>
    </i>
    <i>
      <x v="99"/>
      <x v="10"/>
    </i>
    <i r="1">
      <x v="225"/>
    </i>
    <i t="default">
      <x v="99"/>
    </i>
    <i>
      <x v="100"/>
      <x v="286"/>
    </i>
    <i t="default">
      <x v="100"/>
    </i>
    <i>
      <x v="101"/>
      <x v="325"/>
    </i>
    <i t="default">
      <x v="101"/>
    </i>
    <i>
      <x v="102"/>
      <x v="16"/>
    </i>
    <i t="default">
      <x v="102"/>
    </i>
    <i>
      <x v="103"/>
      <x v="12"/>
    </i>
    <i r="1">
      <x v="58"/>
    </i>
    <i r="1">
      <x v="211"/>
    </i>
    <i r="1">
      <x v="243"/>
    </i>
    <i r="1">
      <x v="267"/>
    </i>
    <i r="1">
      <x v="273"/>
    </i>
    <i r="1">
      <x v="283"/>
    </i>
    <i r="1">
      <x v="298"/>
    </i>
    <i t="default">
      <x v="103"/>
    </i>
    <i>
      <x v="104"/>
      <x v="68"/>
    </i>
    <i r="1">
      <x v="69"/>
    </i>
    <i r="1">
      <x v="70"/>
    </i>
    <i t="default">
      <x v="104"/>
    </i>
    <i>
      <x v="105"/>
      <x v="67"/>
    </i>
    <i r="1">
      <x v="90"/>
    </i>
    <i r="1">
      <x v="293"/>
    </i>
    <i t="default">
      <x v="105"/>
    </i>
    <i>
      <x v="106"/>
      <x v="115"/>
    </i>
    <i t="default">
      <x v="106"/>
    </i>
    <i>
      <x v="107"/>
      <x v="245"/>
    </i>
    <i t="default">
      <x v="107"/>
    </i>
    <i>
      <x v="108"/>
      <x v="322"/>
    </i>
    <i t="default">
      <x v="108"/>
    </i>
    <i>
      <x v="109"/>
      <x v="284"/>
    </i>
    <i t="default">
      <x v="109"/>
    </i>
    <i>
      <x v="110"/>
      <x v="82"/>
    </i>
    <i t="default">
      <x v="110"/>
    </i>
    <i>
      <x v="111"/>
      <x v="319"/>
    </i>
    <i t="default">
      <x v="111"/>
    </i>
    <i>
      <x v="112"/>
      <x v="318"/>
    </i>
    <i t="default">
      <x v="112"/>
    </i>
    <i>
      <x v="113"/>
      <x v="188"/>
    </i>
    <i r="1">
      <x v="336"/>
    </i>
    <i t="default">
      <x v="113"/>
    </i>
    <i>
      <x v="114"/>
      <x v="282"/>
    </i>
    <i t="default">
      <x v="114"/>
    </i>
    <i>
      <x v="115"/>
      <x v="232"/>
    </i>
    <i t="default">
      <x v="115"/>
    </i>
    <i>
      <x v="116"/>
      <x v="266"/>
    </i>
    <i t="default">
      <x v="116"/>
    </i>
    <i>
      <x v="117"/>
      <x v="278"/>
    </i>
    <i t="default">
      <x v="117"/>
    </i>
    <i>
      <x v="118"/>
      <x v="125"/>
    </i>
    <i t="default">
      <x v="118"/>
    </i>
    <i>
      <x v="119"/>
      <x v="127"/>
    </i>
    <i t="default">
      <x v="119"/>
    </i>
    <i>
      <x v="120"/>
      <x v="321"/>
    </i>
    <i t="default">
      <x v="120"/>
    </i>
    <i>
      <x v="121"/>
      <x v="208"/>
    </i>
    <i t="default">
      <x v="121"/>
    </i>
    <i>
      <x v="122"/>
      <x v="348"/>
    </i>
    <i t="default">
      <x v="122"/>
    </i>
    <i>
      <x v="123"/>
      <x v="80"/>
    </i>
    <i t="default">
      <x v="123"/>
    </i>
    <i>
      <x v="124"/>
      <x v="226"/>
    </i>
    <i t="default">
      <x v="124"/>
    </i>
    <i>
      <x v="125"/>
      <x v="121"/>
    </i>
    <i t="default">
      <x v="125"/>
    </i>
    <i>
      <x v="126"/>
      <x v="213"/>
    </i>
    <i t="default">
      <x v="126"/>
    </i>
    <i>
      <x v="127"/>
      <x v="171"/>
    </i>
    <i t="default">
      <x v="127"/>
    </i>
    <i>
      <x v="128"/>
      <x v="164"/>
    </i>
    <i t="default">
      <x v="128"/>
    </i>
    <i>
      <x v="129"/>
      <x v="105"/>
    </i>
    <i r="1">
      <x v="145"/>
    </i>
    <i r="1">
      <x v="357"/>
    </i>
    <i t="default">
      <x v="129"/>
    </i>
    <i>
      <x v="130"/>
      <x v="231"/>
    </i>
    <i t="default">
      <x v="130"/>
    </i>
    <i>
      <x v="131"/>
      <x v="51"/>
    </i>
    <i t="default">
      <x v="131"/>
    </i>
    <i>
      <x v="132"/>
      <x v="323"/>
    </i>
    <i t="default">
      <x v="132"/>
    </i>
    <i>
      <x v="133"/>
      <x v="314"/>
    </i>
    <i t="default">
      <x v="133"/>
    </i>
    <i>
      <x v="134"/>
      <x v="87"/>
    </i>
    <i r="1">
      <x v="88"/>
    </i>
    <i t="default">
      <x v="134"/>
    </i>
    <i>
      <x v="135"/>
      <x v="329"/>
    </i>
    <i t="default">
      <x v="135"/>
    </i>
    <i>
      <x v="136"/>
      <x v="102"/>
    </i>
    <i t="default">
      <x v="136"/>
    </i>
    <i>
      <x v="137"/>
      <x v="130"/>
    </i>
    <i t="default">
      <x v="137"/>
    </i>
    <i>
      <x v="138"/>
      <x v="307"/>
    </i>
    <i t="default">
      <x v="138"/>
    </i>
    <i>
      <x v="139"/>
      <x v="340"/>
    </i>
    <i t="default">
      <x v="139"/>
    </i>
    <i>
      <x v="140"/>
      <x v="124"/>
    </i>
    <i t="default">
      <x v="140"/>
    </i>
    <i>
      <x v="141"/>
      <x v="146"/>
    </i>
    <i r="1">
      <x v="200"/>
    </i>
    <i t="default">
      <x v="141"/>
    </i>
    <i>
      <x v="142"/>
      <x v="173"/>
    </i>
    <i t="default">
      <x v="142"/>
    </i>
    <i>
      <x v="143"/>
      <x v="345"/>
    </i>
    <i t="default">
      <x v="143"/>
    </i>
    <i>
      <x v="144"/>
      <x v="30"/>
    </i>
    <i r="1">
      <x v="129"/>
    </i>
    <i t="default">
      <x v="144"/>
    </i>
    <i>
      <x v="145"/>
      <x v="344"/>
    </i>
    <i t="default">
      <x v="145"/>
    </i>
    <i>
      <x v="146"/>
      <x v="304"/>
    </i>
    <i t="default">
      <x v="146"/>
    </i>
    <i>
      <x v="147"/>
      <x v="257"/>
    </i>
    <i t="default">
      <x v="147"/>
    </i>
    <i>
      <x v="148"/>
      <x v="316"/>
    </i>
    <i t="default">
      <x v="148"/>
    </i>
    <i>
      <x v="149"/>
      <x v="341"/>
    </i>
    <i t="default">
      <x v="149"/>
    </i>
    <i>
      <x v="150"/>
      <x v="235"/>
    </i>
    <i t="default">
      <x v="150"/>
    </i>
    <i>
      <x v="151"/>
      <x v="14"/>
    </i>
    <i t="default">
      <x v="151"/>
    </i>
    <i>
      <x v="152"/>
      <x v="72"/>
    </i>
    <i t="default">
      <x v="152"/>
    </i>
    <i>
      <x v="153"/>
      <x v="62"/>
    </i>
    <i t="default">
      <x v="153"/>
    </i>
    <i>
      <x v="154"/>
      <x v="350"/>
    </i>
    <i t="default">
      <x v="154"/>
    </i>
    <i>
      <x v="155"/>
      <x v="71"/>
    </i>
    <i t="default">
      <x v="155"/>
    </i>
    <i>
      <x v="156"/>
      <x v="103"/>
    </i>
    <i t="default">
      <x v="156"/>
    </i>
    <i>
      <x v="157"/>
      <x v="29"/>
    </i>
    <i r="1">
      <x v="117"/>
    </i>
    <i r="1">
      <x v="147"/>
    </i>
    <i t="default">
      <x v="157"/>
    </i>
    <i>
      <x v="158"/>
      <x v="83"/>
    </i>
    <i t="default">
      <x v="158"/>
    </i>
    <i>
      <x v="159"/>
      <x v="258"/>
    </i>
    <i t="default">
      <x v="159"/>
    </i>
    <i>
      <x v="160"/>
      <x v="246"/>
    </i>
    <i t="default">
      <x v="160"/>
    </i>
    <i>
      <x v="161"/>
      <x v="114"/>
    </i>
    <i t="default">
      <x v="161"/>
    </i>
    <i>
      <x v="162"/>
      <x v="269"/>
    </i>
    <i t="default">
      <x v="162"/>
    </i>
    <i>
      <x v="163"/>
      <x v="42"/>
    </i>
    <i r="1">
      <x v="233"/>
    </i>
    <i t="default">
      <x v="163"/>
    </i>
    <i>
      <x v="164"/>
      <x v="351"/>
    </i>
    <i t="default">
      <x v="164"/>
    </i>
    <i>
      <x v="165"/>
      <x v="315"/>
    </i>
    <i t="default">
      <x v="165"/>
    </i>
    <i>
      <x v="166"/>
      <x v="142"/>
    </i>
    <i t="default">
      <x v="166"/>
    </i>
    <i>
      <x v="167"/>
      <x v="100"/>
    </i>
    <i t="default">
      <x v="167"/>
    </i>
    <i>
      <x v="168"/>
      <x v="237"/>
    </i>
    <i t="default">
      <x v="168"/>
    </i>
    <i>
      <x v="169"/>
      <x v="265"/>
    </i>
    <i t="default">
      <x v="169"/>
    </i>
    <i>
      <x v="170"/>
      <x v="106"/>
    </i>
    <i r="1">
      <x v="360"/>
    </i>
    <i r="1">
      <x v="361"/>
    </i>
    <i r="1">
      <x v="362"/>
    </i>
    <i t="default">
      <x v="170"/>
    </i>
    <i>
      <x v="171"/>
      <x v="311"/>
    </i>
    <i t="default">
      <x v="171"/>
    </i>
    <i>
      <x v="172"/>
      <x v="239"/>
    </i>
    <i t="default">
      <x v="172"/>
    </i>
    <i>
      <x v="173"/>
      <x v="354"/>
    </i>
    <i t="default">
      <x v="173"/>
    </i>
    <i>
      <x v="174"/>
      <x v="228"/>
    </i>
    <i t="default">
      <x v="174"/>
    </i>
    <i>
      <x v="175"/>
      <x v="81"/>
    </i>
    <i t="default">
      <x v="175"/>
    </i>
    <i>
      <x v="176"/>
      <x v="109"/>
    </i>
    <i t="default">
      <x v="176"/>
    </i>
    <i>
      <x v="177"/>
      <x v="364"/>
    </i>
    <i t="default">
      <x v="177"/>
    </i>
    <i>
      <x v="178"/>
      <x v="280"/>
    </i>
    <i t="default">
      <x v="178"/>
    </i>
    <i>
      <x v="179"/>
      <x v="178"/>
    </i>
    <i t="default">
      <x v="179"/>
    </i>
    <i>
      <x v="180"/>
      <x v="337"/>
    </i>
    <i t="default">
      <x v="180"/>
    </i>
    <i>
      <x v="181"/>
      <x v="38"/>
    </i>
    <i t="default">
      <x v="181"/>
    </i>
    <i>
      <x v="182"/>
      <x v="242"/>
    </i>
    <i t="default">
      <x v="182"/>
    </i>
    <i>
      <x v="183"/>
      <x v="44"/>
    </i>
    <i t="default">
      <x v="183"/>
    </i>
    <i>
      <x v="184"/>
      <x v="52"/>
    </i>
    <i t="default">
      <x v="184"/>
    </i>
    <i>
      <x v="185"/>
      <x v="48"/>
    </i>
    <i t="default">
      <x v="185"/>
    </i>
    <i>
      <x v="186"/>
      <x v="9"/>
    </i>
    <i r="1">
      <x v="85"/>
    </i>
    <i t="default">
      <x v="186"/>
    </i>
    <i>
      <x v="187"/>
      <x v="7"/>
    </i>
    <i t="default">
      <x v="187"/>
    </i>
    <i>
      <x v="188"/>
      <x v="110"/>
    </i>
    <i t="default">
      <x v="188"/>
    </i>
    <i>
      <x v="189"/>
      <x v="342"/>
    </i>
    <i t="default">
      <x v="189"/>
    </i>
    <i>
      <x v="190"/>
      <x v="193"/>
    </i>
    <i t="default">
      <x v="190"/>
    </i>
    <i>
      <x v="191"/>
      <x v="61"/>
    </i>
    <i t="default">
      <x v="191"/>
    </i>
    <i>
      <x v="192"/>
      <x v="166"/>
    </i>
    <i t="default">
      <x v="192"/>
    </i>
    <i>
      <x v="193"/>
      <x v="195"/>
    </i>
    <i t="default">
      <x v="193"/>
    </i>
    <i>
      <x v="194"/>
      <x v="194"/>
    </i>
    <i r="1">
      <x v="353"/>
    </i>
    <i t="default">
      <x v="194"/>
    </i>
    <i>
      <x v="195"/>
      <x v="204"/>
    </i>
    <i t="default">
      <x v="195"/>
    </i>
    <i>
      <x v="196"/>
      <x v="86"/>
    </i>
    <i t="default">
      <x v="196"/>
    </i>
    <i>
      <x v="197"/>
      <x v="182"/>
    </i>
    <i t="default">
      <x v="197"/>
    </i>
    <i>
      <x v="198"/>
      <x v="270"/>
    </i>
    <i t="default">
      <x v="198"/>
    </i>
    <i>
      <x v="199"/>
      <x v="56"/>
    </i>
    <i t="default">
      <x v="199"/>
    </i>
    <i>
      <x v="200"/>
      <x v="241"/>
    </i>
    <i t="default">
      <x v="200"/>
    </i>
    <i>
      <x v="201"/>
      <x v="128"/>
    </i>
    <i t="default">
      <x v="201"/>
    </i>
    <i>
      <x v="202"/>
      <x v="260"/>
    </i>
    <i t="default">
      <x v="202"/>
    </i>
    <i>
      <x v="203"/>
      <x v="220"/>
    </i>
    <i t="default">
      <x v="203"/>
    </i>
    <i>
      <x v="204"/>
      <x v="207"/>
    </i>
    <i t="default">
      <x v="204"/>
    </i>
    <i>
      <x v="205"/>
      <x v="199"/>
    </i>
    <i t="default">
      <x v="205"/>
    </i>
    <i>
      <x v="206"/>
      <x v="167"/>
    </i>
    <i t="default">
      <x v="206"/>
    </i>
    <i>
      <x v="207"/>
      <x v="222"/>
    </i>
    <i t="default">
      <x v="207"/>
    </i>
    <i>
      <x v="208"/>
      <x v="96"/>
    </i>
    <i r="1">
      <x v="97"/>
    </i>
    <i r="1">
      <x v="98"/>
    </i>
    <i r="1">
      <x v="99"/>
    </i>
    <i t="default">
      <x v="208"/>
    </i>
    <i>
      <x v="209"/>
      <x v="78"/>
    </i>
    <i r="1">
      <x v="84"/>
    </i>
    <i r="1">
      <x v="201"/>
    </i>
    <i t="default">
      <x v="209"/>
    </i>
    <i>
      <x v="210"/>
      <x v="5"/>
    </i>
    <i t="default">
      <x v="210"/>
    </i>
    <i>
      <x v="211"/>
      <x v="45"/>
    </i>
    <i t="default">
      <x v="211"/>
    </i>
    <i>
      <x v="212"/>
      <x v="104"/>
    </i>
    <i t="default">
      <x v="212"/>
    </i>
    <i>
      <x v="213"/>
      <x v="294"/>
    </i>
    <i t="default">
      <x v="213"/>
    </i>
    <i>
      <x v="214"/>
      <x v="39"/>
    </i>
    <i r="1">
      <x v="198"/>
    </i>
    <i t="default">
      <x v="214"/>
    </i>
    <i>
      <x v="215"/>
      <x v="205"/>
    </i>
    <i t="default">
      <x v="215"/>
    </i>
    <i>
      <x v="216"/>
      <x v="312"/>
    </i>
    <i t="default">
      <x v="216"/>
    </i>
    <i>
      <x v="217"/>
      <x v="168"/>
    </i>
    <i r="1">
      <x v="169"/>
    </i>
    <i r="1">
      <x v="236"/>
    </i>
    <i t="default">
      <x v="217"/>
    </i>
    <i>
      <x v="218"/>
      <x/>
    </i>
    <i t="default">
      <x v="218"/>
    </i>
    <i>
      <x v="219"/>
      <x v="79"/>
    </i>
    <i t="default">
      <x v="219"/>
    </i>
    <i>
      <x v="220"/>
      <x v="302"/>
    </i>
    <i t="default">
      <x v="220"/>
    </i>
    <i>
      <x v="221"/>
      <x v="144"/>
    </i>
    <i t="default">
      <x v="221"/>
    </i>
    <i>
      <x v="222"/>
      <x v="263"/>
    </i>
    <i t="default">
      <x v="222"/>
    </i>
    <i>
      <x v="223"/>
      <x v="296"/>
    </i>
    <i t="default">
      <x v="223"/>
    </i>
    <i>
      <x v="224"/>
      <x v="301"/>
    </i>
    <i t="default">
      <x v="224"/>
    </i>
    <i>
      <x v="225"/>
      <x v="197"/>
    </i>
    <i t="default">
      <x v="225"/>
    </i>
    <i>
      <x v="226"/>
      <x v="15"/>
    </i>
    <i r="1">
      <x v="37"/>
    </i>
    <i r="1">
      <x v="40"/>
    </i>
    <i r="1">
      <x v="50"/>
    </i>
    <i r="1">
      <x v="54"/>
    </i>
    <i r="1">
      <x v="57"/>
    </i>
    <i r="1">
      <x v="59"/>
    </i>
    <i r="1">
      <x v="60"/>
    </i>
    <i r="1">
      <x v="75"/>
    </i>
    <i r="1">
      <x v="76"/>
    </i>
    <i r="1">
      <x v="77"/>
    </i>
    <i r="1">
      <x v="95"/>
    </i>
    <i r="1">
      <x v="112"/>
    </i>
    <i r="1">
      <x v="113"/>
    </i>
    <i r="1">
      <x v="116"/>
    </i>
    <i r="1">
      <x v="126"/>
    </i>
    <i r="1">
      <x v="163"/>
    </i>
    <i r="1">
      <x v="174"/>
    </i>
    <i r="1">
      <x v="179"/>
    </i>
    <i r="1">
      <x v="183"/>
    </i>
    <i r="1">
      <x v="191"/>
    </i>
    <i r="1">
      <x v="192"/>
    </i>
    <i r="1">
      <x v="230"/>
    </i>
    <i r="1">
      <x v="234"/>
    </i>
    <i r="1">
      <x v="238"/>
    </i>
    <i r="1">
      <x v="253"/>
    </i>
    <i r="1">
      <x v="256"/>
    </i>
    <i r="1">
      <x v="264"/>
    </i>
    <i r="1">
      <x v="285"/>
    </i>
    <i r="1">
      <x v="287"/>
    </i>
    <i r="1">
      <x v="297"/>
    </i>
    <i r="1">
      <x v="305"/>
    </i>
    <i r="1">
      <x v="306"/>
    </i>
    <i r="1">
      <x v="326"/>
    </i>
    <i r="1">
      <x v="327"/>
    </i>
    <i r="1">
      <x v="330"/>
    </i>
    <i r="1">
      <x v="338"/>
    </i>
    <i r="1">
      <x v="346"/>
    </i>
    <i r="1">
      <x v="347"/>
    </i>
    <i t="default">
      <x v="226"/>
    </i>
    <i>
      <x v="227"/>
      <x v="339"/>
    </i>
    <i t="default">
      <x v="227"/>
    </i>
    <i>
      <x v="228"/>
      <x v="53"/>
    </i>
    <i t="default">
      <x v="228"/>
    </i>
    <i>
      <x v="229"/>
      <x v="247"/>
    </i>
    <i t="default">
      <x v="229"/>
    </i>
    <i>
      <x v="230"/>
      <x v="288"/>
    </i>
    <i t="default">
      <x v="230"/>
    </i>
    <i>
      <x v="231"/>
      <x v="133"/>
    </i>
    <i r="1">
      <x v="134"/>
    </i>
    <i r="1">
      <x v="135"/>
    </i>
    <i r="1">
      <x v="137"/>
    </i>
    <i r="1">
      <x v="209"/>
    </i>
    <i t="default">
      <x v="231"/>
    </i>
    <i>
      <x v="232"/>
      <x v="189"/>
    </i>
    <i t="default">
      <x v="232"/>
    </i>
    <i>
      <x v="233"/>
      <x v="131"/>
    </i>
    <i r="1">
      <x v="140"/>
    </i>
    <i t="default">
      <x v="233"/>
    </i>
    <i>
      <x v="234"/>
      <x v="136"/>
    </i>
    <i r="1">
      <x v="181"/>
    </i>
    <i t="default">
      <x v="234"/>
    </i>
    <i>
      <x v="235"/>
      <x v="176"/>
    </i>
    <i r="1">
      <x v="177"/>
    </i>
    <i t="default">
      <x v="235"/>
    </i>
    <i>
      <x v="236"/>
      <x v="175"/>
    </i>
    <i t="default">
      <x v="236"/>
    </i>
    <i>
      <x v="237"/>
      <x v="148"/>
    </i>
    <i t="default">
      <x v="237"/>
    </i>
    <i>
      <x v="238"/>
      <x v="308"/>
    </i>
    <i t="default">
      <x v="238"/>
    </i>
    <i>
      <x v="239"/>
      <x v="55"/>
    </i>
    <i t="default">
      <x v="239"/>
    </i>
    <i>
      <x v="240"/>
      <x v="165"/>
    </i>
    <i t="default">
      <x v="240"/>
    </i>
    <i>
      <x v="241"/>
      <x v="111"/>
    </i>
    <i t="default">
      <x v="241"/>
    </i>
    <i>
      <x v="242"/>
      <x v="6"/>
    </i>
    <i t="default">
      <x v="242"/>
    </i>
    <i>
      <x v="243"/>
      <x v="343"/>
    </i>
    <i t="default">
      <x v="243"/>
    </i>
    <i>
      <x v="244"/>
      <x v="4"/>
    </i>
    <i t="default">
      <x v="244"/>
    </i>
    <i>
      <x v="245"/>
      <x v="202"/>
    </i>
    <i r="1">
      <x v="295"/>
    </i>
    <i t="default">
      <x v="245"/>
    </i>
    <i>
      <x v="246"/>
      <x v="203"/>
    </i>
    <i t="default">
      <x v="246"/>
    </i>
    <i>
      <x v="247"/>
      <x v="18"/>
    </i>
    <i r="1">
      <x v="19"/>
    </i>
    <i t="default">
      <x v="247"/>
    </i>
    <i>
      <x v="248"/>
      <x v="20"/>
    </i>
    <i r="1">
      <x v="21"/>
    </i>
    <i r="1">
      <x v="22"/>
    </i>
    <i r="1">
      <x v="23"/>
    </i>
    <i r="1">
      <x v="24"/>
    </i>
    <i t="default">
      <x v="248"/>
    </i>
    <i>
      <x v="249"/>
      <x v="28"/>
    </i>
    <i t="default">
      <x v="249"/>
    </i>
    <i>
      <x v="250"/>
      <x v="172"/>
    </i>
    <i t="default">
      <x v="250"/>
    </i>
    <i>
      <x v="251"/>
      <x v="66"/>
    </i>
    <i r="1">
      <x v="254"/>
    </i>
    <i r="1">
      <x v="275"/>
    </i>
    <i r="1">
      <x v="289"/>
    </i>
    <i r="1">
      <x v="366"/>
    </i>
    <i t="default">
      <x v="251"/>
    </i>
    <i t="grand">
      <x/>
    </i>
  </rowItems>
  <colItems count="1">
    <i/>
  </colItems>
  <dataFields count="1">
    <dataField name="Count of SB no" fld="1" subtotal="count" baseField="8" baseItem="0"/>
  </dataField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B78A6-B12C-48C4-8878-657F8F266F0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5" firstHeaderRow="1" firstDataRow="1" firstDataCol="2"/>
  <pivotFields count="12">
    <pivotField axis="axisRow" compact="0" outline="0" subtotalTop="0" showAll="0">
      <items count="2">
        <item sd="0" x="0"/>
        <item t="default"/>
      </items>
    </pivotField>
    <pivotField dataField="1" compact="0" outline="0" subtotalTop="0" showAll="0"/>
    <pivotField compact="0" outline="0" subtotalTop="0" showAll="0"/>
    <pivotField compact="0" outline="0" subtotalTop="0" showAll="0"/>
    <pivotField compact="0" outline="0" subtotalTop="0" showAll="0"/>
    <pivotField axis="axisRow" compact="0" outline="0" subtotalTop="0" showAll="0">
      <items count="232">
        <item x="11"/>
        <item x="177"/>
        <item x="171"/>
        <item x="224"/>
        <item x="143"/>
        <item x="141"/>
        <item x="53"/>
        <item x="64"/>
        <item x="63"/>
        <item x="10"/>
        <item x="14"/>
        <item x="225"/>
        <item x="144"/>
        <item x="18"/>
        <item x="13"/>
        <item x="16"/>
        <item x="223"/>
        <item x="92"/>
        <item x="15"/>
        <item x="12"/>
        <item x="174"/>
        <item x="180"/>
        <item x="176"/>
        <item x="173"/>
        <item x="172"/>
        <item x="228"/>
        <item x="1"/>
        <item x="111"/>
        <item x="117"/>
        <item x="110"/>
        <item x="55"/>
        <item x="23"/>
        <item x="21"/>
        <item x="25"/>
        <item x="178"/>
        <item x="179"/>
        <item x="229"/>
        <item x="227"/>
        <item x="119"/>
        <item x="120"/>
        <item x="66"/>
        <item x="65"/>
        <item x="175"/>
        <item x="184"/>
        <item x="183"/>
        <item x="230"/>
        <item x="151"/>
        <item x="114"/>
        <item x="113"/>
        <item x="115"/>
        <item x="67"/>
        <item x="73"/>
        <item x="27"/>
        <item x="185"/>
        <item x="187"/>
        <item x="181"/>
        <item x="182"/>
        <item x="2"/>
        <item x="149"/>
        <item x="121"/>
        <item x="123"/>
        <item x="69"/>
        <item x="24"/>
        <item x="22"/>
        <item x="189"/>
        <item x="188"/>
        <item x="148"/>
        <item x="68"/>
        <item x="75"/>
        <item x="28"/>
        <item x="145"/>
        <item x="116"/>
        <item x="122"/>
        <item x="17"/>
        <item x="30"/>
        <item x="20"/>
        <item x="146"/>
        <item x="150"/>
        <item x="118"/>
        <item x="125"/>
        <item x="19"/>
        <item x="29"/>
        <item x="190"/>
        <item x="104"/>
        <item x="74"/>
        <item x="0"/>
        <item x="127"/>
        <item x="124"/>
        <item x="76"/>
        <item x="72"/>
        <item x="186"/>
        <item x="192"/>
        <item x="197"/>
        <item x="194"/>
        <item x="147"/>
        <item x="154"/>
        <item x="128"/>
        <item x="129"/>
        <item x="80"/>
        <item x="77"/>
        <item x="79"/>
        <item x="31"/>
        <item x="35"/>
        <item x="200"/>
        <item x="196"/>
        <item x="153"/>
        <item x="81"/>
        <item x="71"/>
        <item x="84"/>
        <item x="86"/>
        <item x="78"/>
        <item x="193"/>
        <item x="199"/>
        <item x="195"/>
        <item x="155"/>
        <item x="82"/>
        <item x="70"/>
        <item x="33"/>
        <item x="36"/>
        <item x="38"/>
        <item x="201"/>
        <item x="152"/>
        <item x="130"/>
        <item x="126"/>
        <item x="88"/>
        <item x="90"/>
        <item x="41"/>
        <item x="39"/>
        <item x="156"/>
        <item x="131"/>
        <item x="132"/>
        <item x="26"/>
        <item x="40"/>
        <item x="191"/>
        <item x="202"/>
        <item x="157"/>
        <item x="134"/>
        <item x="87"/>
        <item x="89"/>
        <item x="46"/>
        <item x="42"/>
        <item x="198"/>
        <item x="203"/>
        <item x="93"/>
        <item x="205"/>
        <item x="204"/>
        <item x="210"/>
        <item x="136"/>
        <item x="91"/>
        <item x="44"/>
        <item x="34"/>
        <item x="209"/>
        <item x="212"/>
        <item x="206"/>
        <item x="96"/>
        <item x="94"/>
        <item x="85"/>
        <item x="213"/>
        <item x="211"/>
        <item x="160"/>
        <item x="97"/>
        <item x="102"/>
        <item x="43"/>
        <item x="48"/>
        <item x="208"/>
        <item x="164"/>
        <item x="163"/>
        <item x="137"/>
        <item x="95"/>
        <item x="98"/>
        <item x="100"/>
        <item x="37"/>
        <item x="45"/>
        <item x="50"/>
        <item x="51"/>
        <item x="162"/>
        <item x="161"/>
        <item x="135"/>
        <item x="52"/>
        <item x="47"/>
        <item x="54"/>
        <item x="166"/>
        <item x="158"/>
        <item x="167"/>
        <item x="101"/>
        <item x="99"/>
        <item x="49"/>
        <item x="56"/>
        <item x="60"/>
        <item x="59"/>
        <item x="216"/>
        <item x="215"/>
        <item x="138"/>
        <item x="103"/>
        <item x="214"/>
        <item x="207"/>
        <item x="3"/>
        <item x="140"/>
        <item x="105"/>
        <item x="58"/>
        <item x="220"/>
        <item x="217"/>
        <item x="218"/>
        <item x="4"/>
        <item x="5"/>
        <item x="159"/>
        <item x="168"/>
        <item x="139"/>
        <item x="106"/>
        <item x="107"/>
        <item x="61"/>
        <item x="57"/>
        <item x="221"/>
        <item x="222"/>
        <item x="7"/>
        <item x="170"/>
        <item x="112"/>
        <item x="108"/>
        <item x="109"/>
        <item x="62"/>
        <item x="219"/>
        <item x="226"/>
        <item x="165"/>
        <item x="169"/>
        <item x="133"/>
        <item x="142"/>
        <item x="9"/>
        <item x="8"/>
        <item x="6"/>
        <item x="83"/>
        <item x="32"/>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5"/>
  </rowFields>
  <rowItems count="2">
    <i>
      <x/>
    </i>
    <i t="grand">
      <x/>
    </i>
  </rowItems>
  <colItems count="1">
    <i/>
  </colItems>
  <dataFields count="1">
    <dataField name="Count of SB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D62454-2A08-4CE6-9BC3-5A2A85AD1E47}" name="tblShipments" displayName="tblShipments" ref="A1:Q380" totalsRowShown="0">
  <autoFilter ref="A1:Q380" xr:uid="{33D62454-2A08-4CE6-9BC3-5A2A85AD1E47}"/>
  <tableColumns count="17">
    <tableColumn id="1" xr3:uid="{B88B294E-9CC4-4A89-A393-53902A991968}" name="PORT Code"/>
    <tableColumn id="2" xr3:uid="{04324A58-0AED-46FD-9019-89A530AD9C40}" name="SB no"/>
    <tableColumn id="3" xr3:uid="{50CF31E1-4593-4D2E-B65D-F6D07D568631}" name="SB date" dataDxfId="39"/>
    <tableColumn id="10" xr3:uid="{FA45A480-866C-4497-8D25-AFC12648D90C}" name="IEC Extracted" dataDxfId="38">
      <calculatedColumnFormula>LEFT(TRIM(MID(SUBSTITUTE(tblShipments[[#This Row],[Details]],CHAR(10)," "), FIND(CHAR(10),tblShipments[[#This Row],[Details]])+1, 50)), 10)</calculatedColumnFormula>
    </tableColumn>
    <tableColumn id="4" xr3:uid="{3CDBF22C-626B-45B4-A27A-CF97385DDEE3}" name="Details"/>
    <tableColumn id="15" xr3:uid="{C7DBF738-B322-43F3-BF9F-403FEFE2B2BA}" name="Computed Field 1: Clean_Status" dataDxfId="35">
      <calculatedColumnFormula>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calculatedColumnFormula>
    </tableColumn>
    <tableColumn id="16" xr3:uid="{0D83A6C3-462D-4399-9639-E3BCD5DE7B55}" name="Computed Field 2:EGM_Flag" dataDxfId="34">
      <calculatedColumnFormula>IF(tblShipments[[#This Row],[EGM no]]="", "Missing EGM", "EGM Submitted")</calculatedColumnFormula>
    </tableColumn>
    <tableColumn id="17" xr3:uid="{E18599E9-1B6A-4659-A7F2-04A9FE7EC024}" name="Computed Field 3:ROSL_Flag" dataDxfId="33">
      <calculatedColumnFormula>IF(OR(ISNUMBER(SEARCH("Released",tblShipments[[#This Row],[ROSL]])),
      ISNUMBER(SEARCH("Scroll",tblShipments[[#This Row],[ROSL]])),
      ISNUMBER(SEARCH("Y",tblShipments[[#This Row],[ROSL]]))),
   "Released",
   "Not Released")</calculatedColumnFormula>
    </tableColumn>
    <tableColumn id="18" xr3:uid="{C0BB6B83-A646-451A-8BF4-4A3FBDA9BDF2}" name="Computed Field 4:EGM_Flag" dataDxfId="32">
      <calculatedColumnFormula>IF(OR(tblShipments[[#This Row],[EGM no]]="", tblShipments[[#This Row],[EGM no]]="N.A."), "Not Submitted", "Submitted")</calculatedColumnFormula>
    </tableColumn>
    <tableColumn id="19" xr3:uid="{11D14EBE-9C07-4675-B968-E1735DC28616}" name="Computed Field 5:Gateway_Flag" dataDxfId="30">
      <calculatedColumnFormula>IF(LEFT(tblShipments[[#This Row],[Gateway_Extracted]],2)="IN","Valid","Invalid")</calculatedColumnFormula>
    </tableColumn>
    <tableColumn id="5" xr3:uid="{029FD3C0-75BE-4F2D-BCE9-563D188D5F38}" name="Status"/>
    <tableColumn id="6" xr3:uid="{23B20235-FF9E-4089-AAE8-8059A9DF8E47}" name="EGM no"/>
    <tableColumn id="7" xr3:uid="{6DC0031E-A062-4A4B-9959-122DF69DFAF9}" name="ROSL"/>
    <tableColumn id="8" xr3:uid="{8CD24418-89C7-479A-8D43-390058BE753D}" name="GST"/>
    <tableColumn id="12" xr3:uid="{B38F77D2-55CF-4226-B886-54F399AAF1DC}" name="Gateway_Extracted" dataDxfId="37">
      <calculatedColumnFormula>IFERROR("IN" &amp; _xlfn.TEXTBEFORE(_xlfn.TEXTAFTER(UPPER(tblShipments[[#This Row],[Gateway_clean]]),"IN")," ",1),"")</calculatedColumnFormula>
    </tableColumn>
    <tableColumn id="11" xr3:uid="{10036A60-B10C-41AF-A7FB-8F1722C66A68}" name="Gateway_clean" dataDxfId="36">
      <calculatedColumnFormula>SUBSTITUTE(tblShipments[[#This Row],[Gateway]], CHAR(10), " ")</calculatedColumnFormula>
    </tableColumn>
    <tableColumn id="9" xr3:uid="{E9120CEB-03F1-449F-8D5B-76D8A82E5896}" name="Gateway"/>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0958C7-A397-43C8-844D-107C1331AB17}" name="tblShipments5" displayName="tblShipments5" ref="A1:Q380" totalsRowShown="0">
  <autoFilter ref="A1:Q380" xr:uid="{33D62454-2A08-4CE6-9BC3-5A2A85AD1E47}"/>
  <sortState xmlns:xlrd2="http://schemas.microsoft.com/office/spreadsheetml/2017/richdata2" ref="A2:Q380">
    <sortCondition ref="N2:N380"/>
    <sortCondition ref="D2:D380"/>
  </sortState>
  <tableColumns count="17">
    <tableColumn id="1" xr3:uid="{12713C71-1750-41D1-A91B-A683B612682C}" name="PORT Code"/>
    <tableColumn id="2" xr3:uid="{D4AAA8AB-B96F-4FB6-B446-C8058BD20B32}" name="SB no"/>
    <tableColumn id="3" xr3:uid="{1931C8B5-6449-4926-A0AB-7D2BCE08EFAD}" name="SB date" dataDxfId="8"/>
    <tableColumn id="10" xr3:uid="{777D3C25-E048-4A0E-A7CA-7D52739F96F5}" name="IEC Extracted" dataDxfId="7">
      <calculatedColumnFormula>LEFT(TRIM(MID(SUBSTITUTE(tblShipments5[[#This Row],[Details]],CHAR(10)," "), FIND(CHAR(10),tblShipments5[[#This Row],[Details]])+1, 50)), 10)</calculatedColumnFormula>
    </tableColumn>
    <tableColumn id="4" xr3:uid="{D2F4FF6B-1757-440B-8843-EDDA603D72C7}" name="Details"/>
    <tableColumn id="15" xr3:uid="{387C0B81-F1A2-4991-8BEB-666940A3E2F0}" name="Computed Field 1: Clean_Status" dataDxfId="6">
      <calculatedColumnFormula>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calculatedColumnFormula>
    </tableColumn>
    <tableColumn id="16" xr3:uid="{24E58B44-7DFA-4852-BC3A-D20EBEE8B74B}" name="Computed Field 2:EGM_Flag" dataDxfId="5">
      <calculatedColumnFormula>IF(tblShipments5[[#This Row],[EGM no]]="", "Missing EGM", "EGM Submitted")</calculatedColumnFormula>
    </tableColumn>
    <tableColumn id="17" xr3:uid="{864F961B-5789-438E-AD05-DF6C60400D67}" name="Computed Field 3:ROSL_Flag" dataDxfId="4">
      <calculatedColumnFormula>IF(OR(ISNUMBER(SEARCH("Released",tblShipments5[[#This Row],[ROSL]])),
      ISNUMBER(SEARCH("Scroll",tblShipments5[[#This Row],[ROSL]])),
      ISNUMBER(SEARCH("Y",tblShipments5[[#This Row],[ROSL]]))),
   "Released",
   "Not Released")</calculatedColumnFormula>
    </tableColumn>
    <tableColumn id="18" xr3:uid="{82FA6B07-3BC3-4C33-84AA-2A5D80C1F692}" name="Computed Field 4:EGM_Flag" dataDxfId="3">
      <calculatedColumnFormula>IF(OR(tblShipments5[[#This Row],[EGM no]]="", tblShipments5[[#This Row],[EGM no]]="N.A."), "Not Submitted", "Submitted")</calculatedColumnFormula>
    </tableColumn>
    <tableColumn id="19" xr3:uid="{BC85F301-91BB-43E5-9E0D-1C68A5296295}" name="Computed Field 5:Gateway_Flag" dataDxfId="2">
      <calculatedColumnFormula>IF(LEFT(tblShipments5[[#This Row],[Gateway_Extracted]],2)="IN","Valid","Invalid")</calculatedColumnFormula>
    </tableColumn>
    <tableColumn id="5" xr3:uid="{626F067E-693D-4B10-8A20-63E7EC59B78E}" name="Status"/>
    <tableColumn id="6" xr3:uid="{157506D4-5DC1-4C01-8AAC-4BB88F48A8AF}" name="EGM no"/>
    <tableColumn id="7" xr3:uid="{8EECB444-B69B-4C4E-8A1E-361CDD46D198}" name="ROSL"/>
    <tableColumn id="8" xr3:uid="{66B6E1B1-3C14-43C7-B097-B5098FC56AC8}" name="GST"/>
    <tableColumn id="12" xr3:uid="{D058E4B3-C070-4A7D-AF39-E2F0B909128B}" name="Gateway_Extracted" dataDxfId="1">
      <calculatedColumnFormula>IFERROR("IN" &amp; _xlfn.TEXTBEFORE(_xlfn.TEXTAFTER(UPPER(tblShipments5[[#This Row],[Gateway_clean]]),"IN")," ",1),"")</calculatedColumnFormula>
    </tableColumn>
    <tableColumn id="11" xr3:uid="{1933AAF9-FD21-4868-A94B-838970CE1831}" name="Gateway_clean" dataDxfId="0">
      <calculatedColumnFormula>SUBSTITUTE(tblShipments5[[#This Row],[Gateway]], CHAR(10), " ")</calculatedColumnFormula>
    </tableColumn>
    <tableColumn id="9" xr3:uid="{ADF3931A-A070-458E-B104-356B18F96A8E}" name="Gateway"/>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07F187-2716-422E-9E18-4DF550DEA97E}" name="tblShipments4" displayName="tblShipments4" ref="A1:Q380" totalsRowShown="0">
  <autoFilter ref="A1:Q380" xr:uid="{33D62454-2A08-4CE6-9BC3-5A2A85AD1E47}"/>
  <sortState xmlns:xlrd2="http://schemas.microsoft.com/office/spreadsheetml/2017/richdata2" ref="A2:Q380">
    <sortCondition ref="O2:O380"/>
    <sortCondition ref="D2:D380"/>
    <sortCondition ref="N2:N380"/>
  </sortState>
  <tableColumns count="17">
    <tableColumn id="1" xr3:uid="{FB94147A-65DE-41D1-A466-1A0FB1B36841}" name="PORT Code"/>
    <tableColumn id="2" xr3:uid="{47D5168F-1EEE-4E79-90E8-AF9540D12406}" name="SB no"/>
    <tableColumn id="3" xr3:uid="{6D0DA948-AE4F-4C11-913F-92BE467BEA97}" name="SB date" dataDxfId="18"/>
    <tableColumn id="10" xr3:uid="{0DD16F0C-B77F-49D7-8E89-9D5648B43A05}" name="IEC Extracted" dataDxfId="17">
      <calculatedColumnFormula>LEFT(TRIM(MID(SUBSTITUTE(tblShipments4[[#This Row],[Details]],CHAR(10)," "), FIND(CHAR(10),tblShipments4[[#This Row],[Details]])+1, 50)), 10)</calculatedColumnFormula>
    </tableColumn>
    <tableColumn id="4" xr3:uid="{7AE34668-2F47-40F0-8A2B-8E8F0CE62725}" name="Details"/>
    <tableColumn id="15" xr3:uid="{2412C618-1C0E-4BAE-98E9-9568D62568CD}" name="Computed Field 1: Clean_Status" dataDxfId="16">
      <calculatedColumnFormula>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calculatedColumnFormula>
    </tableColumn>
    <tableColumn id="16" xr3:uid="{546618A1-1D44-449E-BB4F-543CC9402FC5}" name="Computed Field 2:EGM_Flag" dataDxfId="15">
      <calculatedColumnFormula>IF(tblShipments4[[#This Row],[EGM no]]="", "Missing EGM", "EGM Submitted")</calculatedColumnFormula>
    </tableColumn>
    <tableColumn id="17" xr3:uid="{0BC3393F-D361-41AC-A015-24195A44E464}" name="Computed Field 3:ROSL_Flag" dataDxfId="14">
      <calculatedColumnFormula>IF(OR(ISNUMBER(SEARCH("Released",tblShipments4[[#This Row],[ROSL]])),
      ISNUMBER(SEARCH("Scroll",tblShipments4[[#This Row],[ROSL]])),
      ISNUMBER(SEARCH("Y",tblShipments4[[#This Row],[ROSL]]))),
   "Released",
   "Not Released")</calculatedColumnFormula>
    </tableColumn>
    <tableColumn id="18" xr3:uid="{35DA4A80-4219-46A5-8B1D-A23CF01BF1A3}" name="Computed Field 4:EGM_Flag" dataDxfId="13">
      <calculatedColumnFormula>IF(OR(tblShipments4[[#This Row],[EGM no]]="", tblShipments4[[#This Row],[EGM no]]="N.A."), "Not Submitted", "Submitted")</calculatedColumnFormula>
    </tableColumn>
    <tableColumn id="19" xr3:uid="{D8F8E726-1408-41AC-8949-4BCEF11A9123}" name="Computed Field 5:Gateway_Flag" dataDxfId="12">
      <calculatedColumnFormula>IF(LEFT(tblShipments4[[#This Row],[Gateway_Extracted]],2)="IN","Valid","Invalid")</calculatedColumnFormula>
    </tableColumn>
    <tableColumn id="5" xr3:uid="{6C445D55-616D-4BBC-9736-0377EC396901}" name="Status"/>
    <tableColumn id="6" xr3:uid="{79F355FC-0408-4435-B0DD-49A0CCC90CF0}" name="EGM no"/>
    <tableColumn id="7" xr3:uid="{EE220EE4-FA1D-44EB-9D5B-85D4E86256E5}" name="ROSL"/>
    <tableColumn id="8" xr3:uid="{1DC83DAB-76EA-4A72-A028-915C6261489D}" name="GST"/>
    <tableColumn id="12" xr3:uid="{6A08F653-E86D-4CE2-893D-BCF96BF4F0AE}" name="Gateway_Extracted" dataDxfId="11">
      <calculatedColumnFormula>IFERROR("IN" &amp; _xlfn.TEXTBEFORE(_xlfn.TEXTAFTER(UPPER(tblShipments4[[#This Row],[Gateway_clean]]),"IN")," ",1),"")</calculatedColumnFormula>
    </tableColumn>
    <tableColumn id="11" xr3:uid="{C7158A43-6832-4262-9F87-DF6DB7B049C0}" name="Gateway_clean" dataDxfId="10">
      <calculatedColumnFormula>SUBSTITUTE(tblShipments4[[#This Row],[Gateway]], CHAR(10), " ")</calculatedColumnFormula>
    </tableColumn>
    <tableColumn id="9" xr3:uid="{38861441-05D1-4911-B4E0-608A9840D313}" name="Gateway"/>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731715-2101-42F5-ADC8-BAB549FFA566}" name="tblShipments2" displayName="tblShipments2" ref="A1:Q380" totalsRowShown="0">
  <autoFilter ref="A1:Q380" xr:uid="{33D62454-2A08-4CE6-9BC3-5A2A85AD1E47}"/>
  <sortState xmlns:xlrd2="http://schemas.microsoft.com/office/spreadsheetml/2017/richdata2" ref="A2:Q380">
    <sortCondition ref="A2:A380"/>
    <sortCondition ref="F2:F380"/>
  </sortState>
  <tableColumns count="17">
    <tableColumn id="1" xr3:uid="{E301AAA4-CC7F-49F3-A625-7ABDB47F28C5}" name="PORT Code"/>
    <tableColumn id="2" xr3:uid="{25A2BD0E-802F-42A0-B2C2-03A89467C5E7}" name="SB no"/>
    <tableColumn id="3" xr3:uid="{3BAEED9A-50B5-430C-B14D-0D18FF3A58EA}" name="SB date" dataDxfId="28"/>
    <tableColumn id="10" xr3:uid="{6126DE8C-8A82-4896-A073-841CE334FB40}" name="IEC Extracted" dataDxfId="27">
      <calculatedColumnFormula>LEFT(TRIM(MID(SUBSTITUTE(tblShipments2[[#This Row],[Details]],CHAR(10)," "), FIND(CHAR(10),tblShipments2[[#This Row],[Details]])+1, 50)), 10)</calculatedColumnFormula>
    </tableColumn>
    <tableColumn id="4" xr3:uid="{73ADD070-8D89-4F4B-8555-68F3D9EDF6F0}" name="Details"/>
    <tableColumn id="15" xr3:uid="{69D66385-8B44-4D07-A3C1-0FB2C56D4FD3}" name="Computed Field 1: Clean_Status" dataDxfId="26">
      <calculatedColumnFormula>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calculatedColumnFormula>
    </tableColumn>
    <tableColumn id="16" xr3:uid="{0EF24011-246B-4A7E-A94D-09D41EB3A3CC}" name="Computed Field 2:EGM_Flag" dataDxfId="25">
      <calculatedColumnFormula>IF(tblShipments2[[#This Row],[EGM no]]="", "Missing EGM", "EGM Submitted")</calculatedColumnFormula>
    </tableColumn>
    <tableColumn id="17" xr3:uid="{3F9045F2-715E-4235-A75D-1D03BBF4FEBE}" name="Computed Field 3:ROSL_Flag" dataDxfId="24">
      <calculatedColumnFormula>IF(OR(ISNUMBER(SEARCH("Released",tblShipments2[[#This Row],[ROSL]])),
      ISNUMBER(SEARCH("Scroll",tblShipments2[[#This Row],[ROSL]])),
      ISNUMBER(SEARCH("Y",tblShipments2[[#This Row],[ROSL]]))),
   "Released",
   "Not Released")</calculatedColumnFormula>
    </tableColumn>
    <tableColumn id="18" xr3:uid="{F50DFFBF-FAE9-4F40-A145-D1DCA43D9802}" name="Computed Field 4:EGM_Flag" dataDxfId="23">
      <calculatedColumnFormula>IF(OR(tblShipments2[[#This Row],[EGM no]]="", tblShipments2[[#This Row],[EGM no]]="N.A."), "Not Submitted", "Submitted")</calculatedColumnFormula>
    </tableColumn>
    <tableColumn id="19" xr3:uid="{19FA7528-BC70-499A-8747-A91335ADC6B7}" name="Computed Field 5:Gateway_Flag" dataDxfId="22">
      <calculatedColumnFormula>IF(LEFT(tblShipments2[[#This Row],[Gateway_Extracted]],2)="IN","Valid","Invalid")</calculatedColumnFormula>
    </tableColumn>
    <tableColumn id="5" xr3:uid="{7136B343-DECC-40A6-A6C9-71865046A0E1}" name="Status"/>
    <tableColumn id="6" xr3:uid="{3B9C3B53-5324-476D-AE1B-800F01B3638D}" name="EGM no"/>
    <tableColumn id="7" xr3:uid="{EED89AA8-8FD8-48B3-A667-FD8D4653C2D8}" name="ROSL"/>
    <tableColumn id="8" xr3:uid="{28F58F26-51DD-49E4-83E6-050639EC59D3}" name="GST"/>
    <tableColumn id="12" xr3:uid="{F69EE5E3-5A7F-4363-B150-D97660853891}" name="Gateway_Extracted" dataDxfId="21">
      <calculatedColumnFormula>IFERROR("IN" &amp; _xlfn.TEXTBEFORE(_xlfn.TEXTAFTER(UPPER(tblShipments2[[#This Row],[Gateway_clean]]),"IN")," ",1),"")</calculatedColumnFormula>
    </tableColumn>
    <tableColumn id="11" xr3:uid="{F9852B21-1857-4D0C-B4FF-53A59B856832}" name="Gateway_clean" dataDxfId="20">
      <calculatedColumnFormula>SUBSTITUTE(tblShipments2[[#This Row],[Gateway]], CHAR(10), " ")</calculatedColumnFormula>
    </tableColumn>
    <tableColumn id="9" xr3:uid="{73D3396B-E683-4D72-A2F3-E687D7047F7B}" name="Gateway"/>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7E10-3522-4245-9E6A-94D2555A8744}">
  <dimension ref="A1:Q380"/>
  <sheetViews>
    <sheetView tabSelected="1" topLeftCell="M1" zoomScale="82" workbookViewId="0">
      <selection activeCell="M7" sqref="M7"/>
    </sheetView>
  </sheetViews>
  <sheetFormatPr defaultRowHeight="14.5" x14ac:dyDescent="0.35"/>
  <cols>
    <col min="1" max="1" width="18.26953125" customWidth="1"/>
    <col min="2" max="2" width="8.7265625" bestFit="1" customWidth="1"/>
    <col min="3" max="3" width="11.1796875" style="2" bestFit="1" customWidth="1"/>
    <col min="4" max="4" width="63.81640625" customWidth="1"/>
    <col min="5" max="5" width="125.1796875" customWidth="1"/>
    <col min="6" max="6" width="14.1796875" bestFit="1" customWidth="1"/>
    <col min="7" max="7" width="113.81640625" bestFit="1" customWidth="1"/>
    <col min="8" max="8" width="93" bestFit="1" customWidth="1"/>
    <col min="9" max="10" width="93" customWidth="1"/>
    <col min="11" max="11" width="137.26953125" bestFit="1" customWidth="1"/>
    <col min="12" max="12" width="131.26953125" bestFit="1" customWidth="1"/>
    <col min="13" max="13" width="131.26953125" customWidth="1"/>
  </cols>
  <sheetData>
    <row r="1" spans="1:17" x14ac:dyDescent="0.35">
      <c r="A1" t="s">
        <v>0</v>
      </c>
      <c r="B1" t="s">
        <v>1</v>
      </c>
      <c r="C1" s="2" t="s">
        <v>2</v>
      </c>
      <c r="D1" s="2" t="s">
        <v>1980</v>
      </c>
      <c r="E1" t="s">
        <v>3</v>
      </c>
      <c r="F1" t="s">
        <v>2439</v>
      </c>
      <c r="G1" t="s">
        <v>2440</v>
      </c>
      <c r="H1" t="s">
        <v>2441</v>
      </c>
      <c r="I1" t="s">
        <v>2442</v>
      </c>
      <c r="J1" t="s">
        <v>2443</v>
      </c>
      <c r="K1" t="s">
        <v>1722</v>
      </c>
      <c r="L1" t="s">
        <v>4</v>
      </c>
      <c r="M1" t="s">
        <v>5</v>
      </c>
      <c r="N1" t="s">
        <v>6</v>
      </c>
      <c r="O1" t="s">
        <v>2435</v>
      </c>
      <c r="P1" t="s">
        <v>2434</v>
      </c>
      <c r="Q1" t="s">
        <v>7</v>
      </c>
    </row>
    <row r="2" spans="1:17" x14ac:dyDescent="0.35">
      <c r="A2" t="s">
        <v>8</v>
      </c>
      <c r="B2">
        <v>7096937</v>
      </c>
      <c r="C2" s="2" t="s">
        <v>9</v>
      </c>
      <c r="D2" s="2" t="str">
        <f>LEFT(TRIM(MID(SUBSTITUTE(tblShipments[[#This Row],[Details]],CHAR(10)," "), FIND(CHAR(10),tblShipments[[#This Row],[Details]])+1, 50)), 10)</f>
        <v>0597024561</v>
      </c>
      <c r="E2" t="s">
        <v>10</v>
      </c>
      <c r="F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 t="str">
        <f>IF(tblShipments[[#This Row],[EGM no]]="", "Missing EGM", "EGM Submitted")</f>
        <v>EGM Submitted</v>
      </c>
      <c r="H2" t="str">
        <f>IF(OR(ISNUMBER(SEARCH("Released",tblShipments[[#This Row],[ROSL]])),
      ISNUMBER(SEARCH("Scroll",tblShipments[[#This Row],[ROSL]])),
      ISNUMBER(SEARCH("Y",tblShipments[[#This Row],[ROSL]]))),
   "Released",
   "Not Released")</f>
        <v>Released</v>
      </c>
      <c r="I2" t="str">
        <f>IF(OR(tblShipments[[#This Row],[EGM no]]="", tblShipments[[#This Row],[EGM no]]="N.A."), "Not Submitted", "Submitted")</f>
        <v>Submitted</v>
      </c>
      <c r="J2" t="str">
        <f>IF(LEFT(tblShipments[[#This Row],[Gateway_Extracted]],2)="IN","Valid","Invalid")</f>
        <v>Valid</v>
      </c>
      <c r="K2" t="s">
        <v>11</v>
      </c>
      <c r="L2" t="s">
        <v>12</v>
      </c>
      <c r="M2" t="s">
        <v>13</v>
      </c>
      <c r="N2" t="s">
        <v>14</v>
      </c>
      <c r="O2" t="str">
        <f>IFERROR("IN" &amp; _xlfn.TEXTBEFORE(_xlfn.TEXTAFTER(UPPER(tblShipments[[#This Row],[Gateway_clean]]),"IN")," ",1),"")</f>
        <v>INMUN1</v>
      </c>
      <c r="P2" t="str">
        <f>SUBSTITUTE(tblShipments[[#This Row],[Gateway]], CHAR(10), " ")</f>
        <v xml:space="preserve">AWB No. Gateway Port Gateway EGM No. Gateway EGM Date Gateway Site ID Error Code N.A.  INMUN1  137976  2017-11-01 00:00:00.0  INMUN1  S </v>
      </c>
      <c r="Q2" t="s">
        <v>15</v>
      </c>
    </row>
    <row r="3" spans="1:17" ht="58" x14ac:dyDescent="0.35">
      <c r="A3" t="s">
        <v>8</v>
      </c>
      <c r="B3">
        <v>7100605</v>
      </c>
      <c r="C3" s="2" t="s">
        <v>9</v>
      </c>
      <c r="D3" s="2" t="str">
        <f>LEFT(TRIM(MID(SUBSTITUTE(tblShipments[[#This Row],[Details]],CHAR(10)," "), FIND(CHAR(10),tblShipments[[#This Row],[Details]])+1, 50)), 10)</f>
        <v>0597024561</v>
      </c>
      <c r="E3" s="1" t="s">
        <v>16</v>
      </c>
      <c r="F3" s="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 s="1" t="str">
        <f>IF(tblShipments[[#This Row],[EGM no]]="", "Missing EGM", "EGM Submitted")</f>
        <v>EGM Submitted</v>
      </c>
      <c r="H3" s="1" t="str">
        <f>IF(OR(ISNUMBER(SEARCH("Released",tblShipments[[#This Row],[ROSL]])),
      ISNUMBER(SEARCH("Scroll",tblShipments[[#This Row],[ROSL]])),
      ISNUMBER(SEARCH("Y",tblShipments[[#This Row],[ROSL]]))),
   "Released",
   "Not Released")</f>
        <v>Released</v>
      </c>
      <c r="I3" s="1" t="str">
        <f>IF(OR(tblShipments[[#This Row],[EGM no]]="", tblShipments[[#This Row],[EGM no]]="N.A."), "Not Submitted", "Submitted")</f>
        <v>Submitted</v>
      </c>
      <c r="J3" s="1" t="str">
        <f>IF(LEFT(tblShipments[[#This Row],[Gateway_Extracted]],2)="IN","Valid","Invalid")</f>
        <v>Valid</v>
      </c>
      <c r="K3" t="s">
        <v>17</v>
      </c>
      <c r="L3" t="s">
        <v>18</v>
      </c>
      <c r="M3" t="s">
        <v>13</v>
      </c>
      <c r="N3" t="s">
        <v>19</v>
      </c>
      <c r="O3" t="str">
        <f>IFERROR("IN" &amp; _xlfn.TEXTBEFORE(_xlfn.TEXTAFTER(UPPER(tblShipments[[#This Row],[Gateway_clean]]),"IN")," ",1),"")</f>
        <v>INMUN1</v>
      </c>
      <c r="P3" t="str">
        <f>SUBSTITUTE(tblShipments[[#This Row],[Gateway]], CHAR(10), " ")</f>
        <v xml:space="preserve">AWB No. Gateway Port Gateway EGM No. Gateway EGM Date Gateway Site ID Error Code N.A.  INMUN1  131465  2017-07-14 00:00:00.0  INMUN1  S </v>
      </c>
      <c r="Q3" t="s">
        <v>20</v>
      </c>
    </row>
    <row r="4" spans="1:17" x14ac:dyDescent="0.35">
      <c r="A4" t="s">
        <v>8</v>
      </c>
      <c r="B4">
        <v>7183827</v>
      </c>
      <c r="C4" s="2" t="s">
        <v>21</v>
      </c>
      <c r="D4" s="2" t="str">
        <f>LEFT(TRIM(MID(SUBSTITUTE(tblShipments[[#This Row],[Details]],CHAR(10)," "), FIND(CHAR(10),tblShipments[[#This Row],[Details]])+1, 50)), 10)</f>
        <v>0506074994</v>
      </c>
      <c r="E4" t="s">
        <v>22</v>
      </c>
      <c r="F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 t="str">
        <f>IF(tblShipments[[#This Row],[EGM no]]="", "Missing EGM", "EGM Submitted")</f>
        <v>EGM Submitted</v>
      </c>
      <c r="H4" t="str">
        <f>IF(OR(ISNUMBER(SEARCH("Released",tblShipments[[#This Row],[ROSL]])),
      ISNUMBER(SEARCH("Scroll",tblShipments[[#This Row],[ROSL]])),
      ISNUMBER(SEARCH("Y",tblShipments[[#This Row],[ROSL]]))),
   "Released",
   "Not Released")</f>
        <v>Released</v>
      </c>
      <c r="I4" t="str">
        <f>IF(OR(tblShipments[[#This Row],[EGM no]]="", tblShipments[[#This Row],[EGM no]]="N.A."), "Not Submitted", "Submitted")</f>
        <v>Submitted</v>
      </c>
      <c r="J4" t="str">
        <f>IF(LEFT(tblShipments[[#This Row],[Gateway_Extracted]],2)="IN","Valid","Invalid")</f>
        <v>Valid</v>
      </c>
      <c r="K4" t="s">
        <v>23</v>
      </c>
      <c r="L4" t="s">
        <v>24</v>
      </c>
      <c r="M4" t="s">
        <v>13</v>
      </c>
      <c r="N4" t="s">
        <v>25</v>
      </c>
      <c r="O4" t="str">
        <f>IFERROR("IN" &amp; _xlfn.TEXTBEFORE(_xlfn.TEXTAFTER(UPPER(tblShipments[[#This Row],[Gateway_clean]]),"IN")," ",1),"")</f>
        <v>INNSA1</v>
      </c>
      <c r="P4" t="str">
        <f>SUBSTITUTE(tblShipments[[#This Row],[Gateway]], CHAR(10), " ")</f>
        <v xml:space="preserve">AWB No. Gateway Port Gateway EGM No. Gateway EGM Date Gateway Site ID Error Code N.A.  INNSA1  N.A.  N.A.  N.A.  N.A. </v>
      </c>
      <c r="Q4" t="s">
        <v>26</v>
      </c>
    </row>
    <row r="5" spans="1:17" x14ac:dyDescent="0.35">
      <c r="A5" t="s">
        <v>8</v>
      </c>
      <c r="B5">
        <v>7603758</v>
      </c>
      <c r="C5" s="2" t="s">
        <v>27</v>
      </c>
      <c r="D5" s="2" t="str">
        <f>LEFT(TRIM(MID(SUBSTITUTE(tblShipments[[#This Row],[Details]],CHAR(10)," "), FIND(CHAR(10),tblShipments[[#This Row],[Details]])+1, 50)), 10)</f>
        <v>0505023954</v>
      </c>
      <c r="E5" t="s">
        <v>28</v>
      </c>
      <c r="F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 t="str">
        <f>IF(tblShipments[[#This Row],[EGM no]]="", "Missing EGM", "EGM Submitted")</f>
        <v>EGM Submitted</v>
      </c>
      <c r="H5" t="str">
        <f>IF(OR(ISNUMBER(SEARCH("Released",tblShipments[[#This Row],[ROSL]])),
      ISNUMBER(SEARCH("Scroll",tblShipments[[#This Row],[ROSL]])),
      ISNUMBER(SEARCH("Y",tblShipments[[#This Row],[ROSL]]))),
   "Released",
   "Not Released")</f>
        <v>Released</v>
      </c>
      <c r="I5" t="str">
        <f>IF(OR(tblShipments[[#This Row],[EGM no]]="", tblShipments[[#This Row],[EGM no]]="N.A."), "Not Submitted", "Submitted")</f>
        <v>Submitted</v>
      </c>
      <c r="J5" t="str">
        <f>IF(LEFT(tblShipments[[#This Row],[Gateway_Extracted]],2)="IN","Valid","Invalid")</f>
        <v>Valid</v>
      </c>
      <c r="K5" t="s">
        <v>29</v>
      </c>
      <c r="L5" t="s">
        <v>30</v>
      </c>
      <c r="M5" t="s">
        <v>31</v>
      </c>
      <c r="N5" t="s">
        <v>32</v>
      </c>
      <c r="O5" t="str">
        <f>IFERROR("IN" &amp; _xlfn.TEXTBEFORE(_xlfn.TEXTAFTER(UPPER(tblShipments[[#This Row],[Gateway_clean]]),"IN")," ",1),"")</f>
        <v>INNSA1</v>
      </c>
      <c r="P5" t="str">
        <f>SUBSTITUTE(tblShipments[[#This Row],[Gateway]], CHAR(10), " ")</f>
        <v xml:space="preserve">AWB No. Gateway Port Gateway EGM No. Gateway EGM Date Gateway Site ID Error Code N.A.  INNSA1  N.A.  N.A.  N.A.  N.A. </v>
      </c>
      <c r="Q5" t="s">
        <v>26</v>
      </c>
    </row>
    <row r="6" spans="1:17" x14ac:dyDescent="0.35">
      <c r="A6" t="s">
        <v>8</v>
      </c>
      <c r="B6">
        <v>7616933</v>
      </c>
      <c r="C6" s="2" t="s">
        <v>27</v>
      </c>
      <c r="D6" s="2" t="str">
        <f>LEFT(TRIM(MID(SUBSTITUTE(tblShipments[[#This Row],[Details]],CHAR(10)," "), FIND(CHAR(10),tblShipments[[#This Row],[Details]])+1, 50)), 10)</f>
        <v>0508003300</v>
      </c>
      <c r="E6" t="s">
        <v>33</v>
      </c>
      <c r="F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 t="str">
        <f>IF(tblShipments[[#This Row],[EGM no]]="", "Missing EGM", "EGM Submitted")</f>
        <v>EGM Submitted</v>
      </c>
      <c r="H6" t="str">
        <f>IF(OR(ISNUMBER(SEARCH("Released",tblShipments[[#This Row],[ROSL]])),
      ISNUMBER(SEARCH("Scroll",tblShipments[[#This Row],[ROSL]])),
      ISNUMBER(SEARCH("Y",tblShipments[[#This Row],[ROSL]]))),
   "Released",
   "Not Released")</f>
        <v>Released</v>
      </c>
      <c r="I6" t="str">
        <f>IF(OR(tblShipments[[#This Row],[EGM no]]="", tblShipments[[#This Row],[EGM no]]="N.A."), "Not Submitted", "Submitted")</f>
        <v>Submitted</v>
      </c>
      <c r="J6" t="str">
        <f>IF(LEFT(tblShipments[[#This Row],[Gateway_Extracted]],2)="IN","Valid","Invalid")</f>
        <v>Valid</v>
      </c>
      <c r="K6" t="s">
        <v>34</v>
      </c>
      <c r="L6" t="s">
        <v>35</v>
      </c>
      <c r="M6" t="s">
        <v>13</v>
      </c>
      <c r="N6" t="s">
        <v>36</v>
      </c>
      <c r="O6" t="str">
        <f>IFERROR("IN" &amp; _xlfn.TEXTBEFORE(_xlfn.TEXTAFTER(UPPER(tblShipments[[#This Row],[Gateway_clean]]),"IN")," ",1),"")</f>
        <v>INNSA1</v>
      </c>
      <c r="P6" t="str">
        <f>SUBSTITUTE(tblShipments[[#This Row],[Gateway]], CHAR(10), " ")</f>
        <v xml:space="preserve">AWB No. Gateway Port Gateway EGM No. Gateway EGM Date Gateway Site ID Error Code N.A.  INNSA1  132025  2017-07-24 00:00:00.0  INNSA1  S </v>
      </c>
      <c r="Q6" t="s">
        <v>37</v>
      </c>
    </row>
    <row r="7" spans="1:17" x14ac:dyDescent="0.35">
      <c r="A7" t="s">
        <v>8</v>
      </c>
      <c r="B7">
        <v>7623801</v>
      </c>
      <c r="C7" s="2" t="s">
        <v>38</v>
      </c>
      <c r="D7" s="2" t="str">
        <f>LEFT(TRIM(MID(SUBSTITUTE(tblShipments[[#This Row],[Details]],CHAR(10)," "), FIND(CHAR(10),tblShipments[[#This Row],[Details]])+1, 50)), 10)</f>
        <v>0596009488</v>
      </c>
      <c r="E7" t="s">
        <v>39</v>
      </c>
      <c r="F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 t="str">
        <f>IF(tblShipments[[#This Row],[EGM no]]="", "Missing EGM", "EGM Submitted")</f>
        <v>EGM Submitted</v>
      </c>
      <c r="H7" t="str">
        <f>IF(OR(ISNUMBER(SEARCH("Released",tblShipments[[#This Row],[ROSL]])),
      ISNUMBER(SEARCH("Scroll",tblShipments[[#This Row],[ROSL]])),
      ISNUMBER(SEARCH("Y",tblShipments[[#This Row],[ROSL]]))),
   "Released",
   "Not Released")</f>
        <v>Released</v>
      </c>
      <c r="I7" t="str">
        <f>IF(OR(tblShipments[[#This Row],[EGM no]]="", tblShipments[[#This Row],[EGM no]]="N.A."), "Not Submitted", "Submitted")</f>
        <v>Submitted</v>
      </c>
      <c r="J7" t="str">
        <f>IF(LEFT(tblShipments[[#This Row],[Gateway_Extracted]],2)="IN","Valid","Invalid")</f>
        <v>Valid</v>
      </c>
      <c r="K7" t="s">
        <v>40</v>
      </c>
      <c r="L7" t="s">
        <v>41</v>
      </c>
      <c r="M7" t="s">
        <v>13</v>
      </c>
      <c r="N7" t="s">
        <v>42</v>
      </c>
      <c r="O7" t="str">
        <f>IFERROR("IN" &amp; _xlfn.TEXTBEFORE(_xlfn.TEXTAFTER(UPPER(tblShipments[[#This Row],[Gateway_clean]]),"IN")," ",1),"")</f>
        <v>INMUN1</v>
      </c>
      <c r="P7" t="str">
        <f>SUBSTITUTE(tblShipments[[#This Row],[Gateway]], CHAR(10), " ")</f>
        <v xml:space="preserve">AWB No. Gateway Port Gateway EGM No. Gateway EGM Date Gateway Site ID Error Code N.A.  INMUN1  132702  2017-08-04 00:00:00.0  INMUN1  S </v>
      </c>
      <c r="Q7" t="s">
        <v>43</v>
      </c>
    </row>
    <row r="8" spans="1:17" x14ac:dyDescent="0.35">
      <c r="A8" t="s">
        <v>8</v>
      </c>
      <c r="B8">
        <v>7638661</v>
      </c>
      <c r="C8" s="2" t="s">
        <v>38</v>
      </c>
      <c r="D8" s="2" t="str">
        <f>LEFT(TRIM(MID(SUBSTITUTE(tblShipments[[#This Row],[Details]],CHAR(10)," "), FIND(CHAR(10),tblShipments[[#This Row],[Details]])+1, 50)), 10)</f>
        <v>0506070484</v>
      </c>
      <c r="E8" t="s">
        <v>44</v>
      </c>
      <c r="F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 t="str">
        <f>IF(tblShipments[[#This Row],[EGM no]]="", "Missing EGM", "EGM Submitted")</f>
        <v>EGM Submitted</v>
      </c>
      <c r="H8" t="str">
        <f>IF(OR(ISNUMBER(SEARCH("Released",tblShipments[[#This Row],[ROSL]])),
      ISNUMBER(SEARCH("Scroll",tblShipments[[#This Row],[ROSL]])),
      ISNUMBER(SEARCH("Y",tblShipments[[#This Row],[ROSL]]))),
   "Released",
   "Not Released")</f>
        <v>Released</v>
      </c>
      <c r="I8" t="str">
        <f>IF(OR(tblShipments[[#This Row],[EGM no]]="", tblShipments[[#This Row],[EGM no]]="N.A."), "Not Submitted", "Submitted")</f>
        <v>Submitted</v>
      </c>
      <c r="J8" t="str">
        <f>IF(LEFT(tblShipments[[#This Row],[Gateway_Extracted]],2)="IN","Valid","Invalid")</f>
        <v>Valid</v>
      </c>
      <c r="K8" t="s">
        <v>45</v>
      </c>
      <c r="L8" t="s">
        <v>46</v>
      </c>
      <c r="M8" t="s">
        <v>31</v>
      </c>
      <c r="N8" t="s">
        <v>47</v>
      </c>
      <c r="O8" t="str">
        <f>IFERROR("IN" &amp; _xlfn.TEXTBEFORE(_xlfn.TEXTAFTER(UPPER(tblShipments[[#This Row],[Gateway_clean]]),"IN")," ",1),"")</f>
        <v>INNSA1</v>
      </c>
      <c r="P8" t="str">
        <f>SUBSTITUTE(tblShipments[[#This Row],[Gateway]], CHAR(10), " ")</f>
        <v xml:space="preserve">AWB No. Gateway Port Gateway EGM No. Gateway EGM Date Gateway Site ID Error Code N.A.  INNSA1  N.A.  N.A.  N.A.  N.A. </v>
      </c>
      <c r="Q8" t="s">
        <v>26</v>
      </c>
    </row>
    <row r="9" spans="1:17" x14ac:dyDescent="0.35">
      <c r="A9" t="s">
        <v>8</v>
      </c>
      <c r="B9">
        <v>7640213</v>
      </c>
      <c r="C9" s="2" t="s">
        <v>38</v>
      </c>
      <c r="D9" s="2" t="str">
        <f>LEFT(TRIM(MID(SUBSTITUTE(tblShipments[[#This Row],[Details]],CHAR(10)," "), FIND(CHAR(10),tblShipments[[#This Row],[Details]])+1, 50)), 10)</f>
        <v>0514019492</v>
      </c>
      <c r="E9" t="s">
        <v>48</v>
      </c>
      <c r="F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 t="str">
        <f>IF(tblShipments[[#This Row],[EGM no]]="", "Missing EGM", "EGM Submitted")</f>
        <v>EGM Submitted</v>
      </c>
      <c r="H9" t="str">
        <f>IF(OR(ISNUMBER(SEARCH("Released",tblShipments[[#This Row],[ROSL]])),
      ISNUMBER(SEARCH("Scroll",tblShipments[[#This Row],[ROSL]])),
      ISNUMBER(SEARCH("Y",tblShipments[[#This Row],[ROSL]]))),
   "Released",
   "Not Released")</f>
        <v>Released</v>
      </c>
      <c r="I9" t="str">
        <f>IF(OR(tblShipments[[#This Row],[EGM no]]="", tblShipments[[#This Row],[EGM no]]="N.A."), "Not Submitted", "Submitted")</f>
        <v>Submitted</v>
      </c>
      <c r="J9" t="str">
        <f>IF(LEFT(tblShipments[[#This Row],[Gateway_Extracted]],2)="IN","Valid","Invalid")</f>
        <v>Valid</v>
      </c>
      <c r="K9" t="s">
        <v>49</v>
      </c>
      <c r="L9" t="s">
        <v>50</v>
      </c>
      <c r="M9" t="s">
        <v>13</v>
      </c>
      <c r="N9" t="s">
        <v>51</v>
      </c>
      <c r="O9" t="str">
        <f>IFERROR("IN" &amp; _xlfn.TEXTBEFORE(_xlfn.TEXTAFTER(UPPER(tblShipments[[#This Row],[Gateway_clean]]),"IN")," ",1),"")</f>
        <v>INMUN1</v>
      </c>
      <c r="P9" t="str">
        <f>SUBSTITUTE(tblShipments[[#This Row],[Gateway]], CHAR(10), " ")</f>
        <v xml:space="preserve">AWB No. Gateway Port Gateway EGM No. Gateway EGM Date Gateway Site ID Error Code N.A.  INMUN1  134053  2017-08-28 00:00:00.0  INMUN1  ST </v>
      </c>
      <c r="Q9" t="s">
        <v>52</v>
      </c>
    </row>
    <row r="10" spans="1:17" x14ac:dyDescent="0.35">
      <c r="A10" t="s">
        <v>8</v>
      </c>
      <c r="B10">
        <v>7641404</v>
      </c>
      <c r="C10" s="2" t="s">
        <v>38</v>
      </c>
      <c r="D10" s="2" t="str">
        <f>LEFT(TRIM(MID(SUBSTITUTE(tblShipments[[#This Row],[Details]],CHAR(10)," "), FIND(CHAR(10),tblShipments[[#This Row],[Details]])+1, 50)), 10)</f>
        <v>0508003300</v>
      </c>
      <c r="E10" t="s">
        <v>53</v>
      </c>
      <c r="F1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 t="str">
        <f>IF(tblShipments[[#This Row],[EGM no]]="", "Missing EGM", "EGM Submitted")</f>
        <v>EGM Submitted</v>
      </c>
      <c r="H10" t="str">
        <f>IF(OR(ISNUMBER(SEARCH("Released",tblShipments[[#This Row],[ROSL]])),
      ISNUMBER(SEARCH("Scroll",tblShipments[[#This Row],[ROSL]])),
      ISNUMBER(SEARCH("Y",tblShipments[[#This Row],[ROSL]]))),
   "Released",
   "Not Released")</f>
        <v>Released</v>
      </c>
      <c r="I10" t="str">
        <f>IF(OR(tblShipments[[#This Row],[EGM no]]="", tblShipments[[#This Row],[EGM no]]="N.A."), "Not Submitted", "Submitted")</f>
        <v>Submitted</v>
      </c>
      <c r="J10" t="str">
        <f>IF(LEFT(tblShipments[[#This Row],[Gateway_Extracted]],2)="IN","Valid","Invalid")</f>
        <v>Valid</v>
      </c>
      <c r="K10" t="s">
        <v>49</v>
      </c>
      <c r="L10" t="s">
        <v>54</v>
      </c>
      <c r="M10" t="s">
        <v>13</v>
      </c>
      <c r="N10" t="s">
        <v>55</v>
      </c>
      <c r="O10" t="str">
        <f>IFERROR("IN" &amp; _xlfn.TEXTBEFORE(_xlfn.TEXTAFTER(UPPER(tblShipments[[#This Row],[Gateway_clean]]),"IN")," ",1),"")</f>
        <v>INNSA1</v>
      </c>
      <c r="P10" t="str">
        <f>SUBSTITUTE(tblShipments[[#This Row],[Gateway]], CHAR(10), " ")</f>
        <v xml:space="preserve">AWB No. Gateway Port Gateway EGM No. Gateway EGM Date Gateway Site ID Error Code N.A.  INNSA1  131685  2017-07-18 00:00:00.0  INNSA1  S </v>
      </c>
      <c r="Q10" t="s">
        <v>56</v>
      </c>
    </row>
    <row r="11" spans="1:17" x14ac:dyDescent="0.35">
      <c r="A11" t="s">
        <v>8</v>
      </c>
      <c r="B11">
        <v>7641415</v>
      </c>
      <c r="C11" s="2" t="s">
        <v>38</v>
      </c>
      <c r="D11" s="2" t="str">
        <f>LEFT(TRIM(MID(SUBSTITUTE(tblShipments[[#This Row],[Details]],CHAR(10)," "), FIND(CHAR(10),tblShipments[[#This Row],[Details]])+1, 50)), 10)</f>
        <v>0508003300</v>
      </c>
      <c r="E11" t="s">
        <v>57</v>
      </c>
      <c r="F1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 t="str">
        <f>IF(tblShipments[[#This Row],[EGM no]]="", "Missing EGM", "EGM Submitted")</f>
        <v>EGM Submitted</v>
      </c>
      <c r="H11" t="str">
        <f>IF(OR(ISNUMBER(SEARCH("Released",tblShipments[[#This Row],[ROSL]])),
      ISNUMBER(SEARCH("Scroll",tblShipments[[#This Row],[ROSL]])),
      ISNUMBER(SEARCH("Y",tblShipments[[#This Row],[ROSL]]))),
   "Released",
   "Not Released")</f>
        <v>Released</v>
      </c>
      <c r="I11" t="str">
        <f>IF(OR(tblShipments[[#This Row],[EGM no]]="", tblShipments[[#This Row],[EGM no]]="N.A."), "Not Submitted", "Submitted")</f>
        <v>Submitted</v>
      </c>
      <c r="J11" t="str">
        <f>IF(LEFT(tblShipments[[#This Row],[Gateway_Extracted]],2)="IN","Valid","Invalid")</f>
        <v>Valid</v>
      </c>
      <c r="K11" t="s">
        <v>49</v>
      </c>
      <c r="L11" t="s">
        <v>54</v>
      </c>
      <c r="M11" t="s">
        <v>13</v>
      </c>
      <c r="N11" t="s">
        <v>58</v>
      </c>
      <c r="O11" t="str">
        <f>IFERROR("IN" &amp; _xlfn.TEXTBEFORE(_xlfn.TEXTAFTER(UPPER(tblShipments[[#This Row],[Gateway_clean]]),"IN")," ",1),"")</f>
        <v>INNSA1</v>
      </c>
      <c r="P11" t="str">
        <f>SUBSTITUTE(tblShipments[[#This Row],[Gateway]], CHAR(10), " ")</f>
        <v xml:space="preserve">AWB No. Gateway Port Gateway EGM No. Gateway EGM Date Gateway Site ID Error Code N.A.  INNSA1  131685  2017-07-18 00:00:00.0  INNSA1  S </v>
      </c>
      <c r="Q11" t="s">
        <v>56</v>
      </c>
    </row>
    <row r="12" spans="1:17" x14ac:dyDescent="0.35">
      <c r="A12" t="s">
        <v>8</v>
      </c>
      <c r="B12">
        <v>7642279</v>
      </c>
      <c r="C12" s="2" t="s">
        <v>38</v>
      </c>
      <c r="D12" s="2" t="str">
        <f>LEFT(TRIM(MID(SUBSTITUTE(tblShipments[[#This Row],[Details]],CHAR(10)," "), FIND(CHAR(10),tblShipments[[#This Row],[Details]])+1, 50)), 10)</f>
        <v>0508003300</v>
      </c>
      <c r="E12" t="s">
        <v>59</v>
      </c>
      <c r="F1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 t="str">
        <f>IF(tblShipments[[#This Row],[EGM no]]="", "Missing EGM", "EGM Submitted")</f>
        <v>EGM Submitted</v>
      </c>
      <c r="H12" t="str">
        <f>IF(OR(ISNUMBER(SEARCH("Released",tblShipments[[#This Row],[ROSL]])),
      ISNUMBER(SEARCH("Scroll",tblShipments[[#This Row],[ROSL]])),
      ISNUMBER(SEARCH("Y",tblShipments[[#This Row],[ROSL]]))),
   "Released",
   "Not Released")</f>
        <v>Released</v>
      </c>
      <c r="I12" t="str">
        <f>IF(OR(tblShipments[[#This Row],[EGM no]]="", tblShipments[[#This Row],[EGM no]]="N.A."), "Not Submitted", "Submitted")</f>
        <v>Submitted</v>
      </c>
      <c r="J12" t="str">
        <f>IF(LEFT(tblShipments[[#This Row],[Gateway_Extracted]],2)="IN","Valid","Invalid")</f>
        <v>Valid</v>
      </c>
      <c r="K12" t="s">
        <v>49</v>
      </c>
      <c r="L12" t="s">
        <v>60</v>
      </c>
      <c r="M12" t="s">
        <v>13</v>
      </c>
      <c r="N12" t="s">
        <v>61</v>
      </c>
      <c r="O12" t="str">
        <f>IFERROR("IN" &amp; _xlfn.TEXTBEFORE(_xlfn.TEXTAFTER(UPPER(tblShipments[[#This Row],[Gateway_clean]]),"IN")," ",1),"")</f>
        <v>INNSA1</v>
      </c>
      <c r="P12" t="str">
        <f>SUBSTITUTE(tblShipments[[#This Row],[Gateway]], CHAR(10), " ")</f>
        <v xml:space="preserve">AWB No. Gateway Port Gateway EGM No. Gateway EGM Date Gateway Site ID Error Code N.A.  INNSA1  131685  2017-07-18 00:00:00.0  INNSA1  S </v>
      </c>
      <c r="Q12" t="s">
        <v>56</v>
      </c>
    </row>
    <row r="13" spans="1:17" x14ac:dyDescent="0.35">
      <c r="A13" t="s">
        <v>8</v>
      </c>
      <c r="B13">
        <v>7646561</v>
      </c>
      <c r="C13" s="2" t="s">
        <v>62</v>
      </c>
      <c r="D13" s="2" t="str">
        <f>LEFT(TRIM(MID(SUBSTITUTE(tblShipments[[#This Row],[Details]],CHAR(10)," "), FIND(CHAR(10),tblShipments[[#This Row],[Details]])+1, 50)), 10)</f>
        <v>0513056661</v>
      </c>
      <c r="E13" t="s">
        <v>63</v>
      </c>
      <c r="F1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 t="str">
        <f>IF(tblShipments[[#This Row],[EGM no]]="", "Missing EGM", "EGM Submitted")</f>
        <v>EGM Submitted</v>
      </c>
      <c r="H13" t="str">
        <f>IF(OR(ISNUMBER(SEARCH("Released",tblShipments[[#This Row],[ROSL]])),
      ISNUMBER(SEARCH("Scroll",tblShipments[[#This Row],[ROSL]])),
      ISNUMBER(SEARCH("Y",tblShipments[[#This Row],[ROSL]]))),
   "Released",
   "Not Released")</f>
        <v>Released</v>
      </c>
      <c r="I13" t="str">
        <f>IF(OR(tblShipments[[#This Row],[EGM no]]="", tblShipments[[#This Row],[EGM no]]="N.A."), "Not Submitted", "Submitted")</f>
        <v>Submitted</v>
      </c>
      <c r="J13" t="str">
        <f>IF(LEFT(tblShipments[[#This Row],[Gateway_Extracted]],2)="IN","Valid","Invalid")</f>
        <v>Valid</v>
      </c>
      <c r="K13" t="s">
        <v>64</v>
      </c>
      <c r="L13" t="s">
        <v>65</v>
      </c>
      <c r="M13" t="s">
        <v>13</v>
      </c>
      <c r="N13" t="s">
        <v>66</v>
      </c>
      <c r="O13" t="str">
        <f>IFERROR("IN" &amp; _xlfn.TEXTBEFORE(_xlfn.TEXTAFTER(UPPER(tblShipments[[#This Row],[Gateway_clean]]),"IN")," ",1),"")</f>
        <v>INNSA1</v>
      </c>
      <c r="P13" t="str">
        <f>SUBSTITUTE(tblShipments[[#This Row],[Gateway]], CHAR(10), " ")</f>
        <v xml:space="preserve">AWB No. Gateway Port Gateway EGM No. Gateway EGM Date Gateway Site ID Error Code N.A.  INNSA1  132025  2017-07-24 00:00:00.0  INNSA1  S </v>
      </c>
      <c r="Q13" t="s">
        <v>37</v>
      </c>
    </row>
    <row r="14" spans="1:17" x14ac:dyDescent="0.35">
      <c r="A14" t="s">
        <v>8</v>
      </c>
      <c r="B14">
        <v>7649257</v>
      </c>
      <c r="C14" s="2" t="s">
        <v>62</v>
      </c>
      <c r="D14" s="2" t="str">
        <f>LEFT(TRIM(MID(SUBSTITUTE(tblShipments[[#This Row],[Details]],CHAR(10)," "), FIND(CHAR(10),tblShipments[[#This Row],[Details]])+1, 50)), 10)</f>
        <v>0593058577</v>
      </c>
      <c r="E14" t="s">
        <v>67</v>
      </c>
      <c r="F1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 t="str">
        <f>IF(tblShipments[[#This Row],[EGM no]]="", "Missing EGM", "EGM Submitted")</f>
        <v>EGM Submitted</v>
      </c>
      <c r="H14" t="str">
        <f>IF(OR(ISNUMBER(SEARCH("Released",tblShipments[[#This Row],[ROSL]])),
      ISNUMBER(SEARCH("Scroll",tblShipments[[#This Row],[ROSL]])),
      ISNUMBER(SEARCH("Y",tblShipments[[#This Row],[ROSL]]))),
   "Released",
   "Not Released")</f>
        <v>Released</v>
      </c>
      <c r="I14" t="str">
        <f>IF(OR(tblShipments[[#This Row],[EGM no]]="", tblShipments[[#This Row],[EGM no]]="N.A."), "Not Submitted", "Submitted")</f>
        <v>Submitted</v>
      </c>
      <c r="J14" t="str">
        <f>IF(LEFT(tblShipments[[#This Row],[Gateway_Extracted]],2)="IN","Valid","Invalid")</f>
        <v>Valid</v>
      </c>
      <c r="K14" t="s">
        <v>68</v>
      </c>
      <c r="L14" t="s">
        <v>69</v>
      </c>
      <c r="M14" t="s">
        <v>13</v>
      </c>
      <c r="N14" t="s">
        <v>70</v>
      </c>
      <c r="O14" t="str">
        <f>IFERROR("IN" &amp; _xlfn.TEXTBEFORE(_xlfn.TEXTAFTER(UPPER(tblShipments[[#This Row],[Gateway_clean]]),"IN")," ",1),"")</f>
        <v>INNSA1</v>
      </c>
      <c r="P14" t="str">
        <f>SUBSTITUTE(tblShipments[[#This Row],[Gateway]], CHAR(10), " ")</f>
        <v xml:space="preserve">AWB No. Gateway Port Gateway EGM No. Gateway EGM Date Gateway Site ID Error Code N.A.  INNSA1  132025  2017-07-24 00:00:00.0  INNSA1  S </v>
      </c>
      <c r="Q14" t="s">
        <v>37</v>
      </c>
    </row>
    <row r="15" spans="1:17" x14ac:dyDescent="0.35">
      <c r="A15" t="s">
        <v>8</v>
      </c>
      <c r="B15">
        <v>7662086</v>
      </c>
      <c r="C15" s="2" t="s">
        <v>62</v>
      </c>
      <c r="D15" s="2" t="str">
        <f>LEFT(TRIM(MID(SUBSTITUTE(tblShipments[[#This Row],[Details]],CHAR(10)," "), FIND(CHAR(10),tblShipments[[#This Row],[Details]])+1, 50)), 10)</f>
        <v>0516929674</v>
      </c>
      <c r="E15" t="s">
        <v>71</v>
      </c>
      <c r="F1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 t="str">
        <f>IF(tblShipments[[#This Row],[EGM no]]="", "Missing EGM", "EGM Submitted")</f>
        <v>EGM Submitted</v>
      </c>
      <c r="H15" t="str">
        <f>IF(OR(ISNUMBER(SEARCH("Released",tblShipments[[#This Row],[ROSL]])),
      ISNUMBER(SEARCH("Scroll",tblShipments[[#This Row],[ROSL]])),
      ISNUMBER(SEARCH("Y",tblShipments[[#This Row],[ROSL]]))),
   "Released",
   "Not Released")</f>
        <v>Released</v>
      </c>
      <c r="I15" t="str">
        <f>IF(OR(tblShipments[[#This Row],[EGM no]]="", tblShipments[[#This Row],[EGM no]]="N.A."), "Not Submitted", "Submitted")</f>
        <v>Submitted</v>
      </c>
      <c r="J15" t="str">
        <f>IF(LEFT(tblShipments[[#This Row],[Gateway_Extracted]],2)="IN","Valid","Invalid")</f>
        <v>Valid</v>
      </c>
      <c r="K15" t="s">
        <v>72</v>
      </c>
      <c r="L15" t="s">
        <v>73</v>
      </c>
      <c r="M15" t="s">
        <v>13</v>
      </c>
      <c r="N15" t="s">
        <v>74</v>
      </c>
      <c r="O15" t="str">
        <f>IFERROR("IN" &amp; _xlfn.TEXTBEFORE(_xlfn.TEXTAFTER(UPPER(tblShipments[[#This Row],[Gateway_clean]]),"IN")," ",1),"")</f>
        <v>INNSA1</v>
      </c>
      <c r="P15" t="str">
        <f>SUBSTITUTE(tblShipments[[#This Row],[Gateway]], CHAR(10), " ")</f>
        <v xml:space="preserve">AWB No. Gateway Port Gateway EGM No. Gateway EGM Date Gateway Site ID Error Code N.A.  INNSA1  132629  2017-08-03 00:00:00.0  INNSA1  S </v>
      </c>
      <c r="Q15" t="s">
        <v>75</v>
      </c>
    </row>
    <row r="16" spans="1:17" x14ac:dyDescent="0.35">
      <c r="A16" t="s">
        <v>8</v>
      </c>
      <c r="B16">
        <v>7690771</v>
      </c>
      <c r="C16" s="2" t="s">
        <v>76</v>
      </c>
      <c r="D16" s="2" t="str">
        <f>LEFT(TRIM(MID(SUBSTITUTE(tblShipments[[#This Row],[Details]],CHAR(10)," "), FIND(CHAR(10),tblShipments[[#This Row],[Details]])+1, 50)), 10)</f>
        <v>0506046231</v>
      </c>
      <c r="E16" t="s">
        <v>77</v>
      </c>
      <c r="F1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 t="str">
        <f>IF(tblShipments[[#This Row],[EGM no]]="", "Missing EGM", "EGM Submitted")</f>
        <v>EGM Submitted</v>
      </c>
      <c r="H16" t="str">
        <f>IF(OR(ISNUMBER(SEARCH("Released",tblShipments[[#This Row],[ROSL]])),
      ISNUMBER(SEARCH("Scroll",tblShipments[[#This Row],[ROSL]])),
      ISNUMBER(SEARCH("Y",tblShipments[[#This Row],[ROSL]]))),
   "Released",
   "Not Released")</f>
        <v>Released</v>
      </c>
      <c r="I16" t="str">
        <f>IF(OR(tblShipments[[#This Row],[EGM no]]="", tblShipments[[#This Row],[EGM no]]="N.A."), "Not Submitted", "Submitted")</f>
        <v>Submitted</v>
      </c>
      <c r="J16" t="str">
        <f>IF(LEFT(tblShipments[[#This Row],[Gateway_Extracted]],2)="IN","Valid","Invalid")</f>
        <v>Valid</v>
      </c>
      <c r="K16" t="s">
        <v>78</v>
      </c>
      <c r="L16" t="s">
        <v>79</v>
      </c>
      <c r="M16" t="s">
        <v>13</v>
      </c>
      <c r="N16" t="s">
        <v>80</v>
      </c>
      <c r="O16" t="str">
        <f>IFERROR("IN" &amp; _xlfn.TEXTBEFORE(_xlfn.TEXTAFTER(UPPER(tblShipments[[#This Row],[Gateway_clean]]),"IN")," ",1),"")</f>
        <v>INNSA1</v>
      </c>
      <c r="P16" t="str">
        <f>SUBSTITUTE(tblShipments[[#This Row],[Gateway]], CHAR(10), " ")</f>
        <v xml:space="preserve">AWB No. Gateway Port Gateway EGM No. Gateway EGM Date Gateway Site ID Error Code N.A.  INNSA1  132146  2017-07-26 00:00:00.0  INNSA1  S </v>
      </c>
      <c r="Q16" t="s">
        <v>81</v>
      </c>
    </row>
    <row r="17" spans="1:17" x14ac:dyDescent="0.35">
      <c r="A17" t="s">
        <v>8</v>
      </c>
      <c r="B17">
        <v>7692707</v>
      </c>
      <c r="C17" s="2" t="s">
        <v>76</v>
      </c>
      <c r="D17" s="2" t="str">
        <f>LEFT(TRIM(MID(SUBSTITUTE(tblShipments[[#This Row],[Details]],CHAR(10)," "), FIND(CHAR(10),tblShipments[[#This Row],[Details]])+1, 50)), 10)</f>
        <v>0591026007</v>
      </c>
      <c r="E17" t="s">
        <v>82</v>
      </c>
      <c r="F1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 t="str">
        <f>IF(tblShipments[[#This Row],[EGM no]]="", "Missing EGM", "EGM Submitted")</f>
        <v>EGM Submitted</v>
      </c>
      <c r="H17" t="str">
        <f>IF(OR(ISNUMBER(SEARCH("Released",tblShipments[[#This Row],[ROSL]])),
      ISNUMBER(SEARCH("Scroll",tblShipments[[#This Row],[ROSL]])),
      ISNUMBER(SEARCH("Y",tblShipments[[#This Row],[ROSL]]))),
   "Released",
   "Not Released")</f>
        <v>Released</v>
      </c>
      <c r="I17" t="str">
        <f>IF(OR(tblShipments[[#This Row],[EGM no]]="", tblShipments[[#This Row],[EGM no]]="N.A."), "Not Submitted", "Submitted")</f>
        <v>Submitted</v>
      </c>
      <c r="J17" t="str">
        <f>IF(LEFT(tblShipments[[#This Row],[Gateway_Extracted]],2)="IN","Valid","Invalid")</f>
        <v>Valid</v>
      </c>
      <c r="K17" t="s">
        <v>83</v>
      </c>
      <c r="L17" t="s">
        <v>84</v>
      </c>
      <c r="M17" t="s">
        <v>13</v>
      </c>
      <c r="N17" t="s">
        <v>85</v>
      </c>
      <c r="O17" t="str">
        <f>IFERROR("IN" &amp; _xlfn.TEXTBEFORE(_xlfn.TEXTAFTER(UPPER(tblShipments[[#This Row],[Gateway_clean]]),"IN")," ",1),"")</f>
        <v>INNSA1</v>
      </c>
      <c r="P17" t="str">
        <f>SUBSTITUTE(tblShipments[[#This Row],[Gateway]], CHAR(10), " ")</f>
        <v xml:space="preserve">AWB No. Gateway Port Gateway EGM No. Gateway EGM Date Gateway Site ID Error Code N.A.  INNSA1  132431  2017-07-31 00:00:00.0  INNSA1  S </v>
      </c>
      <c r="Q17" t="s">
        <v>86</v>
      </c>
    </row>
    <row r="18" spans="1:17" x14ac:dyDescent="0.35">
      <c r="A18" t="s">
        <v>8</v>
      </c>
      <c r="B18">
        <v>7703453</v>
      </c>
      <c r="C18" s="2" t="s">
        <v>87</v>
      </c>
      <c r="D18" s="2" t="str">
        <f>LEFT(TRIM(MID(SUBSTITUTE(tblShipments[[#This Row],[Details]],CHAR(10)," "), FIND(CHAR(10),tblShipments[[#This Row],[Details]])+1, 50)), 10)</f>
        <v>0500016143</v>
      </c>
      <c r="E18" t="s">
        <v>88</v>
      </c>
      <c r="F1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 t="str">
        <f>IF(tblShipments[[#This Row],[EGM no]]="", "Missing EGM", "EGM Submitted")</f>
        <v>EGM Submitted</v>
      </c>
      <c r="H18" t="str">
        <f>IF(OR(ISNUMBER(SEARCH("Released",tblShipments[[#This Row],[ROSL]])),
      ISNUMBER(SEARCH("Scroll",tblShipments[[#This Row],[ROSL]])),
      ISNUMBER(SEARCH("Y",tblShipments[[#This Row],[ROSL]]))),
   "Released",
   "Not Released")</f>
        <v>Released</v>
      </c>
      <c r="I18" t="str">
        <f>IF(OR(tblShipments[[#This Row],[EGM no]]="", tblShipments[[#This Row],[EGM no]]="N.A."), "Not Submitted", "Submitted")</f>
        <v>Submitted</v>
      </c>
      <c r="J18" t="str">
        <f>IF(LEFT(tblShipments[[#This Row],[Gateway_Extracted]],2)="IN","Valid","Invalid")</f>
        <v>Valid</v>
      </c>
      <c r="K18" t="s">
        <v>89</v>
      </c>
      <c r="L18" t="s">
        <v>90</v>
      </c>
      <c r="M18" t="s">
        <v>13</v>
      </c>
      <c r="N18" t="s">
        <v>91</v>
      </c>
      <c r="O18" t="str">
        <f>IFERROR("IN" &amp; _xlfn.TEXTBEFORE(_xlfn.TEXTAFTER(UPPER(tblShipments[[#This Row],[Gateway_clean]]),"IN")," ",1),"")</f>
        <v>INNSA1</v>
      </c>
      <c r="P18" t="str">
        <f>SUBSTITUTE(tblShipments[[#This Row],[Gateway]], CHAR(10), " ")</f>
        <v xml:space="preserve">AWB No. Gateway Port Gateway EGM No. Gateway EGM Date Gateway Site ID Error Code N.A.  INNSA1  N.A.  N.A.  N.A.  N.A. </v>
      </c>
      <c r="Q18" t="s">
        <v>26</v>
      </c>
    </row>
    <row r="19" spans="1:17" x14ac:dyDescent="0.35">
      <c r="A19" t="s">
        <v>8</v>
      </c>
      <c r="B19">
        <v>7712075</v>
      </c>
      <c r="C19" s="2" t="s">
        <v>87</v>
      </c>
      <c r="D19" s="2" t="str">
        <f>LEFT(TRIM(MID(SUBSTITUTE(tblShipments[[#This Row],[Details]],CHAR(10)," "), FIND(CHAR(10),tblShipments[[#This Row],[Details]])+1, 50)), 10)</f>
        <v>1308012381</v>
      </c>
      <c r="E19" t="s">
        <v>92</v>
      </c>
      <c r="F1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 t="str">
        <f>IF(tblShipments[[#This Row],[EGM no]]="", "Missing EGM", "EGM Submitted")</f>
        <v>EGM Submitted</v>
      </c>
      <c r="H19" t="str">
        <f>IF(OR(ISNUMBER(SEARCH("Released",tblShipments[[#This Row],[ROSL]])),
      ISNUMBER(SEARCH("Scroll",tblShipments[[#This Row],[ROSL]])),
      ISNUMBER(SEARCH("Y",tblShipments[[#This Row],[ROSL]]))),
   "Released",
   "Not Released")</f>
        <v>Released</v>
      </c>
      <c r="I19" t="str">
        <f>IF(OR(tblShipments[[#This Row],[EGM no]]="", tblShipments[[#This Row],[EGM no]]="N.A."), "Not Submitted", "Submitted")</f>
        <v>Submitted</v>
      </c>
      <c r="J19" t="str">
        <f>IF(LEFT(tblShipments[[#This Row],[Gateway_Extracted]],2)="IN","Valid","Invalid")</f>
        <v>Valid</v>
      </c>
      <c r="K19" t="s">
        <v>72</v>
      </c>
      <c r="L19" t="s">
        <v>93</v>
      </c>
      <c r="M19" t="s">
        <v>13</v>
      </c>
      <c r="N19" t="s">
        <v>94</v>
      </c>
      <c r="O19" t="str">
        <f>IFERROR("IN" &amp; _xlfn.TEXTBEFORE(_xlfn.TEXTAFTER(UPPER(tblShipments[[#This Row],[Gateway_clean]]),"IN")," ",1),"")</f>
        <v>INMUN1</v>
      </c>
      <c r="P19" t="str">
        <f>SUBSTITUTE(tblShipments[[#This Row],[Gateway]], CHAR(10), " ")</f>
        <v xml:space="preserve">AWB No. Gateway Port Gateway EGM No. Gateway EGM Date Gateway Site ID Error Code N.A.  INMUN1  134637  2017-09-06 00:00:00.0  INMUN1  S </v>
      </c>
      <c r="Q19" t="s">
        <v>95</v>
      </c>
    </row>
    <row r="20" spans="1:17" x14ac:dyDescent="0.35">
      <c r="A20" t="s">
        <v>8</v>
      </c>
      <c r="B20">
        <v>7718281</v>
      </c>
      <c r="C20" s="2" t="s">
        <v>87</v>
      </c>
      <c r="D20" s="2" t="str">
        <f>LEFT(TRIM(MID(SUBSTITUTE(tblShipments[[#This Row],[Details]],CHAR(10)," "), FIND(CHAR(10),tblShipments[[#This Row],[Details]])+1, 50)), 10)</f>
        <v>0588055964</v>
      </c>
      <c r="E20" t="s">
        <v>96</v>
      </c>
      <c r="F2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 t="str">
        <f>IF(tblShipments[[#This Row],[EGM no]]="", "Missing EGM", "EGM Submitted")</f>
        <v>EGM Submitted</v>
      </c>
      <c r="H20" t="str">
        <f>IF(OR(ISNUMBER(SEARCH("Released",tblShipments[[#This Row],[ROSL]])),
      ISNUMBER(SEARCH("Scroll",tblShipments[[#This Row],[ROSL]])),
      ISNUMBER(SEARCH("Y",tblShipments[[#This Row],[ROSL]]))),
   "Released",
   "Not Released")</f>
        <v>Released</v>
      </c>
      <c r="I20" t="str">
        <f>IF(OR(tblShipments[[#This Row],[EGM no]]="", tblShipments[[#This Row],[EGM no]]="N.A."), "Not Submitted", "Submitted")</f>
        <v>Submitted</v>
      </c>
      <c r="J20" t="str">
        <f>IF(LEFT(tblShipments[[#This Row],[Gateway_Extracted]],2)="IN","Valid","Invalid")</f>
        <v>Valid</v>
      </c>
      <c r="K20" t="s">
        <v>97</v>
      </c>
      <c r="L20" t="s">
        <v>98</v>
      </c>
      <c r="M20" t="s">
        <v>13</v>
      </c>
      <c r="N20" t="s">
        <v>99</v>
      </c>
      <c r="O20" t="str">
        <f>IFERROR("IN" &amp; _xlfn.TEXTBEFORE(_xlfn.TEXTAFTER(UPPER(tblShipments[[#This Row],[Gateway_clean]]),"IN")," ",1),"")</f>
        <v>INNSA1</v>
      </c>
      <c r="P20" t="str">
        <f>SUBSTITUTE(tblShipments[[#This Row],[Gateway]], CHAR(10), " ")</f>
        <v xml:space="preserve">AWB No. Gateway Port Gateway EGM No. Gateway EGM Date Gateway Site ID Error Code N.A.  INNSA1  133033  2017-08-10 00:00:00.0  INNSA1  C </v>
      </c>
      <c r="Q20" t="s">
        <v>100</v>
      </c>
    </row>
    <row r="21" spans="1:17" x14ac:dyDescent="0.35">
      <c r="A21" t="s">
        <v>8</v>
      </c>
      <c r="B21">
        <v>7721241</v>
      </c>
      <c r="C21" s="2" t="s">
        <v>87</v>
      </c>
      <c r="D21" s="2" t="str">
        <f>LEFT(TRIM(MID(SUBSTITUTE(tblShipments[[#This Row],[Details]],CHAR(10)," "), FIND(CHAR(10),tblShipments[[#This Row],[Details]])+1, 50)), 10)</f>
        <v>3306001678</v>
      </c>
      <c r="E21" t="s">
        <v>101</v>
      </c>
      <c r="F2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 t="str">
        <f>IF(tblShipments[[#This Row],[EGM no]]="", "Missing EGM", "EGM Submitted")</f>
        <v>EGM Submitted</v>
      </c>
      <c r="H21" t="str">
        <f>IF(OR(ISNUMBER(SEARCH("Released",tblShipments[[#This Row],[ROSL]])),
      ISNUMBER(SEARCH("Scroll",tblShipments[[#This Row],[ROSL]])),
      ISNUMBER(SEARCH("Y",tblShipments[[#This Row],[ROSL]]))),
   "Released",
   "Not Released")</f>
        <v>Released</v>
      </c>
      <c r="I21" t="str">
        <f>IF(OR(tblShipments[[#This Row],[EGM no]]="", tblShipments[[#This Row],[EGM no]]="N.A."), "Not Submitted", "Submitted")</f>
        <v>Submitted</v>
      </c>
      <c r="J21" t="str">
        <f>IF(LEFT(tblShipments[[#This Row],[Gateway_Extracted]],2)="IN","Valid","Invalid")</f>
        <v>Invalid</v>
      </c>
      <c r="K21" t="s">
        <v>102</v>
      </c>
      <c r="L21" t="s">
        <v>103</v>
      </c>
      <c r="M21" t="s">
        <v>13</v>
      </c>
      <c r="N21" t="s">
        <v>104</v>
      </c>
      <c r="O21" t="str">
        <f>IFERROR("IN" &amp; _xlfn.TEXTBEFORE(_xlfn.TEXTAFTER(UPPER(tblShipments[[#This Row],[Gateway_clean]]),"IN")," ",1),"")</f>
        <v/>
      </c>
      <c r="P21" t="str">
        <f>SUBSTITUTE(tblShipments[[#This Row],[Gateway]], CHAR(10), " ")</f>
        <v>Please Wait....</v>
      </c>
      <c r="Q21" t="s">
        <v>105</v>
      </c>
    </row>
    <row r="22" spans="1:17" x14ac:dyDescent="0.35">
      <c r="A22" t="s">
        <v>8</v>
      </c>
      <c r="B22">
        <v>7742310</v>
      </c>
      <c r="C22" s="2" t="s">
        <v>106</v>
      </c>
      <c r="D22" s="2" t="str">
        <f>LEFT(TRIM(MID(SUBSTITUTE(tblShipments[[#This Row],[Details]],CHAR(10)," "), FIND(CHAR(10),tblShipments[[#This Row],[Details]])+1, 50)), 10)</f>
        <v>0517528762</v>
      </c>
      <c r="E22" t="s">
        <v>107</v>
      </c>
      <c r="F2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 t="str">
        <f>IF(tblShipments[[#This Row],[EGM no]]="", "Missing EGM", "EGM Submitted")</f>
        <v>EGM Submitted</v>
      </c>
      <c r="H22" t="str">
        <f>IF(OR(ISNUMBER(SEARCH("Released",tblShipments[[#This Row],[ROSL]])),
      ISNUMBER(SEARCH("Scroll",tblShipments[[#This Row],[ROSL]])),
      ISNUMBER(SEARCH("Y",tblShipments[[#This Row],[ROSL]]))),
   "Released",
   "Not Released")</f>
        <v>Released</v>
      </c>
      <c r="I22" t="str">
        <f>IF(OR(tblShipments[[#This Row],[EGM no]]="", tblShipments[[#This Row],[EGM no]]="N.A."), "Not Submitted", "Submitted")</f>
        <v>Submitted</v>
      </c>
      <c r="J22" t="str">
        <f>IF(LEFT(tblShipments[[#This Row],[Gateway_Extracted]],2)="IN","Valid","Invalid")</f>
        <v>Valid</v>
      </c>
      <c r="K22" t="s">
        <v>108</v>
      </c>
      <c r="L22" t="s">
        <v>109</v>
      </c>
      <c r="M22" t="s">
        <v>110</v>
      </c>
      <c r="N22" t="s">
        <v>111</v>
      </c>
      <c r="O22" t="str">
        <f>IFERROR("IN" &amp; _xlfn.TEXTBEFORE(_xlfn.TEXTAFTER(UPPER(tblShipments[[#This Row],[Gateway_clean]]),"IN")," ",1),"")</f>
        <v>INNSA1</v>
      </c>
      <c r="P22" t="str">
        <f>SUBSTITUTE(tblShipments[[#This Row],[Gateway]], CHAR(10), " ")</f>
        <v xml:space="preserve">AWB No. Gateway Port Gateway EGM No. Gateway EGM Date Gateway Site ID Error Code N.A.  INNSA1  169501  2019-03-29 00:00:00.0  INNSA1  S </v>
      </c>
      <c r="Q22" t="s">
        <v>112</v>
      </c>
    </row>
    <row r="23" spans="1:17" x14ac:dyDescent="0.35">
      <c r="A23" t="s">
        <v>8</v>
      </c>
      <c r="B23">
        <v>7747150</v>
      </c>
      <c r="C23" s="2" t="s">
        <v>106</v>
      </c>
      <c r="D23" s="2" t="str">
        <f>LEFT(TRIM(MID(SUBSTITUTE(tblShipments[[#This Row],[Details]],CHAR(10)," "), FIND(CHAR(10),tblShipments[[#This Row],[Details]])+1, 50)), 10)</f>
        <v>0509037844</v>
      </c>
      <c r="E23" t="s">
        <v>113</v>
      </c>
      <c r="F2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 t="str">
        <f>IF(tblShipments[[#This Row],[EGM no]]="", "Missing EGM", "EGM Submitted")</f>
        <v>EGM Submitted</v>
      </c>
      <c r="H23" t="str">
        <f>IF(OR(ISNUMBER(SEARCH("Released",tblShipments[[#This Row],[ROSL]])),
      ISNUMBER(SEARCH("Scroll",tblShipments[[#This Row],[ROSL]])),
      ISNUMBER(SEARCH("Y",tblShipments[[#This Row],[ROSL]]))),
   "Released",
   "Not Released")</f>
        <v>Released</v>
      </c>
      <c r="I23" t="str">
        <f>IF(OR(tblShipments[[#This Row],[EGM no]]="", tblShipments[[#This Row],[EGM no]]="N.A."), "Not Submitted", "Submitted")</f>
        <v>Submitted</v>
      </c>
      <c r="J23" t="str">
        <f>IF(LEFT(tblShipments[[#This Row],[Gateway_Extracted]],2)="IN","Valid","Invalid")</f>
        <v>Valid</v>
      </c>
      <c r="K23" t="s">
        <v>89</v>
      </c>
      <c r="L23" t="s">
        <v>114</v>
      </c>
      <c r="M23" t="s">
        <v>13</v>
      </c>
      <c r="N23" t="s">
        <v>115</v>
      </c>
      <c r="O23" t="str">
        <f>IFERROR("IN" &amp; _xlfn.TEXTBEFORE(_xlfn.TEXTAFTER(UPPER(tblShipments[[#This Row],[Gateway_clean]]),"IN")," ",1),"")</f>
        <v>INNSA1</v>
      </c>
      <c r="P23" t="str">
        <f>SUBSTITUTE(tblShipments[[#This Row],[Gateway]], CHAR(10), " ")</f>
        <v xml:space="preserve">AWB No. Gateway Port Gateway EGM No. Gateway EGM Date Gateway Site ID Error Code N.A.  INNSA1  132812  2017-08-07 00:00:00.0  INNSA1  C </v>
      </c>
      <c r="Q23" t="s">
        <v>116</v>
      </c>
    </row>
    <row r="24" spans="1:17" x14ac:dyDescent="0.35">
      <c r="A24" t="s">
        <v>8</v>
      </c>
      <c r="B24">
        <v>7751210</v>
      </c>
      <c r="C24" s="2" t="s">
        <v>106</v>
      </c>
      <c r="D24" s="2" t="str">
        <f>LEFT(TRIM(MID(SUBSTITUTE(tblShipments[[#This Row],[Details]],CHAR(10)," "), FIND(CHAR(10),tblShipments[[#This Row],[Details]])+1, 50)), 10)</f>
        <v>0596061315</v>
      </c>
      <c r="E24" t="s">
        <v>117</v>
      </c>
      <c r="F2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 t="str">
        <f>IF(tblShipments[[#This Row],[EGM no]]="", "Missing EGM", "EGM Submitted")</f>
        <v>EGM Submitted</v>
      </c>
      <c r="H24" t="str">
        <f>IF(OR(ISNUMBER(SEARCH("Released",tblShipments[[#This Row],[ROSL]])),
      ISNUMBER(SEARCH("Scroll",tblShipments[[#This Row],[ROSL]])),
      ISNUMBER(SEARCH("Y",tblShipments[[#This Row],[ROSL]]))),
   "Released",
   "Not Released")</f>
        <v>Released</v>
      </c>
      <c r="I24" t="str">
        <f>IF(OR(tblShipments[[#This Row],[EGM no]]="", tblShipments[[#This Row],[EGM no]]="N.A."), "Not Submitted", "Submitted")</f>
        <v>Submitted</v>
      </c>
      <c r="J24" t="str">
        <f>IF(LEFT(tblShipments[[#This Row],[Gateway_Extracted]],2)="IN","Valid","Invalid")</f>
        <v>Valid</v>
      </c>
      <c r="K24" t="s">
        <v>83</v>
      </c>
      <c r="L24" t="s">
        <v>118</v>
      </c>
      <c r="M24" t="s">
        <v>13</v>
      </c>
      <c r="N24" t="s">
        <v>119</v>
      </c>
      <c r="O24" t="str">
        <f>IFERROR("IN" &amp; _xlfn.TEXTBEFORE(_xlfn.TEXTAFTER(UPPER(tblShipments[[#This Row],[Gateway_clean]]),"IN")," ",1),"")</f>
        <v>INNSA1</v>
      </c>
      <c r="P24" t="str">
        <f>SUBSTITUTE(tblShipments[[#This Row],[Gateway]], CHAR(10), " ")</f>
        <v xml:space="preserve">AWB No. Gateway Port Gateway EGM No. Gateway EGM Date Gateway Site ID Error Code N.A.  INNSA1  N.A.  N.A.  N.A.  N.A. </v>
      </c>
      <c r="Q24" t="s">
        <v>26</v>
      </c>
    </row>
    <row r="25" spans="1:17" x14ac:dyDescent="0.35">
      <c r="A25" t="s">
        <v>8</v>
      </c>
      <c r="B25">
        <v>7759192</v>
      </c>
      <c r="C25" s="2" t="s">
        <v>120</v>
      </c>
      <c r="D25" s="2" t="str">
        <f>LEFT(TRIM(MID(SUBSTITUTE(tblShipments[[#This Row],[Details]],CHAR(10)," "), FIND(CHAR(10),tblShipments[[#This Row],[Details]])+1, 50)), 10)</f>
        <v>0598005498</v>
      </c>
      <c r="E25" t="s">
        <v>121</v>
      </c>
      <c r="F2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 t="str">
        <f>IF(tblShipments[[#This Row],[EGM no]]="", "Missing EGM", "EGM Submitted")</f>
        <v>EGM Submitted</v>
      </c>
      <c r="H25" t="str">
        <f>IF(OR(ISNUMBER(SEARCH("Released",tblShipments[[#This Row],[ROSL]])),
      ISNUMBER(SEARCH("Scroll",tblShipments[[#This Row],[ROSL]])),
      ISNUMBER(SEARCH("Y",tblShipments[[#This Row],[ROSL]]))),
   "Released",
   "Not Released")</f>
        <v>Released</v>
      </c>
      <c r="I25" t="str">
        <f>IF(OR(tblShipments[[#This Row],[EGM no]]="", tblShipments[[#This Row],[EGM no]]="N.A."), "Not Submitted", "Submitted")</f>
        <v>Submitted</v>
      </c>
      <c r="J25" t="str">
        <f>IF(LEFT(tblShipments[[#This Row],[Gateway_Extracted]],2)="IN","Valid","Invalid")</f>
        <v>Valid</v>
      </c>
      <c r="K25" t="s">
        <v>122</v>
      </c>
      <c r="L25" t="s">
        <v>123</v>
      </c>
      <c r="M25" t="s">
        <v>13</v>
      </c>
      <c r="N25" t="s">
        <v>124</v>
      </c>
      <c r="O25" t="str">
        <f>IFERROR("IN" &amp; _xlfn.TEXTBEFORE(_xlfn.TEXTAFTER(UPPER(tblShipments[[#This Row],[Gateway_clean]]),"IN")," ",1),"")</f>
        <v>INPAV1</v>
      </c>
      <c r="P25" t="str">
        <f>SUBSTITUTE(tblShipments[[#This Row],[Gateway]], CHAR(10), " ")</f>
        <v xml:space="preserve">AWB No. Gateway Port Gateway EGM No. Gateway EGM Date Gateway Site ID Error Code N.A.  INPAV1  132210  2017-07-26 00:00:00.0  INPAV1  S </v>
      </c>
      <c r="Q25" t="s">
        <v>125</v>
      </c>
    </row>
    <row r="26" spans="1:17" x14ac:dyDescent="0.35">
      <c r="A26" t="s">
        <v>8</v>
      </c>
      <c r="B26">
        <v>7764000</v>
      </c>
      <c r="C26" s="2" t="s">
        <v>120</v>
      </c>
      <c r="D26" s="2" t="str">
        <f>LEFT(TRIM(MID(SUBSTITUTE(tblShipments[[#This Row],[Details]],CHAR(10)," "), FIND(CHAR(10),tblShipments[[#This Row],[Details]])+1, 50)), 10)</f>
        <v>0596009488</v>
      </c>
      <c r="E26" t="s">
        <v>126</v>
      </c>
      <c r="F2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 t="str">
        <f>IF(tblShipments[[#This Row],[EGM no]]="", "Missing EGM", "EGM Submitted")</f>
        <v>EGM Submitted</v>
      </c>
      <c r="H26" t="str">
        <f>IF(OR(ISNUMBER(SEARCH("Released",tblShipments[[#This Row],[ROSL]])),
      ISNUMBER(SEARCH("Scroll",tblShipments[[#This Row],[ROSL]])),
      ISNUMBER(SEARCH("Y",tblShipments[[#This Row],[ROSL]]))),
   "Released",
   "Not Released")</f>
        <v>Released</v>
      </c>
      <c r="I26" t="str">
        <f>IF(OR(tblShipments[[#This Row],[EGM no]]="", tblShipments[[#This Row],[EGM no]]="N.A."), "Not Submitted", "Submitted")</f>
        <v>Submitted</v>
      </c>
      <c r="J26" t="str">
        <f>IF(LEFT(tblShipments[[#This Row],[Gateway_Extracted]],2)="IN","Valid","Invalid")</f>
        <v>Valid</v>
      </c>
      <c r="K26" t="s">
        <v>108</v>
      </c>
      <c r="L26" t="s">
        <v>127</v>
      </c>
      <c r="M26" t="s">
        <v>13</v>
      </c>
      <c r="N26" t="s">
        <v>128</v>
      </c>
      <c r="O26" t="str">
        <f>IFERROR("IN" &amp; _xlfn.TEXTBEFORE(_xlfn.TEXTAFTER(UPPER(tblShipments[[#This Row],[Gateway_clean]]),"IN")," ",1),"")</f>
        <v>INNSA1</v>
      </c>
      <c r="P26" t="str">
        <f>SUBSTITUTE(tblShipments[[#This Row],[Gateway]], CHAR(10), " ")</f>
        <v xml:space="preserve">AWB No. Gateway Port Gateway EGM No. Gateway EGM Date Gateway Site ID Error Code N.A.  INNSA1  132737  2017-08-04 00:00:00.0  INNSA1  S </v>
      </c>
      <c r="Q26" t="s">
        <v>129</v>
      </c>
    </row>
    <row r="27" spans="1:17" x14ac:dyDescent="0.35">
      <c r="A27" t="s">
        <v>8</v>
      </c>
      <c r="B27">
        <v>7764312</v>
      </c>
      <c r="C27" s="2" t="s">
        <v>120</v>
      </c>
      <c r="D27" s="2" t="str">
        <f>LEFT(TRIM(MID(SUBSTITUTE(tblShipments[[#This Row],[Details]],CHAR(10)," "), FIND(CHAR(10),tblShipments[[#This Row],[Details]])+1, 50)), 10)</f>
        <v>0596009488</v>
      </c>
      <c r="E27" t="s">
        <v>130</v>
      </c>
      <c r="F2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 t="str">
        <f>IF(tblShipments[[#This Row],[EGM no]]="", "Missing EGM", "EGM Submitted")</f>
        <v>EGM Submitted</v>
      </c>
      <c r="H27" t="str">
        <f>IF(OR(ISNUMBER(SEARCH("Released",tblShipments[[#This Row],[ROSL]])),
      ISNUMBER(SEARCH("Scroll",tblShipments[[#This Row],[ROSL]])),
      ISNUMBER(SEARCH("Y",tblShipments[[#This Row],[ROSL]]))),
   "Released",
   "Not Released")</f>
        <v>Released</v>
      </c>
      <c r="I27" t="str">
        <f>IF(OR(tblShipments[[#This Row],[EGM no]]="", tblShipments[[#This Row],[EGM no]]="N.A."), "Not Submitted", "Submitted")</f>
        <v>Submitted</v>
      </c>
      <c r="J27" t="str">
        <f>IF(LEFT(tblShipments[[#This Row],[Gateway_Extracted]],2)="IN","Valid","Invalid")</f>
        <v>Valid</v>
      </c>
      <c r="K27" t="s">
        <v>131</v>
      </c>
      <c r="L27" t="s">
        <v>132</v>
      </c>
      <c r="M27" t="s">
        <v>13</v>
      </c>
      <c r="N27" t="s">
        <v>133</v>
      </c>
      <c r="O27" t="str">
        <f>IFERROR("IN" &amp; _xlfn.TEXTBEFORE(_xlfn.TEXTAFTER(UPPER(tblShipments[[#This Row],[Gateway_clean]]),"IN")," ",1),"")</f>
        <v>INNSA1</v>
      </c>
      <c r="P27" t="str">
        <f>SUBSTITUTE(tblShipments[[#This Row],[Gateway]], CHAR(10), " ")</f>
        <v xml:space="preserve">AWB No. Gateway Port Gateway EGM No. Gateway EGM Date Gateway Site ID Error Code N.A.  INNSA1  132731  2017-08-04 00:00:00.0  INNSA1  S </v>
      </c>
      <c r="Q27" t="s">
        <v>134</v>
      </c>
    </row>
    <row r="28" spans="1:17" x14ac:dyDescent="0.35">
      <c r="A28" t="s">
        <v>8</v>
      </c>
      <c r="B28">
        <v>7772989</v>
      </c>
      <c r="C28" s="2" t="s">
        <v>120</v>
      </c>
      <c r="D28" s="2" t="str">
        <f>LEFT(TRIM(MID(SUBSTITUTE(tblShipments[[#This Row],[Details]],CHAR(10)," "), FIND(CHAR(10),tblShipments[[#This Row],[Details]])+1, 50)), 10)</f>
        <v>0609003542</v>
      </c>
      <c r="E28" t="s">
        <v>135</v>
      </c>
      <c r="F2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 t="str">
        <f>IF(tblShipments[[#This Row],[EGM no]]="", "Missing EGM", "EGM Submitted")</f>
        <v>EGM Submitted</v>
      </c>
      <c r="H28" t="str">
        <f>IF(OR(ISNUMBER(SEARCH("Released",tblShipments[[#This Row],[ROSL]])),
      ISNUMBER(SEARCH("Scroll",tblShipments[[#This Row],[ROSL]])),
      ISNUMBER(SEARCH("Y",tblShipments[[#This Row],[ROSL]]))),
   "Released",
   "Not Released")</f>
        <v>Released</v>
      </c>
      <c r="I28" t="str">
        <f>IF(OR(tblShipments[[#This Row],[EGM no]]="", tblShipments[[#This Row],[EGM no]]="N.A."), "Not Submitted", "Submitted")</f>
        <v>Submitted</v>
      </c>
      <c r="J28" t="str">
        <f>IF(LEFT(tblShipments[[#This Row],[Gateway_Extracted]],2)="IN","Valid","Invalid")</f>
        <v>Valid</v>
      </c>
      <c r="K28" t="s">
        <v>136</v>
      </c>
      <c r="L28" t="s">
        <v>137</v>
      </c>
      <c r="M28" t="s">
        <v>13</v>
      </c>
      <c r="N28" t="s">
        <v>138</v>
      </c>
      <c r="O28" t="str">
        <f>IFERROR("IN" &amp; _xlfn.TEXTBEFORE(_xlfn.TEXTAFTER(UPPER(tblShipments[[#This Row],[Gateway_clean]]),"IN")," ",1),"")</f>
        <v>INNSA1</v>
      </c>
      <c r="P28" t="str">
        <f>SUBSTITUTE(tblShipments[[#This Row],[Gateway]], CHAR(10), " ")</f>
        <v xml:space="preserve">AWB No. Gateway Port Gateway EGM No. Gateway EGM Date Gateway Site ID Error Code N.A.  INNSA1  133243  2017-08-14 00:00:00.0  INNSA1  C </v>
      </c>
      <c r="Q28" t="s">
        <v>139</v>
      </c>
    </row>
    <row r="29" spans="1:17" x14ac:dyDescent="0.35">
      <c r="A29" t="s">
        <v>8</v>
      </c>
      <c r="B29">
        <v>7774110</v>
      </c>
      <c r="C29" s="2" t="s">
        <v>120</v>
      </c>
      <c r="D29" s="2" t="str">
        <f>LEFT(TRIM(MID(SUBSTITUTE(tblShipments[[#This Row],[Details]],CHAR(10)," "), FIND(CHAR(10),tblShipments[[#This Row],[Details]])+1, 50)), 10)</f>
        <v>0510011683</v>
      </c>
      <c r="E29" t="s">
        <v>140</v>
      </c>
      <c r="F2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 t="str">
        <f>IF(tblShipments[[#This Row],[EGM no]]="", "Missing EGM", "EGM Submitted")</f>
        <v>EGM Submitted</v>
      </c>
      <c r="H29" t="str">
        <f>IF(OR(ISNUMBER(SEARCH("Released",tblShipments[[#This Row],[ROSL]])),
      ISNUMBER(SEARCH("Scroll",tblShipments[[#This Row],[ROSL]])),
      ISNUMBER(SEARCH("Y",tblShipments[[#This Row],[ROSL]]))),
   "Released",
   "Not Released")</f>
        <v>Released</v>
      </c>
      <c r="I29" t="str">
        <f>IF(OR(tblShipments[[#This Row],[EGM no]]="", tblShipments[[#This Row],[EGM no]]="N.A."), "Not Submitted", "Submitted")</f>
        <v>Submitted</v>
      </c>
      <c r="J29" t="str">
        <f>IF(LEFT(tblShipments[[#This Row],[Gateway_Extracted]],2)="IN","Valid","Invalid")</f>
        <v>Valid</v>
      </c>
      <c r="K29" t="s">
        <v>141</v>
      </c>
      <c r="L29" t="s">
        <v>142</v>
      </c>
      <c r="M29" t="s">
        <v>31</v>
      </c>
      <c r="N29" t="s">
        <v>143</v>
      </c>
      <c r="O29" t="str">
        <f>IFERROR("IN" &amp; _xlfn.TEXTBEFORE(_xlfn.TEXTAFTER(UPPER(tblShipments[[#This Row],[Gateway_clean]]),"IN")," ",1),"")</f>
        <v>INMUN1</v>
      </c>
      <c r="P29" t="str">
        <f>SUBSTITUTE(tblShipments[[#This Row],[Gateway]], CHAR(10), " ")</f>
        <v xml:space="preserve">AWB No. Gateway Port Gateway EGM No. Gateway EGM Date Gateway Site ID Error Code N.A.  INMUN1  134015  2017-08-28 00:00:00.0  INMUN1  S </v>
      </c>
      <c r="Q29" t="s">
        <v>144</v>
      </c>
    </row>
    <row r="30" spans="1:17" x14ac:dyDescent="0.35">
      <c r="A30" t="s">
        <v>8</v>
      </c>
      <c r="B30">
        <v>7778178</v>
      </c>
      <c r="C30" s="2" t="s">
        <v>120</v>
      </c>
      <c r="D30" s="2" t="str">
        <f>LEFT(TRIM(MID(SUBSTITUTE(tblShipments[[#This Row],[Details]],CHAR(10)," "), FIND(CHAR(10),tblShipments[[#This Row],[Details]])+1, 50)), 10)</f>
        <v>0510056601</v>
      </c>
      <c r="E30" t="s">
        <v>145</v>
      </c>
      <c r="F3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 t="str">
        <f>IF(tblShipments[[#This Row],[EGM no]]="", "Missing EGM", "EGM Submitted")</f>
        <v>EGM Submitted</v>
      </c>
      <c r="H30" t="str">
        <f>IF(OR(ISNUMBER(SEARCH("Released",tblShipments[[#This Row],[ROSL]])),
      ISNUMBER(SEARCH("Scroll",tblShipments[[#This Row],[ROSL]])),
      ISNUMBER(SEARCH("Y",tblShipments[[#This Row],[ROSL]]))),
   "Released",
   "Not Released")</f>
        <v>Released</v>
      </c>
      <c r="I30" t="str">
        <f>IF(OR(tblShipments[[#This Row],[EGM no]]="", tblShipments[[#This Row],[EGM no]]="N.A."), "Not Submitted", "Submitted")</f>
        <v>Submitted</v>
      </c>
      <c r="J30" t="str">
        <f>IF(LEFT(tblShipments[[#This Row],[Gateway_Extracted]],2)="IN","Valid","Invalid")</f>
        <v>Valid</v>
      </c>
      <c r="K30" t="s">
        <v>83</v>
      </c>
      <c r="L30" t="s">
        <v>146</v>
      </c>
      <c r="M30" t="s">
        <v>13</v>
      </c>
      <c r="N30" t="s">
        <v>147</v>
      </c>
      <c r="O30" t="str">
        <f>IFERROR("IN" &amp; _xlfn.TEXTBEFORE(_xlfn.TEXTAFTER(UPPER(tblShipments[[#This Row],[Gateway_clean]]),"IN")," ",1),"")</f>
        <v>INNSA1</v>
      </c>
      <c r="P30" t="str">
        <f>SUBSTITUTE(tblShipments[[#This Row],[Gateway]], CHAR(10), " ")</f>
        <v xml:space="preserve">AWB No. Gateway Port Gateway EGM No. Gateway EGM Date Gateway Site ID Error Code N.A.  INNSA1  N.A.  N.A.  N.A.  N.A. </v>
      </c>
      <c r="Q30" t="s">
        <v>26</v>
      </c>
    </row>
    <row r="31" spans="1:17" x14ac:dyDescent="0.35">
      <c r="A31" t="s">
        <v>8</v>
      </c>
      <c r="B31">
        <v>7782282</v>
      </c>
      <c r="C31" s="2" t="s">
        <v>120</v>
      </c>
      <c r="D31" s="2" t="str">
        <f>LEFT(TRIM(MID(SUBSTITUTE(tblShipments[[#This Row],[Details]],CHAR(10)," "), FIND(CHAR(10),tblShipments[[#This Row],[Details]])+1, 50)), 10)</f>
        <v>0502021373</v>
      </c>
      <c r="E31" t="s">
        <v>148</v>
      </c>
      <c r="F3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 t="str">
        <f>IF(tblShipments[[#This Row],[EGM no]]="", "Missing EGM", "EGM Submitted")</f>
        <v>EGM Submitted</v>
      </c>
      <c r="H31" t="str">
        <f>IF(OR(ISNUMBER(SEARCH("Released",tblShipments[[#This Row],[ROSL]])),
      ISNUMBER(SEARCH("Scroll",tblShipments[[#This Row],[ROSL]])),
      ISNUMBER(SEARCH("Y",tblShipments[[#This Row],[ROSL]]))),
   "Released",
   "Not Released")</f>
        <v>Released</v>
      </c>
      <c r="I31" t="str">
        <f>IF(OR(tblShipments[[#This Row],[EGM no]]="", tblShipments[[#This Row],[EGM no]]="N.A."), "Not Submitted", "Submitted")</f>
        <v>Submitted</v>
      </c>
      <c r="J31" t="str">
        <f>IF(LEFT(tblShipments[[#This Row],[Gateway_Extracted]],2)="IN","Valid","Invalid")</f>
        <v>Valid</v>
      </c>
      <c r="K31" t="s">
        <v>149</v>
      </c>
      <c r="L31" t="s">
        <v>150</v>
      </c>
      <c r="M31" t="s">
        <v>13</v>
      </c>
      <c r="N31" t="s">
        <v>151</v>
      </c>
      <c r="O31" t="str">
        <f>IFERROR("IN" &amp; _xlfn.TEXTBEFORE(_xlfn.TEXTAFTER(UPPER(tblShipments[[#This Row],[Gateway_clean]]),"IN")," ",1),"")</f>
        <v>INNSA1</v>
      </c>
      <c r="P31" t="str">
        <f>SUBSTITUTE(tblShipments[[#This Row],[Gateway]], CHAR(10), " ")</f>
        <v xml:space="preserve">AWB No. Gateway Port Gateway EGM No. Gateway EGM Date Gateway Site ID Error Code N.A.  INNSA1  132481  2017-07-31 00:00:00.0  INNSA1  C </v>
      </c>
      <c r="Q31" t="s">
        <v>152</v>
      </c>
    </row>
    <row r="32" spans="1:17" x14ac:dyDescent="0.35">
      <c r="A32" t="s">
        <v>8</v>
      </c>
      <c r="B32">
        <v>7791798</v>
      </c>
      <c r="C32" s="2" t="s">
        <v>153</v>
      </c>
      <c r="D32" s="2" t="str">
        <f>LEFT(TRIM(MID(SUBSTITUTE(tblShipments[[#This Row],[Details]],CHAR(10)," "), FIND(CHAR(10),tblShipments[[#This Row],[Details]])+1, 50)), 10)</f>
        <v>0507051360</v>
      </c>
      <c r="E32" t="s">
        <v>154</v>
      </c>
      <c r="F3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 t="str">
        <f>IF(tblShipments[[#This Row],[EGM no]]="", "Missing EGM", "EGM Submitted")</f>
        <v>EGM Submitted</v>
      </c>
      <c r="H32" t="str">
        <f>IF(OR(ISNUMBER(SEARCH("Released",tblShipments[[#This Row],[ROSL]])),
      ISNUMBER(SEARCH("Scroll",tblShipments[[#This Row],[ROSL]])),
      ISNUMBER(SEARCH("Y",tblShipments[[#This Row],[ROSL]]))),
   "Released",
   "Not Released")</f>
        <v>Released</v>
      </c>
      <c r="I32" t="str">
        <f>IF(OR(tblShipments[[#This Row],[EGM no]]="", tblShipments[[#This Row],[EGM no]]="N.A."), "Not Submitted", "Submitted")</f>
        <v>Submitted</v>
      </c>
      <c r="J32" t="str">
        <f>IF(LEFT(tblShipments[[#This Row],[Gateway_Extracted]],2)="IN","Valid","Invalid")</f>
        <v>Valid</v>
      </c>
      <c r="K32" t="s">
        <v>149</v>
      </c>
      <c r="L32" t="s">
        <v>155</v>
      </c>
      <c r="M32" t="s">
        <v>13</v>
      </c>
      <c r="N32" t="s">
        <v>156</v>
      </c>
      <c r="O32" t="str">
        <f>IFERROR("IN" &amp; _xlfn.TEXTBEFORE(_xlfn.TEXTAFTER(UPPER(tblShipments[[#This Row],[Gateway_clean]]),"IN")," ",1),"")</f>
        <v>INNSA1</v>
      </c>
      <c r="P32" t="str">
        <f>SUBSTITUTE(tblShipments[[#This Row],[Gateway]], CHAR(10), " ")</f>
        <v xml:space="preserve">AWB No. Gateway Port Gateway EGM No. Gateway EGM Date Gateway Site ID Error Code N.A.  INNSA1  133033  2017-08-10 00:00:00.0  INNSA1  S </v>
      </c>
      <c r="Q32" t="s">
        <v>157</v>
      </c>
    </row>
    <row r="33" spans="1:17" x14ac:dyDescent="0.35">
      <c r="A33" t="s">
        <v>8</v>
      </c>
      <c r="B33">
        <v>7794172</v>
      </c>
      <c r="C33" s="2" t="s">
        <v>153</v>
      </c>
      <c r="D33" s="2" t="str">
        <f>LEFT(TRIM(MID(SUBSTITUTE(tblShipments[[#This Row],[Details]],CHAR(10)," "), FIND(CHAR(10),tblShipments[[#This Row],[Details]])+1, 50)), 10)</f>
        <v>0515042064</v>
      </c>
      <c r="E33" t="s">
        <v>158</v>
      </c>
      <c r="F3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 t="str">
        <f>IF(tblShipments[[#This Row],[EGM no]]="", "Missing EGM", "EGM Submitted")</f>
        <v>EGM Submitted</v>
      </c>
      <c r="H33" t="str">
        <f>IF(OR(ISNUMBER(SEARCH("Released",tblShipments[[#This Row],[ROSL]])),
      ISNUMBER(SEARCH("Scroll",tblShipments[[#This Row],[ROSL]])),
      ISNUMBER(SEARCH("Y",tblShipments[[#This Row],[ROSL]]))),
   "Released",
   "Not Released")</f>
        <v>Released</v>
      </c>
      <c r="I33" t="str">
        <f>IF(OR(tblShipments[[#This Row],[EGM no]]="", tblShipments[[#This Row],[EGM no]]="N.A."), "Not Submitted", "Submitted")</f>
        <v>Submitted</v>
      </c>
      <c r="J33" t="str">
        <f>IF(LEFT(tblShipments[[#This Row],[Gateway_Extracted]],2)="IN","Valid","Invalid")</f>
        <v>Valid</v>
      </c>
      <c r="K33" t="s">
        <v>159</v>
      </c>
      <c r="L33" t="s">
        <v>160</v>
      </c>
      <c r="M33" t="s">
        <v>13</v>
      </c>
      <c r="N33" t="s">
        <v>161</v>
      </c>
      <c r="O33" t="str">
        <f>IFERROR("IN" &amp; _xlfn.TEXTBEFORE(_xlfn.TEXTAFTER(UPPER(tblShipments[[#This Row],[Gateway_clean]]),"IN")," ",1),"")</f>
        <v>INNSA1</v>
      </c>
      <c r="P33" t="str">
        <f>SUBSTITUTE(tblShipments[[#This Row],[Gateway]], CHAR(10), " ")</f>
        <v xml:space="preserve">AWB No. Gateway Port Gateway EGM No. Gateway EGM Date Gateway Site ID Error Code N.A.  INNSA1  132991  2017-08-09 00:00:00.0  INNSA1  S </v>
      </c>
      <c r="Q33" t="s">
        <v>162</v>
      </c>
    </row>
    <row r="34" spans="1:17" x14ac:dyDescent="0.35">
      <c r="A34" t="s">
        <v>8</v>
      </c>
      <c r="B34">
        <v>7795473</v>
      </c>
      <c r="C34" s="2" t="s">
        <v>153</v>
      </c>
      <c r="D34" s="2" t="str">
        <f>LEFT(TRIM(MID(SUBSTITUTE(tblShipments[[#This Row],[Details]],CHAR(10)," "), FIND(CHAR(10),tblShipments[[#This Row],[Details]])+1, 50)), 10)</f>
        <v>0592023052</v>
      </c>
      <c r="E34" t="s">
        <v>163</v>
      </c>
      <c r="F3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 t="str">
        <f>IF(tblShipments[[#This Row],[EGM no]]="", "Missing EGM", "EGM Submitted")</f>
        <v>EGM Submitted</v>
      </c>
      <c r="H34" t="str">
        <f>IF(OR(ISNUMBER(SEARCH("Released",tblShipments[[#This Row],[ROSL]])),
      ISNUMBER(SEARCH("Scroll",tblShipments[[#This Row],[ROSL]])),
      ISNUMBER(SEARCH("Y",tblShipments[[#This Row],[ROSL]]))),
   "Released",
   "Not Released")</f>
        <v>Released</v>
      </c>
      <c r="I34" t="str">
        <f>IF(OR(tblShipments[[#This Row],[EGM no]]="", tblShipments[[#This Row],[EGM no]]="N.A."), "Not Submitted", "Submitted")</f>
        <v>Submitted</v>
      </c>
      <c r="J34" t="str">
        <f>IF(LEFT(tblShipments[[#This Row],[Gateway_Extracted]],2)="IN","Valid","Invalid")</f>
        <v>Valid</v>
      </c>
      <c r="K34" t="s">
        <v>164</v>
      </c>
      <c r="L34" t="s">
        <v>165</v>
      </c>
      <c r="M34" t="s">
        <v>13</v>
      </c>
      <c r="N34" t="s">
        <v>166</v>
      </c>
      <c r="O34" t="str">
        <f>IFERROR("IN" &amp; _xlfn.TEXTBEFORE(_xlfn.TEXTAFTER(UPPER(tblShipments[[#This Row],[Gateway_clean]]),"IN")," ",1),"")</f>
        <v>INPAV1</v>
      </c>
      <c r="P34" t="str">
        <f>SUBSTITUTE(tblShipments[[#This Row],[Gateway]], CHAR(10), " ")</f>
        <v xml:space="preserve">AWB No. Gateway Port Gateway EGM No. Gateway EGM Date Gateway Site ID Error Code N.A.  INPAV1  132205  2017-07-26 00:00:00.0  INPAV1  S </v>
      </c>
      <c r="Q34" t="s">
        <v>167</v>
      </c>
    </row>
    <row r="35" spans="1:17" x14ac:dyDescent="0.35">
      <c r="A35" t="s">
        <v>8</v>
      </c>
      <c r="B35">
        <v>7796181</v>
      </c>
      <c r="C35" s="2" t="s">
        <v>153</v>
      </c>
      <c r="D35" s="2" t="str">
        <f>LEFT(TRIM(MID(SUBSTITUTE(tblShipments[[#This Row],[Details]],CHAR(10)," "), FIND(CHAR(10),tblShipments[[#This Row],[Details]])+1, 50)), 10)</f>
        <v>0509007406</v>
      </c>
      <c r="E35" t="s">
        <v>168</v>
      </c>
      <c r="F3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 t="str">
        <f>IF(tblShipments[[#This Row],[EGM no]]="", "Missing EGM", "EGM Submitted")</f>
        <v>EGM Submitted</v>
      </c>
      <c r="H35" t="str">
        <f>IF(OR(ISNUMBER(SEARCH("Released",tblShipments[[#This Row],[ROSL]])),
      ISNUMBER(SEARCH("Scroll",tblShipments[[#This Row],[ROSL]])),
      ISNUMBER(SEARCH("Y",tblShipments[[#This Row],[ROSL]]))),
   "Released",
   "Not Released")</f>
        <v>Released</v>
      </c>
      <c r="I35" t="str">
        <f>IF(OR(tblShipments[[#This Row],[EGM no]]="", tblShipments[[#This Row],[EGM no]]="N.A."), "Not Submitted", "Submitted")</f>
        <v>Submitted</v>
      </c>
      <c r="J35" t="str">
        <f>IF(LEFT(tblShipments[[#This Row],[Gateway_Extracted]],2)="IN","Valid","Invalid")</f>
        <v>Valid</v>
      </c>
      <c r="K35" t="s">
        <v>169</v>
      </c>
      <c r="L35" t="s">
        <v>150</v>
      </c>
      <c r="M35" t="s">
        <v>170</v>
      </c>
      <c r="N35" t="s">
        <v>171</v>
      </c>
      <c r="O35" t="str">
        <f>IFERROR("IN" &amp; _xlfn.TEXTBEFORE(_xlfn.TEXTAFTER(UPPER(tblShipments[[#This Row],[Gateway_clean]]),"IN")," ",1),"")</f>
        <v>INNSA1</v>
      </c>
      <c r="P35" t="str">
        <f>SUBSTITUTE(tblShipments[[#This Row],[Gateway]], CHAR(10), " ")</f>
        <v xml:space="preserve">AWB No. Gateway Port Gateway EGM No. Gateway EGM Date Gateway Site ID Error Code N.A.  INNSA1  132812  2017-08-07 00:00:00.0  INNSA1  C </v>
      </c>
      <c r="Q35" t="s">
        <v>116</v>
      </c>
    </row>
    <row r="36" spans="1:17" x14ac:dyDescent="0.35">
      <c r="A36" t="s">
        <v>8</v>
      </c>
      <c r="B36">
        <v>7800720</v>
      </c>
      <c r="C36" s="2" t="s">
        <v>153</v>
      </c>
      <c r="D36" s="2" t="str">
        <f>LEFT(TRIM(MID(SUBSTITUTE(tblShipments[[#This Row],[Details]],CHAR(10)," "), FIND(CHAR(10),tblShipments[[#This Row],[Details]])+1, 50)), 10)</f>
        <v>0502037547</v>
      </c>
      <c r="E36" t="s">
        <v>172</v>
      </c>
      <c r="F3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 t="str">
        <f>IF(tblShipments[[#This Row],[EGM no]]="", "Missing EGM", "EGM Submitted")</f>
        <v>EGM Submitted</v>
      </c>
      <c r="H36" t="str">
        <f>IF(OR(ISNUMBER(SEARCH("Released",tblShipments[[#This Row],[ROSL]])),
      ISNUMBER(SEARCH("Scroll",tblShipments[[#This Row],[ROSL]])),
      ISNUMBER(SEARCH("Y",tblShipments[[#This Row],[ROSL]]))),
   "Released",
   "Not Released")</f>
        <v>Released</v>
      </c>
      <c r="I36" t="str">
        <f>IF(OR(tblShipments[[#This Row],[EGM no]]="", tblShipments[[#This Row],[EGM no]]="N.A."), "Not Submitted", "Submitted")</f>
        <v>Submitted</v>
      </c>
      <c r="J36" t="str">
        <f>IF(LEFT(tblShipments[[#This Row],[Gateway_Extracted]],2)="IN","Valid","Invalid")</f>
        <v>Valid</v>
      </c>
      <c r="K36" t="s">
        <v>169</v>
      </c>
      <c r="L36" t="s">
        <v>173</v>
      </c>
      <c r="M36" t="s">
        <v>13</v>
      </c>
      <c r="N36" t="s">
        <v>174</v>
      </c>
      <c r="O36" t="str">
        <f>IFERROR("IN" &amp; _xlfn.TEXTBEFORE(_xlfn.TEXTAFTER(UPPER(tblShipments[[#This Row],[Gateway_clean]]),"IN")," ",1),"")</f>
        <v>INMUN1</v>
      </c>
      <c r="P36" t="str">
        <f>SUBSTITUTE(tblShipments[[#This Row],[Gateway]], CHAR(10), " ")</f>
        <v xml:space="preserve">AWB No. Gateway Port Gateway EGM No. Gateway EGM Date Gateway Site ID Error Code N.A.  INMUN1  160432  2018-10-31 00:00:00.0  INMUN1  S </v>
      </c>
      <c r="Q36" t="s">
        <v>175</v>
      </c>
    </row>
    <row r="37" spans="1:17" x14ac:dyDescent="0.35">
      <c r="A37" t="s">
        <v>8</v>
      </c>
      <c r="B37">
        <v>7804407</v>
      </c>
      <c r="C37" s="2" t="s">
        <v>153</v>
      </c>
      <c r="D37" s="2" t="str">
        <f>LEFT(TRIM(MID(SUBSTITUTE(tblShipments[[#This Row],[Details]],CHAR(10)," "), FIND(CHAR(10),tblShipments[[#This Row],[Details]])+1, 50)), 10)</f>
        <v>0511034661</v>
      </c>
      <c r="E37" t="s">
        <v>176</v>
      </c>
      <c r="F3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 t="str">
        <f>IF(tblShipments[[#This Row],[EGM no]]="", "Missing EGM", "EGM Submitted")</f>
        <v>EGM Submitted</v>
      </c>
      <c r="H37" t="str">
        <f>IF(OR(ISNUMBER(SEARCH("Released",tblShipments[[#This Row],[ROSL]])),
      ISNUMBER(SEARCH("Scroll",tblShipments[[#This Row],[ROSL]])),
      ISNUMBER(SEARCH("Y",tblShipments[[#This Row],[ROSL]]))),
   "Released",
   "Not Released")</f>
        <v>Released</v>
      </c>
      <c r="I37" t="str">
        <f>IF(OR(tblShipments[[#This Row],[EGM no]]="", tblShipments[[#This Row],[EGM no]]="N.A."), "Not Submitted", "Submitted")</f>
        <v>Submitted</v>
      </c>
      <c r="J37" t="str">
        <f>IF(LEFT(tblShipments[[#This Row],[Gateway_Extracted]],2)="IN","Valid","Invalid")</f>
        <v>Valid</v>
      </c>
      <c r="K37" t="s">
        <v>177</v>
      </c>
      <c r="L37" t="s">
        <v>178</v>
      </c>
      <c r="M37" t="s">
        <v>31</v>
      </c>
      <c r="N37" t="s">
        <v>179</v>
      </c>
      <c r="O37" t="str">
        <f>IFERROR("IN" &amp; _xlfn.TEXTBEFORE(_xlfn.TEXTAFTER(UPPER(tblShipments[[#This Row],[Gateway_clean]]),"IN")," ",1),"")</f>
        <v>INNSA1</v>
      </c>
      <c r="P37" t="str">
        <f>SUBSTITUTE(tblShipments[[#This Row],[Gateway]], CHAR(10), " ")</f>
        <v xml:space="preserve">AWB No. Gateway Port Gateway EGM No. Gateway EGM Date Gateway Site ID Error Code N.A.  INNSA1  132332  2017-07-28 00:00:00.0  INNSA1  S </v>
      </c>
      <c r="Q37" t="s">
        <v>180</v>
      </c>
    </row>
    <row r="38" spans="1:17" x14ac:dyDescent="0.35">
      <c r="A38" t="s">
        <v>8</v>
      </c>
      <c r="B38">
        <v>7812525</v>
      </c>
      <c r="C38" s="2" t="s">
        <v>181</v>
      </c>
      <c r="D38" s="2" t="str">
        <f>LEFT(TRIM(MID(SUBSTITUTE(tblShipments[[#This Row],[Details]],CHAR(10)," "), FIND(CHAR(10),tblShipments[[#This Row],[Details]])+1, 50)), 10)</f>
        <v>0513045228</v>
      </c>
      <c r="E38" t="s">
        <v>182</v>
      </c>
      <c r="F3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8" t="str">
        <f>IF(tblShipments[[#This Row],[EGM no]]="", "Missing EGM", "EGM Submitted")</f>
        <v>EGM Submitted</v>
      </c>
      <c r="H38" t="str">
        <f>IF(OR(ISNUMBER(SEARCH("Released",tblShipments[[#This Row],[ROSL]])),
      ISNUMBER(SEARCH("Scroll",tblShipments[[#This Row],[ROSL]])),
      ISNUMBER(SEARCH("Y",tblShipments[[#This Row],[ROSL]]))),
   "Released",
   "Not Released")</f>
        <v>Released</v>
      </c>
      <c r="I38" t="str">
        <f>IF(OR(tblShipments[[#This Row],[EGM no]]="", tblShipments[[#This Row],[EGM no]]="N.A."), "Not Submitted", "Submitted")</f>
        <v>Submitted</v>
      </c>
      <c r="J38" t="str">
        <f>IF(LEFT(tblShipments[[#This Row],[Gateway_Extracted]],2)="IN","Valid","Invalid")</f>
        <v>Valid</v>
      </c>
      <c r="K38" t="s">
        <v>183</v>
      </c>
      <c r="L38" t="s">
        <v>184</v>
      </c>
      <c r="M38" t="s">
        <v>13</v>
      </c>
      <c r="N38" t="s">
        <v>185</v>
      </c>
      <c r="O38" t="str">
        <f>IFERROR("IN" &amp; _xlfn.TEXTBEFORE(_xlfn.TEXTAFTER(UPPER(tblShipments[[#This Row],[Gateway_clean]]),"IN")," ",1),"")</f>
        <v>INPAV1</v>
      </c>
      <c r="P38" t="str">
        <f>SUBSTITUTE(tblShipments[[#This Row],[Gateway]], CHAR(10), " ")</f>
        <v xml:space="preserve">AWB No. Gateway Port Gateway EGM No. Gateway EGM Date Gateway Site ID Error Code N.A.  INPAV1  133808  2017-08-24 00:00:00.0  INPAV1  S </v>
      </c>
      <c r="Q38" t="s">
        <v>186</v>
      </c>
    </row>
    <row r="39" spans="1:17" x14ac:dyDescent="0.35">
      <c r="A39" t="s">
        <v>8</v>
      </c>
      <c r="B39">
        <v>7826835</v>
      </c>
      <c r="C39" s="2" t="s">
        <v>181</v>
      </c>
      <c r="D39" s="2" t="str">
        <f>LEFT(TRIM(MID(SUBSTITUTE(tblShipments[[#This Row],[Details]],CHAR(10)," "), FIND(CHAR(10),tblShipments[[#This Row],[Details]])+1, 50)), 10)</f>
        <v>0507068645</v>
      </c>
      <c r="E39" t="s">
        <v>187</v>
      </c>
      <c r="F3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9" t="str">
        <f>IF(tblShipments[[#This Row],[EGM no]]="", "Missing EGM", "EGM Submitted")</f>
        <v>EGM Submitted</v>
      </c>
      <c r="H39" t="str">
        <f>IF(OR(ISNUMBER(SEARCH("Released",tblShipments[[#This Row],[ROSL]])),
      ISNUMBER(SEARCH("Scroll",tblShipments[[#This Row],[ROSL]])),
      ISNUMBER(SEARCH("Y",tblShipments[[#This Row],[ROSL]]))),
   "Released",
   "Not Released")</f>
        <v>Released</v>
      </c>
      <c r="I39" t="str">
        <f>IF(OR(tblShipments[[#This Row],[EGM no]]="", tblShipments[[#This Row],[EGM no]]="N.A."), "Not Submitted", "Submitted")</f>
        <v>Submitted</v>
      </c>
      <c r="J39" t="str">
        <f>IF(LEFT(tblShipments[[#This Row],[Gateway_Extracted]],2)="IN","Valid","Invalid")</f>
        <v>Valid</v>
      </c>
      <c r="K39" t="s">
        <v>188</v>
      </c>
      <c r="L39" t="s">
        <v>189</v>
      </c>
      <c r="M39" t="s">
        <v>13</v>
      </c>
      <c r="N39" t="s">
        <v>190</v>
      </c>
      <c r="O39" t="str">
        <f>IFERROR("IN" &amp; _xlfn.TEXTBEFORE(_xlfn.TEXTAFTER(UPPER(tblShipments[[#This Row],[Gateway_clean]]),"IN")," ",1),"")</f>
        <v>INNSA1</v>
      </c>
      <c r="P39" t="str">
        <f>SUBSTITUTE(tblShipments[[#This Row],[Gateway]], CHAR(10), " ")</f>
        <v xml:space="preserve">AWB No. Gateway Port Gateway EGM No. Gateway EGM Date Gateway Site ID Error Code N.A.  INNSA1  N.A.  N.A.  N.A.  N.A. </v>
      </c>
      <c r="Q39" t="s">
        <v>26</v>
      </c>
    </row>
    <row r="40" spans="1:17" x14ac:dyDescent="0.35">
      <c r="A40" t="s">
        <v>8</v>
      </c>
      <c r="B40">
        <v>7835799</v>
      </c>
      <c r="C40" s="2" t="s">
        <v>191</v>
      </c>
      <c r="D40" s="2" t="str">
        <f>LEFT(TRIM(MID(SUBSTITUTE(tblShipments[[#This Row],[Details]],CHAR(10)," "), FIND(CHAR(10),tblShipments[[#This Row],[Details]])+1, 50)), 10)</f>
        <v>0592023052</v>
      </c>
      <c r="E40" t="s">
        <v>192</v>
      </c>
      <c r="F4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0" t="str">
        <f>IF(tblShipments[[#This Row],[EGM no]]="", "Missing EGM", "EGM Submitted")</f>
        <v>EGM Submitted</v>
      </c>
      <c r="H40" t="str">
        <f>IF(OR(ISNUMBER(SEARCH("Released",tblShipments[[#This Row],[ROSL]])),
      ISNUMBER(SEARCH("Scroll",tblShipments[[#This Row],[ROSL]])),
      ISNUMBER(SEARCH("Y",tblShipments[[#This Row],[ROSL]]))),
   "Released",
   "Not Released")</f>
        <v>Released</v>
      </c>
      <c r="I40" t="str">
        <f>IF(OR(tblShipments[[#This Row],[EGM no]]="", tblShipments[[#This Row],[EGM no]]="N.A."), "Not Submitted", "Submitted")</f>
        <v>Submitted</v>
      </c>
      <c r="J40" t="str">
        <f>IF(LEFT(tblShipments[[#This Row],[Gateway_Extracted]],2)="IN","Valid","Invalid")</f>
        <v>Valid</v>
      </c>
      <c r="K40" t="s">
        <v>169</v>
      </c>
      <c r="L40" t="s">
        <v>193</v>
      </c>
      <c r="M40" t="s">
        <v>13</v>
      </c>
      <c r="N40" t="s">
        <v>194</v>
      </c>
      <c r="O40" t="str">
        <f>IFERROR("IN" &amp; _xlfn.TEXTBEFORE(_xlfn.TEXTAFTER(UPPER(tblShipments[[#This Row],[Gateway_clean]]),"IN")," ",1),"")</f>
        <v>INNSA1</v>
      </c>
      <c r="P40" t="str">
        <f>SUBSTITUTE(tblShipments[[#This Row],[Gateway]], CHAR(10), " ")</f>
        <v xml:space="preserve">AWB No. Gateway Port Gateway EGM No. Gateway EGM Date Gateway Site ID Error Code N.A.  INNSA1  N.A.  N.A.  N.A.  N.A. </v>
      </c>
      <c r="Q40" t="s">
        <v>26</v>
      </c>
    </row>
    <row r="41" spans="1:17" x14ac:dyDescent="0.35">
      <c r="A41" t="s">
        <v>8</v>
      </c>
      <c r="B41">
        <v>7849871</v>
      </c>
      <c r="C41" s="2" t="s">
        <v>191</v>
      </c>
      <c r="D41" s="2" t="str">
        <f>LEFT(TRIM(MID(SUBSTITUTE(tblShipments[[#This Row],[Details]],CHAR(10)," "), FIND(CHAR(10),tblShipments[[#This Row],[Details]])+1, 50)), 10)</f>
        <v>0593056868</v>
      </c>
      <c r="E41" t="s">
        <v>195</v>
      </c>
      <c r="F4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1" t="str">
        <f>IF(tblShipments[[#This Row],[EGM no]]="", "Missing EGM", "EGM Submitted")</f>
        <v>EGM Submitted</v>
      </c>
      <c r="H41" t="str">
        <f>IF(OR(ISNUMBER(SEARCH("Released",tblShipments[[#This Row],[ROSL]])),
      ISNUMBER(SEARCH("Scroll",tblShipments[[#This Row],[ROSL]])),
      ISNUMBER(SEARCH("Y",tblShipments[[#This Row],[ROSL]]))),
   "Released",
   "Not Released")</f>
        <v>Released</v>
      </c>
      <c r="I41" t="str">
        <f>IF(OR(tblShipments[[#This Row],[EGM no]]="", tblShipments[[#This Row],[EGM no]]="N.A."), "Not Submitted", "Submitted")</f>
        <v>Submitted</v>
      </c>
      <c r="J41" t="str">
        <f>IF(LEFT(tblShipments[[#This Row],[Gateway_Extracted]],2)="IN","Valid","Invalid")</f>
        <v>Valid</v>
      </c>
      <c r="K41" t="s">
        <v>196</v>
      </c>
      <c r="L41" t="s">
        <v>197</v>
      </c>
      <c r="M41" t="s">
        <v>13</v>
      </c>
      <c r="N41" t="s">
        <v>198</v>
      </c>
      <c r="O41" t="str">
        <f>IFERROR("IN" &amp; _xlfn.TEXTBEFORE(_xlfn.TEXTAFTER(UPPER(tblShipments[[#This Row],[Gateway_clean]]),"IN")," ",1),"")</f>
        <v>INMUN1</v>
      </c>
      <c r="P41" t="str">
        <f>SUBSTITUTE(tblShipments[[#This Row],[Gateway]], CHAR(10), " ")</f>
        <v xml:space="preserve">AWB No. Gateway Port Gateway EGM No. Gateway EGM Date Gateway Site ID Error Code N.A.  INMUN1  133184  2017-08-11 00:00:00.0  INMUN1  S </v>
      </c>
      <c r="Q41" t="s">
        <v>199</v>
      </c>
    </row>
    <row r="42" spans="1:17" x14ac:dyDescent="0.35">
      <c r="A42" t="s">
        <v>8</v>
      </c>
      <c r="B42">
        <v>7852739</v>
      </c>
      <c r="C42" s="2" t="s">
        <v>191</v>
      </c>
      <c r="D42" s="2" t="str">
        <f>LEFT(TRIM(MID(SUBSTITUTE(tblShipments[[#This Row],[Details]],CHAR(10)," "), FIND(CHAR(10),tblShipments[[#This Row],[Details]])+1, 50)), 10)</f>
        <v>0500062609</v>
      </c>
      <c r="E42" t="s">
        <v>200</v>
      </c>
      <c r="F4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2" t="str">
        <f>IF(tblShipments[[#This Row],[EGM no]]="", "Missing EGM", "EGM Submitted")</f>
        <v>EGM Submitted</v>
      </c>
      <c r="H42" t="str">
        <f>IF(OR(ISNUMBER(SEARCH("Released",tblShipments[[#This Row],[ROSL]])),
      ISNUMBER(SEARCH("Scroll",tblShipments[[#This Row],[ROSL]])),
      ISNUMBER(SEARCH("Y",tblShipments[[#This Row],[ROSL]]))),
   "Released",
   "Not Released")</f>
        <v>Released</v>
      </c>
      <c r="I42" t="str">
        <f>IF(OR(tblShipments[[#This Row],[EGM no]]="", tblShipments[[#This Row],[EGM no]]="N.A."), "Not Submitted", "Submitted")</f>
        <v>Submitted</v>
      </c>
      <c r="J42" t="str">
        <f>IF(LEFT(tblShipments[[#This Row],[Gateway_Extracted]],2)="IN","Valid","Invalid")</f>
        <v>Valid</v>
      </c>
      <c r="K42" t="s">
        <v>122</v>
      </c>
      <c r="L42" t="s">
        <v>201</v>
      </c>
      <c r="M42" t="s">
        <v>13</v>
      </c>
      <c r="N42" t="s">
        <v>202</v>
      </c>
      <c r="O42" t="str">
        <f>IFERROR("IN" &amp; _xlfn.TEXTBEFORE(_xlfn.TEXTAFTER(UPPER(tblShipments[[#This Row],[Gateway_clean]]),"IN")," ",1),"")</f>
        <v>INMUN1</v>
      </c>
      <c r="P42" t="str">
        <f>SUBSTITUTE(tblShipments[[#This Row],[Gateway]], CHAR(10), " ")</f>
        <v xml:space="preserve">AWB No. Gateway Port Gateway EGM No. Gateway EGM Date Gateway Site ID Error Code N.A.  INMUN1  133567  2017-08-18 00:00:00.0  INMUN1  S </v>
      </c>
      <c r="Q42" t="s">
        <v>203</v>
      </c>
    </row>
    <row r="43" spans="1:17" x14ac:dyDescent="0.35">
      <c r="A43" t="s">
        <v>8</v>
      </c>
      <c r="B43">
        <v>7862536</v>
      </c>
      <c r="C43" s="2" t="s">
        <v>204</v>
      </c>
      <c r="D43" s="2" t="str">
        <f>LEFT(TRIM(MID(SUBSTITUTE(tblShipments[[#This Row],[Details]],CHAR(10)," "), FIND(CHAR(10),tblShipments[[#This Row],[Details]])+1, 50)), 10)</f>
        <v>0588050814</v>
      </c>
      <c r="E43" t="s">
        <v>205</v>
      </c>
      <c r="F4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3" t="str">
        <f>IF(tblShipments[[#This Row],[EGM no]]="", "Missing EGM", "EGM Submitted")</f>
        <v>EGM Submitted</v>
      </c>
      <c r="H43" t="str">
        <f>IF(OR(ISNUMBER(SEARCH("Released",tblShipments[[#This Row],[ROSL]])),
      ISNUMBER(SEARCH("Scroll",tblShipments[[#This Row],[ROSL]])),
      ISNUMBER(SEARCH("Y",tblShipments[[#This Row],[ROSL]]))),
   "Released",
   "Not Released")</f>
        <v>Released</v>
      </c>
      <c r="I43" t="str">
        <f>IF(OR(tblShipments[[#This Row],[EGM no]]="", tblShipments[[#This Row],[EGM no]]="N.A."), "Not Submitted", "Submitted")</f>
        <v>Submitted</v>
      </c>
      <c r="J43" t="str">
        <f>IF(LEFT(tblShipments[[#This Row],[Gateway_Extracted]],2)="IN","Valid","Invalid")</f>
        <v>Valid</v>
      </c>
      <c r="K43" t="s">
        <v>141</v>
      </c>
      <c r="L43" t="s">
        <v>206</v>
      </c>
      <c r="M43" t="s">
        <v>31</v>
      </c>
      <c r="N43" t="s">
        <v>207</v>
      </c>
      <c r="O43" t="str">
        <f>IFERROR("IN" &amp; _xlfn.TEXTBEFORE(_xlfn.TEXTAFTER(UPPER(tblShipments[[#This Row],[Gateway_clean]]),"IN")," ",1),"")</f>
        <v>INNSA1</v>
      </c>
      <c r="P43" t="str">
        <f>SUBSTITUTE(tblShipments[[#This Row],[Gateway]], CHAR(10), " ")</f>
        <v xml:space="preserve">AWB No. Gateway Port Gateway EGM No. Gateway EGM Date Gateway Site ID Error Code N.A.  INNSA1  N.A.  N.A.  N.A.  N.A. </v>
      </c>
      <c r="Q43" t="s">
        <v>26</v>
      </c>
    </row>
    <row r="44" spans="1:17" x14ac:dyDescent="0.35">
      <c r="A44" t="s">
        <v>8</v>
      </c>
      <c r="B44">
        <v>7877440</v>
      </c>
      <c r="C44" s="2" t="s">
        <v>208</v>
      </c>
      <c r="D44" s="2" t="str">
        <f>LEFT(TRIM(MID(SUBSTITUTE(tblShipments[[#This Row],[Details]],CHAR(10)," "), FIND(CHAR(10),tblShipments[[#This Row],[Details]])+1, 50)), 10)</f>
        <v>0515918024</v>
      </c>
      <c r="E44" t="s">
        <v>209</v>
      </c>
      <c r="F4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4" t="str">
        <f>IF(tblShipments[[#This Row],[EGM no]]="", "Missing EGM", "EGM Submitted")</f>
        <v>EGM Submitted</v>
      </c>
      <c r="H44" t="str">
        <f>IF(OR(ISNUMBER(SEARCH("Released",tblShipments[[#This Row],[ROSL]])),
      ISNUMBER(SEARCH("Scroll",tblShipments[[#This Row],[ROSL]])),
      ISNUMBER(SEARCH("Y",tblShipments[[#This Row],[ROSL]]))),
   "Released",
   "Not Released")</f>
        <v>Released</v>
      </c>
      <c r="I44" t="str">
        <f>IF(OR(tblShipments[[#This Row],[EGM no]]="", tblShipments[[#This Row],[EGM no]]="N.A."), "Not Submitted", "Submitted")</f>
        <v>Submitted</v>
      </c>
      <c r="J44" t="str">
        <f>IF(LEFT(tblShipments[[#This Row],[Gateway_Extracted]],2)="IN","Valid","Invalid")</f>
        <v>Valid</v>
      </c>
      <c r="K44" t="s">
        <v>136</v>
      </c>
      <c r="L44" t="s">
        <v>210</v>
      </c>
      <c r="M44" t="s">
        <v>13</v>
      </c>
      <c r="N44" t="s">
        <v>211</v>
      </c>
      <c r="O44" t="str">
        <f>IFERROR("IN" &amp; _xlfn.TEXTBEFORE(_xlfn.TEXTAFTER(UPPER(tblShipments[[#This Row],[Gateway_clean]]),"IN")," ",1),"")</f>
        <v>INMUN1</v>
      </c>
      <c r="P44" t="str">
        <f>SUBSTITUTE(tblShipments[[#This Row],[Gateway]], CHAR(10), " ")</f>
        <v xml:space="preserve">AWB No. Gateway Port Gateway EGM No. Gateway EGM Date Gateway Site ID Error Code N.A.  INMUN1  137180  2017-10-18 00:00:00.0  INMUN1  ST </v>
      </c>
      <c r="Q44" t="s">
        <v>212</v>
      </c>
    </row>
    <row r="45" spans="1:17" x14ac:dyDescent="0.35">
      <c r="A45" t="s">
        <v>8</v>
      </c>
      <c r="B45">
        <v>7891039</v>
      </c>
      <c r="C45" s="2" t="s">
        <v>208</v>
      </c>
      <c r="D45" s="2" t="str">
        <f>LEFT(TRIM(MID(SUBSTITUTE(tblShipments[[#This Row],[Details]],CHAR(10)," "), FIND(CHAR(10),tblShipments[[#This Row],[Details]])+1, 50)), 10)</f>
        <v>0502077905</v>
      </c>
      <c r="E45" t="s">
        <v>213</v>
      </c>
      <c r="F4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5" t="str">
        <f>IF(tblShipments[[#This Row],[EGM no]]="", "Missing EGM", "EGM Submitted")</f>
        <v>EGM Submitted</v>
      </c>
      <c r="H45" t="str">
        <f>IF(OR(ISNUMBER(SEARCH("Released",tblShipments[[#This Row],[ROSL]])),
      ISNUMBER(SEARCH("Scroll",tblShipments[[#This Row],[ROSL]])),
      ISNUMBER(SEARCH("Y",tblShipments[[#This Row],[ROSL]]))),
   "Released",
   "Not Released")</f>
        <v>Released</v>
      </c>
      <c r="I45" t="str">
        <f>IF(OR(tblShipments[[#This Row],[EGM no]]="", tblShipments[[#This Row],[EGM no]]="N.A."), "Not Submitted", "Submitted")</f>
        <v>Submitted</v>
      </c>
      <c r="J45" t="str">
        <f>IF(LEFT(tblShipments[[#This Row],[Gateway_Extracted]],2)="IN","Valid","Invalid")</f>
        <v>Valid</v>
      </c>
      <c r="K45" t="s">
        <v>214</v>
      </c>
      <c r="L45" t="s">
        <v>215</v>
      </c>
      <c r="M45" t="s">
        <v>13</v>
      </c>
      <c r="N45" t="s">
        <v>216</v>
      </c>
      <c r="O45" t="str">
        <f>IFERROR("IN" &amp; _xlfn.TEXTBEFORE(_xlfn.TEXTAFTER(UPPER(tblShipments[[#This Row],[Gateway_clean]]),"IN")," ",1),"")</f>
        <v>INNSA1</v>
      </c>
      <c r="P45" t="str">
        <f>SUBSTITUTE(tblShipments[[#This Row],[Gateway]], CHAR(10), " ")</f>
        <v xml:space="preserve">AWB No. Gateway Port Gateway EGM No. Gateway EGM Date Gateway Site ID Error Code N.A.  INNSA1  N.A.  N.A.  N.A.  N.A. </v>
      </c>
      <c r="Q45" t="s">
        <v>26</v>
      </c>
    </row>
    <row r="46" spans="1:17" x14ac:dyDescent="0.35">
      <c r="A46" t="s">
        <v>8</v>
      </c>
      <c r="B46">
        <v>7891796</v>
      </c>
      <c r="C46" s="2" t="s">
        <v>208</v>
      </c>
      <c r="D46" s="2" t="str">
        <f>LEFT(TRIM(MID(SUBSTITUTE(tblShipments[[#This Row],[Details]],CHAR(10)," "), FIND(CHAR(10),tblShipments[[#This Row],[Details]])+1, 50)), 10)</f>
        <v>0506054306</v>
      </c>
      <c r="E46" t="s">
        <v>217</v>
      </c>
      <c r="F4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6" t="str">
        <f>IF(tblShipments[[#This Row],[EGM no]]="", "Missing EGM", "EGM Submitted")</f>
        <v>EGM Submitted</v>
      </c>
      <c r="H46" t="str">
        <f>IF(OR(ISNUMBER(SEARCH("Released",tblShipments[[#This Row],[ROSL]])),
      ISNUMBER(SEARCH("Scroll",tblShipments[[#This Row],[ROSL]])),
      ISNUMBER(SEARCH("Y",tblShipments[[#This Row],[ROSL]]))),
   "Released",
   "Not Released")</f>
        <v>Released</v>
      </c>
      <c r="I46" t="str">
        <f>IF(OR(tblShipments[[#This Row],[EGM no]]="", tblShipments[[#This Row],[EGM no]]="N.A."), "Not Submitted", "Submitted")</f>
        <v>Submitted</v>
      </c>
      <c r="J46" t="str">
        <f>IF(LEFT(tblShipments[[#This Row],[Gateway_Extracted]],2)="IN","Valid","Invalid")</f>
        <v>Valid</v>
      </c>
      <c r="K46" t="s">
        <v>122</v>
      </c>
      <c r="L46" t="s">
        <v>218</v>
      </c>
      <c r="M46" t="s">
        <v>13</v>
      </c>
      <c r="N46" t="s">
        <v>219</v>
      </c>
      <c r="O46" t="str">
        <f>IFERROR("IN" &amp; _xlfn.TEXTBEFORE(_xlfn.TEXTAFTER(UPPER(tblShipments[[#This Row],[Gateway_clean]]),"IN")," ",1),"")</f>
        <v>INMUN1</v>
      </c>
      <c r="P46" t="str">
        <f>SUBSTITUTE(tblShipments[[#This Row],[Gateway]], CHAR(10), " ")</f>
        <v xml:space="preserve">AWB No. Gateway Port Gateway EGM No. Gateway EGM Date Gateway Site ID Error Code N.A.  INMUN1  133566  2017-08-18 00:00:00.0  INMUN1  S </v>
      </c>
      <c r="Q46" t="s">
        <v>220</v>
      </c>
    </row>
    <row r="47" spans="1:17" x14ac:dyDescent="0.35">
      <c r="A47" t="s">
        <v>8</v>
      </c>
      <c r="B47">
        <v>7903729</v>
      </c>
      <c r="C47" s="2" t="s">
        <v>221</v>
      </c>
      <c r="D47" s="2" t="str">
        <f>LEFT(TRIM(MID(SUBSTITUTE(tblShipments[[#This Row],[Details]],CHAR(10)," "), FIND(CHAR(10),tblShipments[[#This Row],[Details]])+1, 50)), 10)</f>
        <v>0500042616</v>
      </c>
      <c r="E47" t="s">
        <v>222</v>
      </c>
      <c r="F4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7" t="str">
        <f>IF(tblShipments[[#This Row],[EGM no]]="", "Missing EGM", "EGM Submitted")</f>
        <v>EGM Submitted</v>
      </c>
      <c r="H47" t="str">
        <f>IF(OR(ISNUMBER(SEARCH("Released",tblShipments[[#This Row],[ROSL]])),
      ISNUMBER(SEARCH("Scroll",tblShipments[[#This Row],[ROSL]])),
      ISNUMBER(SEARCH("Y",tblShipments[[#This Row],[ROSL]]))),
   "Released",
   "Not Released")</f>
        <v>Released</v>
      </c>
      <c r="I47" t="str">
        <f>IF(OR(tblShipments[[#This Row],[EGM no]]="", tblShipments[[#This Row],[EGM no]]="N.A."), "Not Submitted", "Submitted")</f>
        <v>Submitted</v>
      </c>
      <c r="J47" t="str">
        <f>IF(LEFT(tblShipments[[#This Row],[Gateway_Extracted]],2)="IN","Valid","Invalid")</f>
        <v>Valid</v>
      </c>
      <c r="K47" t="s">
        <v>223</v>
      </c>
      <c r="L47" t="s">
        <v>224</v>
      </c>
      <c r="M47" t="s">
        <v>13</v>
      </c>
      <c r="N47" t="s">
        <v>225</v>
      </c>
      <c r="O47" t="str">
        <f>IFERROR("IN" &amp; _xlfn.TEXTBEFORE(_xlfn.TEXTAFTER(UPPER(tblShipments[[#This Row],[Gateway_clean]]),"IN")," ",1),"")</f>
        <v>INNSA1</v>
      </c>
      <c r="P47" t="str">
        <f>SUBSTITUTE(tblShipments[[#This Row],[Gateway]], CHAR(10), " ")</f>
        <v xml:space="preserve">AWB No. Gateway Port Gateway EGM No. Gateway EGM Date Gateway Site ID Error Code N.A.  INNSA1  132938  2017-08-09 00:00:00.0  INNSA1  S </v>
      </c>
      <c r="Q47" t="s">
        <v>226</v>
      </c>
    </row>
    <row r="48" spans="1:17" x14ac:dyDescent="0.35">
      <c r="A48" t="s">
        <v>8</v>
      </c>
      <c r="B48">
        <v>7905312</v>
      </c>
      <c r="C48" s="2" t="s">
        <v>221</v>
      </c>
      <c r="D48" s="2" t="str">
        <f>LEFT(TRIM(MID(SUBSTITUTE(tblShipments[[#This Row],[Details]],CHAR(10)," "), FIND(CHAR(10),tblShipments[[#This Row],[Details]])+1, 50)), 10)</f>
        <v>3097011234</v>
      </c>
      <c r="E48" t="s">
        <v>227</v>
      </c>
      <c r="F4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8" t="str">
        <f>IF(tblShipments[[#This Row],[EGM no]]="", "Missing EGM", "EGM Submitted")</f>
        <v>EGM Submitted</v>
      </c>
      <c r="H48" t="str">
        <f>IF(OR(ISNUMBER(SEARCH("Released",tblShipments[[#This Row],[ROSL]])),
      ISNUMBER(SEARCH("Scroll",tblShipments[[#This Row],[ROSL]])),
      ISNUMBER(SEARCH("Y",tblShipments[[#This Row],[ROSL]]))),
   "Released",
   "Not Released")</f>
        <v>Released</v>
      </c>
      <c r="I48" t="str">
        <f>IF(OR(tblShipments[[#This Row],[EGM no]]="", tblShipments[[#This Row],[EGM no]]="N.A."), "Not Submitted", "Submitted")</f>
        <v>Submitted</v>
      </c>
      <c r="J48" t="str">
        <f>IF(LEFT(tblShipments[[#This Row],[Gateway_Extracted]],2)="IN","Valid","Invalid")</f>
        <v>Valid</v>
      </c>
      <c r="K48" t="s">
        <v>228</v>
      </c>
      <c r="L48" t="s">
        <v>229</v>
      </c>
      <c r="M48" t="s">
        <v>13</v>
      </c>
      <c r="N48" t="s">
        <v>230</v>
      </c>
      <c r="O48" t="str">
        <f>IFERROR("IN" &amp; _xlfn.TEXTBEFORE(_xlfn.TEXTAFTER(UPPER(tblShipments[[#This Row],[Gateway_clean]]),"IN")," ",1),"")</f>
        <v>INMUN1</v>
      </c>
      <c r="P48" t="str">
        <f>SUBSTITUTE(tblShipments[[#This Row],[Gateway]], CHAR(10), " ")</f>
        <v xml:space="preserve">AWB No. Gateway Port Gateway EGM No. Gateway EGM Date Gateway Site ID Error Code N.A.  INMUN1  134053  2017-08-28 00:00:00.0  INMUN1  S </v>
      </c>
      <c r="Q48" t="s">
        <v>231</v>
      </c>
    </row>
    <row r="49" spans="1:17" x14ac:dyDescent="0.35">
      <c r="A49" t="s">
        <v>8</v>
      </c>
      <c r="B49">
        <v>7909008</v>
      </c>
      <c r="C49" s="2" t="s">
        <v>221</v>
      </c>
      <c r="D49" s="2" t="str">
        <f>LEFT(TRIM(MID(SUBSTITUTE(tblShipments[[#This Row],[Details]],CHAR(10)," "), FIND(CHAR(10),tblShipments[[#This Row],[Details]])+1, 50)), 10)</f>
        <v>AAKFN5762C</v>
      </c>
      <c r="E49" t="s">
        <v>232</v>
      </c>
      <c r="F4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49" t="str">
        <f>IF(tblShipments[[#This Row],[EGM no]]="", "Missing EGM", "EGM Submitted")</f>
        <v>EGM Submitted</v>
      </c>
      <c r="H49" t="str">
        <f>IF(OR(ISNUMBER(SEARCH("Released",tblShipments[[#This Row],[ROSL]])),
      ISNUMBER(SEARCH("Scroll",tblShipments[[#This Row],[ROSL]])),
      ISNUMBER(SEARCH("Y",tblShipments[[#This Row],[ROSL]]))),
   "Released",
   "Not Released")</f>
        <v>Released</v>
      </c>
      <c r="I49" t="str">
        <f>IF(OR(tblShipments[[#This Row],[EGM no]]="", tblShipments[[#This Row],[EGM no]]="N.A."), "Not Submitted", "Submitted")</f>
        <v>Submitted</v>
      </c>
      <c r="J49" t="str">
        <f>IF(LEFT(tblShipments[[#This Row],[Gateway_Extracted]],2)="IN","Valid","Invalid")</f>
        <v>Invalid</v>
      </c>
      <c r="K49" t="s">
        <v>233</v>
      </c>
      <c r="L49" t="s">
        <v>234</v>
      </c>
      <c r="M49" t="s">
        <v>13</v>
      </c>
      <c r="N49" t="s">
        <v>235</v>
      </c>
      <c r="O49" t="str">
        <f>IFERROR("IN" &amp; _xlfn.TEXTBEFORE(_xlfn.TEXTAFTER(UPPER(tblShipments[[#This Row],[Gateway_clean]]),"IN")," ",1),"")</f>
        <v/>
      </c>
      <c r="P49" t="str">
        <f>SUBSTITUTE(tblShipments[[#This Row],[Gateway]], CHAR(10), " ")</f>
        <v>No Record found</v>
      </c>
      <c r="Q49" t="s">
        <v>236</v>
      </c>
    </row>
    <row r="50" spans="1:17" x14ac:dyDescent="0.35">
      <c r="A50" t="s">
        <v>8</v>
      </c>
      <c r="B50">
        <v>7918086</v>
      </c>
      <c r="C50" s="2" t="s">
        <v>221</v>
      </c>
      <c r="D50" s="2" t="str">
        <f>LEFT(TRIM(MID(SUBSTITUTE(tblShipments[[#This Row],[Details]],CHAR(10)," "), FIND(CHAR(10),tblShipments[[#This Row],[Details]])+1, 50)), 10)</f>
        <v>0517542374</v>
      </c>
      <c r="E50" t="s">
        <v>237</v>
      </c>
      <c r="F5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0" t="str">
        <f>IF(tblShipments[[#This Row],[EGM no]]="", "Missing EGM", "EGM Submitted")</f>
        <v>EGM Submitted</v>
      </c>
      <c r="H50" t="str">
        <f>IF(OR(ISNUMBER(SEARCH("Released",tblShipments[[#This Row],[ROSL]])),
      ISNUMBER(SEARCH("Scroll",tblShipments[[#This Row],[ROSL]])),
      ISNUMBER(SEARCH("Y",tblShipments[[#This Row],[ROSL]]))),
   "Released",
   "Not Released")</f>
        <v>Released</v>
      </c>
      <c r="I50" t="str">
        <f>IF(OR(tblShipments[[#This Row],[EGM no]]="", tblShipments[[#This Row],[EGM no]]="N.A."), "Not Submitted", "Submitted")</f>
        <v>Submitted</v>
      </c>
      <c r="J50" t="str">
        <f>IF(LEFT(tblShipments[[#This Row],[Gateway_Extracted]],2)="IN","Valid","Invalid")</f>
        <v>Valid</v>
      </c>
      <c r="K50" t="s">
        <v>136</v>
      </c>
      <c r="L50" t="s">
        <v>210</v>
      </c>
      <c r="M50" t="s">
        <v>13</v>
      </c>
      <c r="N50" t="s">
        <v>238</v>
      </c>
      <c r="O50" t="str">
        <f>IFERROR("IN" &amp; _xlfn.TEXTBEFORE(_xlfn.TEXTAFTER(UPPER(tblShipments[[#This Row],[Gateway_clean]]),"IN")," ",1),"")</f>
        <v>INMUN1</v>
      </c>
      <c r="P50" t="str">
        <f>SUBSTITUTE(tblShipments[[#This Row],[Gateway]], CHAR(10), " ")</f>
        <v xml:space="preserve">AWB No. Gateway Port Gateway EGM No. Gateway EGM Date Gateway Site ID Error Code N.A.  INMUN1  137180  2017-10-18 00:00:00.0  INMUN1  ST </v>
      </c>
      <c r="Q50" t="s">
        <v>212</v>
      </c>
    </row>
    <row r="51" spans="1:17" x14ac:dyDescent="0.35">
      <c r="A51" t="s">
        <v>8</v>
      </c>
      <c r="B51">
        <v>7924066</v>
      </c>
      <c r="C51" s="2" t="s">
        <v>239</v>
      </c>
      <c r="D51" s="2" t="str">
        <f>LEFT(TRIM(MID(SUBSTITUTE(tblShipments[[#This Row],[Details]],CHAR(10)," "), FIND(CHAR(10),tblShipments[[#This Row],[Details]])+1, 50)), 10)</f>
        <v>0595025714</v>
      </c>
      <c r="E51" t="s">
        <v>240</v>
      </c>
      <c r="F5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1" t="str">
        <f>IF(tblShipments[[#This Row],[EGM no]]="", "Missing EGM", "EGM Submitted")</f>
        <v>EGM Submitted</v>
      </c>
      <c r="H51" t="str">
        <f>IF(OR(ISNUMBER(SEARCH("Released",tblShipments[[#This Row],[ROSL]])),
      ISNUMBER(SEARCH("Scroll",tblShipments[[#This Row],[ROSL]])),
      ISNUMBER(SEARCH("Y",tblShipments[[#This Row],[ROSL]]))),
   "Released",
   "Not Released")</f>
        <v>Released</v>
      </c>
      <c r="I51" t="str">
        <f>IF(OR(tblShipments[[#This Row],[EGM no]]="", tblShipments[[#This Row],[EGM no]]="N.A."), "Not Submitted", "Submitted")</f>
        <v>Submitted</v>
      </c>
      <c r="J51" t="str">
        <f>IF(LEFT(tblShipments[[#This Row],[Gateway_Extracted]],2)="IN","Valid","Invalid")</f>
        <v>Valid</v>
      </c>
      <c r="K51" t="s">
        <v>241</v>
      </c>
      <c r="L51" t="s">
        <v>242</v>
      </c>
      <c r="M51" t="s">
        <v>13</v>
      </c>
      <c r="N51" t="s">
        <v>243</v>
      </c>
      <c r="O51" t="str">
        <f>IFERROR("IN" &amp; _xlfn.TEXTBEFORE(_xlfn.TEXTAFTER(UPPER(tblShipments[[#This Row],[Gateway_clean]]),"IN")," ",1),"")</f>
        <v>INMUN1</v>
      </c>
      <c r="P51" t="str">
        <f>SUBSTITUTE(tblShipments[[#This Row],[Gateway]], CHAR(10), " ")</f>
        <v xml:space="preserve">AWB No. Gateway Port Gateway EGM No. Gateway EGM Date Gateway Site ID Error Code N.A.  INMUN1  N.A.  N.A.  N.A.  N.A. </v>
      </c>
      <c r="Q51" t="s">
        <v>244</v>
      </c>
    </row>
    <row r="52" spans="1:17" x14ac:dyDescent="0.35">
      <c r="A52" t="s">
        <v>8</v>
      </c>
      <c r="B52">
        <v>7935521</v>
      </c>
      <c r="C52" s="2" t="s">
        <v>239</v>
      </c>
      <c r="D52" s="2" t="str">
        <f>LEFT(TRIM(MID(SUBSTITUTE(tblShipments[[#This Row],[Details]],CHAR(10)," "), FIND(CHAR(10),tblShipments[[#This Row],[Details]])+1, 50)), 10)</f>
        <v>0507051360</v>
      </c>
      <c r="E52" t="s">
        <v>245</v>
      </c>
      <c r="F5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2" t="str">
        <f>IF(tblShipments[[#This Row],[EGM no]]="", "Missing EGM", "EGM Submitted")</f>
        <v>EGM Submitted</v>
      </c>
      <c r="H52" t="str">
        <f>IF(OR(ISNUMBER(SEARCH("Released",tblShipments[[#This Row],[ROSL]])),
      ISNUMBER(SEARCH("Scroll",tblShipments[[#This Row],[ROSL]])),
      ISNUMBER(SEARCH("Y",tblShipments[[#This Row],[ROSL]]))),
   "Released",
   "Not Released")</f>
        <v>Released</v>
      </c>
      <c r="I52" t="str">
        <f>IF(OR(tblShipments[[#This Row],[EGM no]]="", tblShipments[[#This Row],[EGM no]]="N.A."), "Not Submitted", "Submitted")</f>
        <v>Submitted</v>
      </c>
      <c r="J52" t="str">
        <f>IF(LEFT(tblShipments[[#This Row],[Gateway_Extracted]],2)="IN","Valid","Invalid")</f>
        <v>Valid</v>
      </c>
      <c r="K52" t="s">
        <v>228</v>
      </c>
      <c r="L52" t="s">
        <v>224</v>
      </c>
      <c r="M52" t="s">
        <v>13</v>
      </c>
      <c r="N52" t="s">
        <v>246</v>
      </c>
      <c r="O52" t="str">
        <f>IFERROR("IN" &amp; _xlfn.TEXTBEFORE(_xlfn.TEXTAFTER(UPPER(tblShipments[[#This Row],[Gateway_clean]]),"IN")," ",1),"")</f>
        <v>INNSA1</v>
      </c>
      <c r="P52" t="str">
        <f>SUBSTITUTE(tblShipments[[#This Row],[Gateway]], CHAR(10), " ")</f>
        <v xml:space="preserve">AWB No. Gateway Port Gateway EGM No. Gateway EGM Date Gateway Site ID Error Code N.A.  INNSA1  N.A.  N.A.  N.A.  N.A. </v>
      </c>
      <c r="Q52" t="s">
        <v>26</v>
      </c>
    </row>
    <row r="53" spans="1:17" x14ac:dyDescent="0.35">
      <c r="A53" t="s">
        <v>8</v>
      </c>
      <c r="B53">
        <v>7944561</v>
      </c>
      <c r="C53" s="2" t="s">
        <v>239</v>
      </c>
      <c r="D53" s="2" t="str">
        <f>LEFT(TRIM(MID(SUBSTITUTE(tblShipments[[#This Row],[Details]],CHAR(10)," "), FIND(CHAR(10),tblShipments[[#This Row],[Details]])+1, 50)), 10)</f>
        <v>0514026804</v>
      </c>
      <c r="E53" t="s">
        <v>247</v>
      </c>
      <c r="F5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3" t="str">
        <f>IF(tblShipments[[#This Row],[EGM no]]="", "Missing EGM", "EGM Submitted")</f>
        <v>EGM Submitted</v>
      </c>
      <c r="H53" t="str">
        <f>IF(OR(ISNUMBER(SEARCH("Released",tblShipments[[#This Row],[ROSL]])),
      ISNUMBER(SEARCH("Scroll",tblShipments[[#This Row],[ROSL]])),
      ISNUMBER(SEARCH("Y",tblShipments[[#This Row],[ROSL]]))),
   "Released",
   "Not Released")</f>
        <v>Released</v>
      </c>
      <c r="I53" t="str">
        <f>IF(OR(tblShipments[[#This Row],[EGM no]]="", tblShipments[[#This Row],[EGM no]]="N.A."), "Not Submitted", "Submitted")</f>
        <v>Submitted</v>
      </c>
      <c r="J53" t="str">
        <f>IF(LEFT(tblShipments[[#This Row],[Gateway_Extracted]],2)="IN","Valid","Invalid")</f>
        <v>Valid</v>
      </c>
      <c r="K53" t="s">
        <v>248</v>
      </c>
      <c r="L53" t="s">
        <v>249</v>
      </c>
      <c r="M53" t="s">
        <v>13</v>
      </c>
      <c r="N53" t="s">
        <v>250</v>
      </c>
      <c r="O53" t="str">
        <f>IFERROR("IN" &amp; _xlfn.TEXTBEFORE(_xlfn.TEXTAFTER(UPPER(tblShipments[[#This Row],[Gateway_clean]]),"IN")," ",1),"")</f>
        <v>INMUN1</v>
      </c>
      <c r="P53" t="str">
        <f>SUBSTITUTE(tblShipments[[#This Row],[Gateway]], CHAR(10), " ")</f>
        <v xml:space="preserve">AWB No. Gateway Port Gateway EGM No. Gateway EGM Date Gateway Site ID Error Code N.A.  INMUN1  134209  2017-08-30 00:00:00.0  INMUN1  NC </v>
      </c>
      <c r="Q53" t="s">
        <v>251</v>
      </c>
    </row>
    <row r="54" spans="1:17" x14ac:dyDescent="0.35">
      <c r="A54" t="s">
        <v>8</v>
      </c>
      <c r="B54">
        <v>7945866</v>
      </c>
      <c r="C54" s="2" t="s">
        <v>239</v>
      </c>
      <c r="D54" s="2" t="str">
        <f>LEFT(TRIM(MID(SUBSTITUTE(tblShipments[[#This Row],[Details]],CHAR(10)," "), FIND(CHAR(10),tblShipments[[#This Row],[Details]])+1, 50)), 10)</f>
        <v>0598045783</v>
      </c>
      <c r="E54" t="s">
        <v>252</v>
      </c>
      <c r="F5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4" t="str">
        <f>IF(tblShipments[[#This Row],[EGM no]]="", "Missing EGM", "EGM Submitted")</f>
        <v>EGM Submitted</v>
      </c>
      <c r="H54" t="str">
        <f>IF(OR(ISNUMBER(SEARCH("Released",tblShipments[[#This Row],[ROSL]])),
      ISNUMBER(SEARCH("Scroll",tblShipments[[#This Row],[ROSL]])),
      ISNUMBER(SEARCH("Y",tblShipments[[#This Row],[ROSL]]))),
   "Released",
   "Not Released")</f>
        <v>Released</v>
      </c>
      <c r="I54" t="str">
        <f>IF(OR(tblShipments[[#This Row],[EGM no]]="", tblShipments[[#This Row],[EGM no]]="N.A."), "Not Submitted", "Submitted")</f>
        <v>Submitted</v>
      </c>
      <c r="J54" t="str">
        <f>IF(LEFT(tblShipments[[#This Row],[Gateway_Extracted]],2)="IN","Valid","Invalid")</f>
        <v>Valid</v>
      </c>
      <c r="K54" t="s">
        <v>253</v>
      </c>
      <c r="L54" t="s">
        <v>184</v>
      </c>
      <c r="M54" t="s">
        <v>31</v>
      </c>
      <c r="N54" t="s">
        <v>254</v>
      </c>
      <c r="O54" t="str">
        <f>IFERROR("IN" &amp; _xlfn.TEXTBEFORE(_xlfn.TEXTAFTER(UPPER(tblShipments[[#This Row],[Gateway_clean]]),"IN")," ",1),"")</f>
        <v>INPAV1</v>
      </c>
      <c r="P54" t="str">
        <f>SUBSTITUTE(tblShipments[[#This Row],[Gateway]], CHAR(10), " ")</f>
        <v xml:space="preserve">AWB No. Gateway Port Gateway EGM No. Gateway EGM Date Gateway Site ID Error Code N.A.  INPAV1  133808  2017-08-24 00:00:00.0  INPAV1  S </v>
      </c>
      <c r="Q54" t="s">
        <v>186</v>
      </c>
    </row>
    <row r="55" spans="1:17" x14ac:dyDescent="0.35">
      <c r="A55" t="s">
        <v>8</v>
      </c>
      <c r="B55">
        <v>7955843</v>
      </c>
      <c r="C55" s="2" t="s">
        <v>255</v>
      </c>
      <c r="D55" s="2" t="str">
        <f>LEFT(TRIM(MID(SUBSTITUTE(tblShipments[[#This Row],[Details]],CHAR(10)," "), FIND(CHAR(10),tblShipments[[#This Row],[Details]])+1, 50)), 10)</f>
        <v>0509025765</v>
      </c>
      <c r="E55" t="s">
        <v>256</v>
      </c>
      <c r="F5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5" t="str">
        <f>IF(tblShipments[[#This Row],[EGM no]]="", "Missing EGM", "EGM Submitted")</f>
        <v>EGM Submitted</v>
      </c>
      <c r="H55" t="str">
        <f>IF(OR(ISNUMBER(SEARCH("Released",tblShipments[[#This Row],[ROSL]])),
      ISNUMBER(SEARCH("Scroll",tblShipments[[#This Row],[ROSL]])),
      ISNUMBER(SEARCH("Y",tblShipments[[#This Row],[ROSL]]))),
   "Released",
   "Not Released")</f>
        <v>Released</v>
      </c>
      <c r="I55" t="str">
        <f>IF(OR(tblShipments[[#This Row],[EGM no]]="", tblShipments[[#This Row],[EGM no]]="N.A."), "Not Submitted", "Submitted")</f>
        <v>Submitted</v>
      </c>
      <c r="J55" t="str">
        <f>IF(LEFT(tblShipments[[#This Row],[Gateway_Extracted]],2)="IN","Valid","Invalid")</f>
        <v>Valid</v>
      </c>
      <c r="K55" t="s">
        <v>257</v>
      </c>
      <c r="L55" t="s">
        <v>258</v>
      </c>
      <c r="M55" t="s">
        <v>13</v>
      </c>
      <c r="N55" t="s">
        <v>259</v>
      </c>
      <c r="O55" t="str">
        <f>IFERROR("IN" &amp; _xlfn.TEXTBEFORE(_xlfn.TEXTAFTER(UPPER(tblShipments[[#This Row],[Gateway_clean]]),"IN")," ",1),"")</f>
        <v>INNSA1</v>
      </c>
      <c r="P55" t="str">
        <f>SUBSTITUTE(tblShipments[[#This Row],[Gateway]], CHAR(10), " ")</f>
        <v xml:space="preserve">AWB No. Gateway Port Gateway EGM No. Gateway EGM Date Gateway Site ID Error Code N.A.  INNSA1  N.A.  N.A.  N.A.  N.A. </v>
      </c>
      <c r="Q55" t="s">
        <v>26</v>
      </c>
    </row>
    <row r="56" spans="1:17" x14ac:dyDescent="0.35">
      <c r="A56" t="s">
        <v>8</v>
      </c>
      <c r="B56">
        <v>7958295</v>
      </c>
      <c r="C56" s="2" t="s">
        <v>255</v>
      </c>
      <c r="D56" s="2" t="str">
        <f>LEFT(TRIM(MID(SUBSTITUTE(tblShipments[[#This Row],[Details]],CHAR(10)," "), FIND(CHAR(10),tblShipments[[#This Row],[Details]])+1, 50)), 10)</f>
        <v>0598055665</v>
      </c>
      <c r="E56" t="s">
        <v>260</v>
      </c>
      <c r="F5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6" t="str">
        <f>IF(tblShipments[[#This Row],[EGM no]]="", "Missing EGM", "EGM Submitted")</f>
        <v>EGM Submitted</v>
      </c>
      <c r="H56" t="str">
        <f>IF(OR(ISNUMBER(SEARCH("Released",tblShipments[[#This Row],[ROSL]])),
      ISNUMBER(SEARCH("Scroll",tblShipments[[#This Row],[ROSL]])),
      ISNUMBER(SEARCH("Y",tblShipments[[#This Row],[ROSL]]))),
   "Released",
   "Not Released")</f>
        <v>Released</v>
      </c>
      <c r="I56" t="str">
        <f>IF(OR(tblShipments[[#This Row],[EGM no]]="", tblShipments[[#This Row],[EGM no]]="N.A."), "Not Submitted", "Submitted")</f>
        <v>Submitted</v>
      </c>
      <c r="J56" t="str">
        <f>IF(LEFT(tblShipments[[#This Row],[Gateway_Extracted]],2)="IN","Valid","Invalid")</f>
        <v>Valid</v>
      </c>
      <c r="K56" t="s">
        <v>261</v>
      </c>
      <c r="L56" t="s">
        <v>262</v>
      </c>
      <c r="M56" t="s">
        <v>13</v>
      </c>
      <c r="N56" t="s">
        <v>263</v>
      </c>
      <c r="O56" t="str">
        <f>IFERROR("IN" &amp; _xlfn.TEXTBEFORE(_xlfn.TEXTAFTER(UPPER(tblShipments[[#This Row],[Gateway_clean]]),"IN")," ",1),"")</f>
        <v>INNSA1</v>
      </c>
      <c r="P56" t="str">
        <f>SUBSTITUTE(tblShipments[[#This Row],[Gateway]], CHAR(10), " ")</f>
        <v xml:space="preserve">AWB No. Gateway Port Gateway EGM No. Gateway EGM Date Gateway Site ID Error Code N.A.  INNSA1  N.A.  N.A.  N.A.  N.A. </v>
      </c>
      <c r="Q56" t="s">
        <v>26</v>
      </c>
    </row>
    <row r="57" spans="1:17" x14ac:dyDescent="0.35">
      <c r="A57" t="s">
        <v>8</v>
      </c>
      <c r="B57">
        <v>7961683</v>
      </c>
      <c r="C57" s="2" t="s">
        <v>255</v>
      </c>
      <c r="D57" s="2" t="str">
        <f>LEFT(TRIM(MID(SUBSTITUTE(tblShipments[[#This Row],[Details]],CHAR(10)," "), FIND(CHAR(10),tblShipments[[#This Row],[Details]])+1, 50)), 10)</f>
        <v>0507051360</v>
      </c>
      <c r="E57" t="s">
        <v>264</v>
      </c>
      <c r="F5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7" t="str">
        <f>IF(tblShipments[[#This Row],[EGM no]]="", "Missing EGM", "EGM Submitted")</f>
        <v>EGM Submitted</v>
      </c>
      <c r="H57" t="str">
        <f>IF(OR(ISNUMBER(SEARCH("Released",tblShipments[[#This Row],[ROSL]])),
      ISNUMBER(SEARCH("Scroll",tblShipments[[#This Row],[ROSL]])),
      ISNUMBER(SEARCH("Y",tblShipments[[#This Row],[ROSL]]))),
   "Released",
   "Not Released")</f>
        <v>Released</v>
      </c>
      <c r="I57" t="str">
        <f>IF(OR(tblShipments[[#This Row],[EGM no]]="", tblShipments[[#This Row],[EGM no]]="N.A."), "Not Submitted", "Submitted")</f>
        <v>Submitted</v>
      </c>
      <c r="J57" t="str">
        <f>IF(LEFT(tblShipments[[#This Row],[Gateway_Extracted]],2)="IN","Valid","Invalid")</f>
        <v>Valid</v>
      </c>
      <c r="K57" t="s">
        <v>228</v>
      </c>
      <c r="L57" t="s">
        <v>224</v>
      </c>
      <c r="M57" t="s">
        <v>13</v>
      </c>
      <c r="N57" t="s">
        <v>265</v>
      </c>
      <c r="O57" t="str">
        <f>IFERROR("IN" &amp; _xlfn.TEXTBEFORE(_xlfn.TEXTAFTER(UPPER(tblShipments[[#This Row],[Gateway_clean]]),"IN")," ",1),"")</f>
        <v>INNSA1</v>
      </c>
      <c r="P57" t="str">
        <f>SUBSTITUTE(tblShipments[[#This Row],[Gateway]], CHAR(10), " ")</f>
        <v xml:space="preserve">AWB No. Gateway Port Gateway EGM No. Gateway EGM Date Gateway Site ID Error Code N.A.  INNSA1  133227  2017-08-14 00:00:00.0  INNSA1  S </v>
      </c>
      <c r="Q57" t="s">
        <v>266</v>
      </c>
    </row>
    <row r="58" spans="1:17" x14ac:dyDescent="0.35">
      <c r="A58" t="s">
        <v>8</v>
      </c>
      <c r="B58">
        <v>7968231</v>
      </c>
      <c r="C58" s="2" t="s">
        <v>255</v>
      </c>
      <c r="D58" s="2" t="str">
        <f>LEFT(TRIM(MID(SUBSTITUTE(tblShipments[[#This Row],[Details]],CHAR(10)," "), FIND(CHAR(10),tblShipments[[#This Row],[Details]])+1, 50)), 10)</f>
        <v>0517546981</v>
      </c>
      <c r="E58" t="s">
        <v>267</v>
      </c>
      <c r="F5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8" t="str">
        <f>IF(tblShipments[[#This Row],[EGM no]]="", "Missing EGM", "EGM Submitted")</f>
        <v>EGM Submitted</v>
      </c>
      <c r="H58" t="str">
        <f>IF(OR(ISNUMBER(SEARCH("Released",tblShipments[[#This Row],[ROSL]])),
      ISNUMBER(SEARCH("Scroll",tblShipments[[#This Row],[ROSL]])),
      ISNUMBER(SEARCH("Y",tblShipments[[#This Row],[ROSL]]))),
   "Released",
   "Not Released")</f>
        <v>Released</v>
      </c>
      <c r="I58" t="str">
        <f>IF(OR(tblShipments[[#This Row],[EGM no]]="", tblShipments[[#This Row],[EGM no]]="N.A."), "Not Submitted", "Submitted")</f>
        <v>Submitted</v>
      </c>
      <c r="J58" t="str">
        <f>IF(LEFT(tblShipments[[#This Row],[Gateway_Extracted]],2)="IN","Valid","Invalid")</f>
        <v>Valid</v>
      </c>
      <c r="K58" t="s">
        <v>268</v>
      </c>
      <c r="L58" t="s">
        <v>269</v>
      </c>
      <c r="M58" t="s">
        <v>31</v>
      </c>
      <c r="N58" t="s">
        <v>270</v>
      </c>
      <c r="O58" t="str">
        <f>IFERROR("IN" &amp; _xlfn.TEXTBEFORE(_xlfn.TEXTAFTER(UPPER(tblShipments[[#This Row],[Gateway_clean]]),"IN")," ",1),"")</f>
        <v>INMUN1</v>
      </c>
      <c r="P58" t="str">
        <f>SUBSTITUTE(tblShipments[[#This Row],[Gateway]], CHAR(10), " ")</f>
        <v xml:space="preserve">AWB No. Gateway Port Gateway EGM No. Gateway EGM Date Gateway Site ID Error Code N.A.  INMUN1  137180  2017-10-18 00:00:00.0  INMUN1  ST </v>
      </c>
      <c r="Q58" t="s">
        <v>212</v>
      </c>
    </row>
    <row r="59" spans="1:17" x14ac:dyDescent="0.35">
      <c r="A59" t="s">
        <v>8</v>
      </c>
      <c r="B59">
        <v>7970037</v>
      </c>
      <c r="C59" s="2" t="s">
        <v>255</v>
      </c>
      <c r="D59" s="2" t="str">
        <f>LEFT(TRIM(MID(SUBSTITUTE(tblShipments[[#This Row],[Details]],CHAR(10)," "), FIND(CHAR(10),tblShipments[[#This Row],[Details]])+1, 50)), 10)</f>
        <v>0590022873</v>
      </c>
      <c r="E59" t="s">
        <v>271</v>
      </c>
      <c r="F5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59" t="str">
        <f>IF(tblShipments[[#This Row],[EGM no]]="", "Missing EGM", "EGM Submitted")</f>
        <v>EGM Submitted</v>
      </c>
      <c r="H59" t="str">
        <f>IF(OR(ISNUMBER(SEARCH("Released",tblShipments[[#This Row],[ROSL]])),
      ISNUMBER(SEARCH("Scroll",tblShipments[[#This Row],[ROSL]])),
      ISNUMBER(SEARCH("Y",tblShipments[[#This Row],[ROSL]]))),
   "Released",
   "Not Released")</f>
        <v>Released</v>
      </c>
      <c r="I59" t="str">
        <f>IF(OR(tblShipments[[#This Row],[EGM no]]="", tblShipments[[#This Row],[EGM no]]="N.A."), "Not Submitted", "Submitted")</f>
        <v>Submitted</v>
      </c>
      <c r="J59" t="str">
        <f>IF(LEFT(tblShipments[[#This Row],[Gateway_Extracted]],2)="IN","Valid","Invalid")</f>
        <v>Valid</v>
      </c>
      <c r="K59" t="s">
        <v>272</v>
      </c>
      <c r="L59" t="s">
        <v>273</v>
      </c>
      <c r="M59" t="s">
        <v>13</v>
      </c>
      <c r="N59" t="s">
        <v>274</v>
      </c>
      <c r="O59" t="str">
        <f>IFERROR("IN" &amp; _xlfn.TEXTBEFORE(_xlfn.TEXTAFTER(UPPER(tblShipments[[#This Row],[Gateway_clean]]),"IN")," ",1),"")</f>
        <v>INMUN1</v>
      </c>
      <c r="P59" t="str">
        <f>SUBSTITUTE(tblShipments[[#This Row],[Gateway]], CHAR(10), " ")</f>
        <v xml:space="preserve">AWB No. Gateway Port Gateway EGM No. Gateway EGM Date Gateway Site ID Error Code N.A.  INMUN1  134147  2017-08-29 00:00:00.0  INMUN1  S </v>
      </c>
      <c r="Q59" t="s">
        <v>275</v>
      </c>
    </row>
    <row r="60" spans="1:17" x14ac:dyDescent="0.35">
      <c r="A60" t="s">
        <v>8</v>
      </c>
      <c r="B60">
        <v>7970441</v>
      </c>
      <c r="C60" s="2" t="s">
        <v>255</v>
      </c>
      <c r="D60" s="2" t="str">
        <f>LEFT(TRIM(MID(SUBSTITUTE(tblShipments[[#This Row],[Details]],CHAR(10)," "), FIND(CHAR(10),tblShipments[[#This Row],[Details]])+1, 50)), 10)</f>
        <v>0314035087</v>
      </c>
      <c r="E60" t="s">
        <v>276</v>
      </c>
      <c r="F6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0" t="str">
        <f>IF(tblShipments[[#This Row],[EGM no]]="", "Missing EGM", "EGM Submitted")</f>
        <v>EGM Submitted</v>
      </c>
      <c r="H60" t="str">
        <f>IF(OR(ISNUMBER(SEARCH("Released",tblShipments[[#This Row],[ROSL]])),
      ISNUMBER(SEARCH("Scroll",tblShipments[[#This Row],[ROSL]])),
      ISNUMBER(SEARCH("Y",tblShipments[[#This Row],[ROSL]]))),
   "Released",
   "Not Released")</f>
        <v>Released</v>
      </c>
      <c r="I60" t="str">
        <f>IF(OR(tblShipments[[#This Row],[EGM no]]="", tblShipments[[#This Row],[EGM no]]="N.A."), "Not Submitted", "Submitted")</f>
        <v>Submitted</v>
      </c>
      <c r="J60" t="str">
        <f>IF(LEFT(tblShipments[[#This Row],[Gateway_Extracted]],2)="IN","Valid","Invalid")</f>
        <v>Valid</v>
      </c>
      <c r="K60" t="s">
        <v>183</v>
      </c>
      <c r="L60" t="s">
        <v>277</v>
      </c>
      <c r="M60" t="s">
        <v>13</v>
      </c>
      <c r="N60" t="s">
        <v>278</v>
      </c>
      <c r="O60" t="str">
        <f>IFERROR("IN" &amp; _xlfn.TEXTBEFORE(_xlfn.TEXTAFTER(UPPER(tblShipments[[#This Row],[Gateway_clean]]),"IN")," ",1),"")</f>
        <v>INMUN1</v>
      </c>
      <c r="P60" t="str">
        <f>SUBSTITUTE(tblShipments[[#This Row],[Gateway]], CHAR(10), " ")</f>
        <v xml:space="preserve">AWB No. Gateway Port Gateway EGM No. Gateway EGM Date Gateway Site ID Error Code N.A.  INMUN1  134794  2017-09-08 00:00:00.0  INMUN1  S </v>
      </c>
      <c r="Q60" t="s">
        <v>279</v>
      </c>
    </row>
    <row r="61" spans="1:17" x14ac:dyDescent="0.35">
      <c r="A61" t="s">
        <v>8</v>
      </c>
      <c r="B61">
        <v>7971432</v>
      </c>
      <c r="C61" s="2" t="s">
        <v>255</v>
      </c>
      <c r="D61" s="2" t="str">
        <f>LEFT(TRIM(MID(SUBSTITUTE(tblShipments[[#This Row],[Details]],CHAR(10)," "), FIND(CHAR(10),tblShipments[[#This Row],[Details]])+1, 50)), 10)</f>
        <v>0503083518</v>
      </c>
      <c r="E61" t="s">
        <v>280</v>
      </c>
      <c r="F6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1" t="str">
        <f>IF(tblShipments[[#This Row],[EGM no]]="", "Missing EGM", "EGM Submitted")</f>
        <v>EGM Submitted</v>
      </c>
      <c r="H61" t="str">
        <f>IF(OR(ISNUMBER(SEARCH("Released",tblShipments[[#This Row],[ROSL]])),
      ISNUMBER(SEARCH("Scroll",tblShipments[[#This Row],[ROSL]])),
      ISNUMBER(SEARCH("Y",tblShipments[[#This Row],[ROSL]]))),
   "Released",
   "Not Released")</f>
        <v>Released</v>
      </c>
      <c r="I61" t="str">
        <f>IF(OR(tblShipments[[#This Row],[EGM no]]="", tblShipments[[#This Row],[EGM no]]="N.A."), "Not Submitted", "Submitted")</f>
        <v>Submitted</v>
      </c>
      <c r="J61" t="str">
        <f>IF(LEFT(tblShipments[[#This Row],[Gateway_Extracted]],2)="IN","Valid","Invalid")</f>
        <v>Valid</v>
      </c>
      <c r="K61" t="s">
        <v>241</v>
      </c>
      <c r="L61" t="s">
        <v>281</v>
      </c>
      <c r="M61" t="s">
        <v>13</v>
      </c>
      <c r="N61" t="s">
        <v>282</v>
      </c>
      <c r="O61" t="str">
        <f>IFERROR("IN" &amp; _xlfn.TEXTBEFORE(_xlfn.TEXTAFTER(UPPER(tblShipments[[#This Row],[Gateway_clean]]),"IN")," ",1),"")</f>
        <v>INPAV1</v>
      </c>
      <c r="P61" t="str">
        <f>SUBSTITUTE(tblShipments[[#This Row],[Gateway]], CHAR(10), " ")</f>
        <v xml:space="preserve">AWB No. Gateway Port Gateway EGM No. Gateway EGM Date Gateway Site ID Error Code N.A.  INPAV1  133387  2017-08-16 00:00:00.0  INPAV1  S </v>
      </c>
      <c r="Q61" t="s">
        <v>283</v>
      </c>
    </row>
    <row r="62" spans="1:17" x14ac:dyDescent="0.35">
      <c r="A62" t="s">
        <v>8</v>
      </c>
      <c r="B62">
        <v>7984652</v>
      </c>
      <c r="C62" s="2" t="s">
        <v>284</v>
      </c>
      <c r="D62" s="2" t="str">
        <f>LEFT(TRIM(MID(SUBSTITUTE(tblShipments[[#This Row],[Details]],CHAR(10)," "), FIND(CHAR(10),tblShipments[[#This Row],[Details]])+1, 50)), 10)</f>
        <v>0510040519</v>
      </c>
      <c r="E62" t="s">
        <v>285</v>
      </c>
      <c r="F6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2" t="str">
        <f>IF(tblShipments[[#This Row],[EGM no]]="", "Missing EGM", "EGM Submitted")</f>
        <v>EGM Submitted</v>
      </c>
      <c r="H62" t="str">
        <f>IF(OR(ISNUMBER(SEARCH("Released",tblShipments[[#This Row],[ROSL]])),
      ISNUMBER(SEARCH("Scroll",tblShipments[[#This Row],[ROSL]])),
      ISNUMBER(SEARCH("Y",tblShipments[[#This Row],[ROSL]]))),
   "Released",
   "Not Released")</f>
        <v>Released</v>
      </c>
      <c r="I62" t="str">
        <f>IF(OR(tblShipments[[#This Row],[EGM no]]="", tblShipments[[#This Row],[EGM no]]="N.A."), "Not Submitted", "Submitted")</f>
        <v>Submitted</v>
      </c>
      <c r="J62" t="str">
        <f>IF(LEFT(tblShipments[[#This Row],[Gateway_Extracted]],2)="IN","Valid","Invalid")</f>
        <v>Valid</v>
      </c>
      <c r="K62" t="s">
        <v>286</v>
      </c>
      <c r="L62" t="s">
        <v>287</v>
      </c>
      <c r="M62" t="s">
        <v>13</v>
      </c>
      <c r="N62" t="s">
        <v>288</v>
      </c>
      <c r="O62" t="str">
        <f>IFERROR("IN" &amp; _xlfn.TEXTBEFORE(_xlfn.TEXTAFTER(UPPER(tblShipments[[#This Row],[Gateway_clean]]),"IN")," ",1),"")</f>
        <v>INNSA1</v>
      </c>
      <c r="P62" t="str">
        <f>SUBSTITUTE(tblShipments[[#This Row],[Gateway]], CHAR(10), " ")</f>
        <v xml:space="preserve">AWB No. Gateway Port Gateway EGM No. Gateway EGM Date Gateway Site ID Error Code N.A.  INNSA1  133031  2017-08-10 00:00:00.0  INNSA1  S </v>
      </c>
      <c r="Q62" t="s">
        <v>289</v>
      </c>
    </row>
    <row r="63" spans="1:17" x14ac:dyDescent="0.35">
      <c r="A63" t="s">
        <v>8</v>
      </c>
      <c r="B63">
        <v>8018847</v>
      </c>
      <c r="C63" s="2" t="s">
        <v>290</v>
      </c>
      <c r="D63" s="2" t="str">
        <f>LEFT(TRIM(MID(SUBSTITUTE(tblShipments[[#This Row],[Details]],CHAR(10)," "), FIND(CHAR(10),tblShipments[[#This Row],[Details]])+1, 50)), 10)</f>
        <v>0514081988</v>
      </c>
      <c r="E63" t="s">
        <v>291</v>
      </c>
      <c r="F6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3" t="str">
        <f>IF(tblShipments[[#This Row],[EGM no]]="", "Missing EGM", "EGM Submitted")</f>
        <v>EGM Submitted</v>
      </c>
      <c r="H63" t="str">
        <f>IF(OR(ISNUMBER(SEARCH("Released",tblShipments[[#This Row],[ROSL]])),
      ISNUMBER(SEARCH("Scroll",tblShipments[[#This Row],[ROSL]])),
      ISNUMBER(SEARCH("Y",tblShipments[[#This Row],[ROSL]]))),
   "Released",
   "Not Released")</f>
        <v>Released</v>
      </c>
      <c r="I63" t="str">
        <f>IF(OR(tblShipments[[#This Row],[EGM no]]="", tblShipments[[#This Row],[EGM no]]="N.A."), "Not Submitted", "Submitted")</f>
        <v>Submitted</v>
      </c>
      <c r="J63" t="str">
        <f>IF(LEFT(tblShipments[[#This Row],[Gateway_Extracted]],2)="IN","Valid","Invalid")</f>
        <v>Valid</v>
      </c>
      <c r="K63" t="s">
        <v>286</v>
      </c>
      <c r="L63" t="s">
        <v>292</v>
      </c>
      <c r="M63" t="s">
        <v>13</v>
      </c>
      <c r="N63" t="s">
        <v>293</v>
      </c>
      <c r="O63" t="str">
        <f>IFERROR("IN" &amp; _xlfn.TEXTBEFORE(_xlfn.TEXTAFTER(UPPER(tblShipments[[#This Row],[Gateway_clean]]),"IN")," ",1),"")</f>
        <v>INPAV1</v>
      </c>
      <c r="P63" t="str">
        <f>SUBSTITUTE(tblShipments[[#This Row],[Gateway]], CHAR(10), " ")</f>
        <v xml:space="preserve">AWB No. Gateway Port Gateway EGM No. Gateway EGM Date Gateway Site ID Error Code N.A.  INPAV1  132215  2017-07-26 00:00:00.0  INPAV1  S </v>
      </c>
      <c r="Q63" t="s">
        <v>294</v>
      </c>
    </row>
    <row r="64" spans="1:17" x14ac:dyDescent="0.35">
      <c r="A64" t="s">
        <v>8</v>
      </c>
      <c r="B64">
        <v>8022473</v>
      </c>
      <c r="C64" s="2" t="s">
        <v>295</v>
      </c>
      <c r="D64" s="2" t="str">
        <f>LEFT(TRIM(MID(SUBSTITUTE(tblShipments[[#This Row],[Details]],CHAR(10)," "), FIND(CHAR(10),tblShipments[[#This Row],[Details]])+1, 50)), 10)</f>
        <v>0512062013</v>
      </c>
      <c r="E64" t="s">
        <v>296</v>
      </c>
      <c r="F6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4" t="str">
        <f>IF(tblShipments[[#This Row],[EGM no]]="", "Missing EGM", "EGM Submitted")</f>
        <v>EGM Submitted</v>
      </c>
      <c r="H64" t="str">
        <f>IF(OR(ISNUMBER(SEARCH("Released",tblShipments[[#This Row],[ROSL]])),
      ISNUMBER(SEARCH("Scroll",tblShipments[[#This Row],[ROSL]])),
      ISNUMBER(SEARCH("Y",tblShipments[[#This Row],[ROSL]]))),
   "Released",
   "Not Released")</f>
        <v>Released</v>
      </c>
      <c r="I64" t="str">
        <f>IF(OR(tblShipments[[#This Row],[EGM no]]="", tblShipments[[#This Row],[EGM no]]="N.A."), "Not Submitted", "Submitted")</f>
        <v>Submitted</v>
      </c>
      <c r="J64" t="str">
        <f>IF(LEFT(tblShipments[[#This Row],[Gateway_Extracted]],2)="IN","Valid","Invalid")</f>
        <v>Valid</v>
      </c>
      <c r="K64" t="s">
        <v>297</v>
      </c>
      <c r="L64" t="s">
        <v>298</v>
      </c>
      <c r="M64" t="s">
        <v>13</v>
      </c>
      <c r="N64" t="s">
        <v>299</v>
      </c>
      <c r="O64" t="str">
        <f>IFERROR("IN" &amp; _xlfn.TEXTBEFORE(_xlfn.TEXTAFTER(UPPER(tblShipments[[#This Row],[Gateway_clean]]),"IN")," ",1),"")</f>
        <v>INNSA1</v>
      </c>
      <c r="P64" t="str">
        <f>SUBSTITUTE(tblShipments[[#This Row],[Gateway]], CHAR(10), " ")</f>
        <v xml:space="preserve">AWB No. Gateway Port Gateway EGM No. Gateway EGM Date Gateway Site ID Error Code N.A.  INNSA1  134040  2017-08-28 00:00:00.0  INNSA1  S </v>
      </c>
      <c r="Q64" t="s">
        <v>300</v>
      </c>
    </row>
    <row r="65" spans="1:17" x14ac:dyDescent="0.35">
      <c r="A65" t="s">
        <v>8</v>
      </c>
      <c r="B65">
        <v>8035307</v>
      </c>
      <c r="C65" s="2" t="s">
        <v>295</v>
      </c>
      <c r="D65" s="2" t="str">
        <f>LEFT(TRIM(MID(SUBSTITUTE(tblShipments[[#This Row],[Details]],CHAR(10)," "), FIND(CHAR(10),tblShipments[[#This Row],[Details]])+1, 50)), 10)</f>
        <v>0513021612</v>
      </c>
      <c r="E65" t="s">
        <v>301</v>
      </c>
      <c r="F6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5" t="str">
        <f>IF(tblShipments[[#This Row],[EGM no]]="", "Missing EGM", "EGM Submitted")</f>
        <v>EGM Submitted</v>
      </c>
      <c r="H65" t="str">
        <f>IF(OR(ISNUMBER(SEARCH("Released",tblShipments[[#This Row],[ROSL]])),
      ISNUMBER(SEARCH("Scroll",tblShipments[[#This Row],[ROSL]])),
      ISNUMBER(SEARCH("Y",tblShipments[[#This Row],[ROSL]]))),
   "Released",
   "Not Released")</f>
        <v>Released</v>
      </c>
      <c r="I65" t="str">
        <f>IF(OR(tblShipments[[#This Row],[EGM no]]="", tblShipments[[#This Row],[EGM no]]="N.A."), "Not Submitted", "Submitted")</f>
        <v>Submitted</v>
      </c>
      <c r="J65" t="str">
        <f>IF(LEFT(tblShipments[[#This Row],[Gateway_Extracted]],2)="IN","Valid","Invalid")</f>
        <v>Valid</v>
      </c>
      <c r="K65" t="s">
        <v>302</v>
      </c>
      <c r="L65" t="s">
        <v>303</v>
      </c>
      <c r="M65" t="s">
        <v>13</v>
      </c>
      <c r="N65" t="s">
        <v>304</v>
      </c>
      <c r="O65" t="str">
        <f>IFERROR("IN" &amp; _xlfn.TEXTBEFORE(_xlfn.TEXTAFTER(UPPER(tblShipments[[#This Row],[Gateway_clean]]),"IN")," ",1),"")</f>
        <v>INNSA1</v>
      </c>
      <c r="P65" t="str">
        <f>SUBSTITUTE(tblShipments[[#This Row],[Gateway]], CHAR(10), " ")</f>
        <v xml:space="preserve">AWB No. Gateway Port Gateway EGM No. Gateway EGM Date Gateway Site ID Error Code N.A.  INNSA1  133314  2017-08-16 00:00:00.0  INNSA1  S </v>
      </c>
      <c r="Q65" t="s">
        <v>305</v>
      </c>
    </row>
    <row r="66" spans="1:17" x14ac:dyDescent="0.35">
      <c r="A66" t="s">
        <v>8</v>
      </c>
      <c r="B66">
        <v>8039228</v>
      </c>
      <c r="C66" s="2" t="s">
        <v>295</v>
      </c>
      <c r="D66" s="2" t="str">
        <f>LEFT(TRIM(MID(SUBSTITUTE(tblShipments[[#This Row],[Details]],CHAR(10)," "), FIND(CHAR(10),tblShipments[[#This Row],[Details]])+1, 50)), 10)</f>
        <v>0515042064</v>
      </c>
      <c r="E66" t="s">
        <v>306</v>
      </c>
      <c r="F6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6" t="str">
        <f>IF(tblShipments[[#This Row],[EGM no]]="", "Missing EGM", "EGM Submitted")</f>
        <v>EGM Submitted</v>
      </c>
      <c r="H66" t="str">
        <f>IF(OR(ISNUMBER(SEARCH("Released",tblShipments[[#This Row],[ROSL]])),
      ISNUMBER(SEARCH("Scroll",tblShipments[[#This Row],[ROSL]])),
      ISNUMBER(SEARCH("Y",tblShipments[[#This Row],[ROSL]]))),
   "Released",
   "Not Released")</f>
        <v>Released</v>
      </c>
      <c r="I66" t="str">
        <f>IF(OR(tblShipments[[#This Row],[EGM no]]="", tblShipments[[#This Row],[EGM no]]="N.A."), "Not Submitted", "Submitted")</f>
        <v>Submitted</v>
      </c>
      <c r="J66" t="str">
        <f>IF(LEFT(tblShipments[[#This Row],[Gateway_Extracted]],2)="IN","Valid","Invalid")</f>
        <v>Valid</v>
      </c>
      <c r="K66" t="s">
        <v>307</v>
      </c>
      <c r="L66" t="s">
        <v>308</v>
      </c>
      <c r="M66" t="s">
        <v>13</v>
      </c>
      <c r="N66" t="s">
        <v>309</v>
      </c>
      <c r="O66" t="str">
        <f>IFERROR("IN" &amp; _xlfn.TEXTBEFORE(_xlfn.TEXTAFTER(UPPER(tblShipments[[#This Row],[Gateway_clean]]),"IN")," ",1),"")</f>
        <v>INNSA1</v>
      </c>
      <c r="P66" t="str">
        <f>SUBSTITUTE(tblShipments[[#This Row],[Gateway]], CHAR(10), " ")</f>
        <v xml:space="preserve">AWB No. Gateway Port Gateway EGM No. Gateway EGM Date Gateway Site ID Error Code N.A.  INNSA1  N.A.  N.A.  N.A.  N.A. </v>
      </c>
      <c r="Q66" t="s">
        <v>26</v>
      </c>
    </row>
    <row r="67" spans="1:17" x14ac:dyDescent="0.35">
      <c r="A67" t="s">
        <v>8</v>
      </c>
      <c r="B67">
        <v>8055596</v>
      </c>
      <c r="C67" s="2" t="s">
        <v>310</v>
      </c>
      <c r="D67" s="2" t="str">
        <f>LEFT(TRIM(MID(SUBSTITUTE(tblShipments[[#This Row],[Details]],CHAR(10)," "), FIND(CHAR(10),tblShipments[[#This Row],[Details]])+1, 50)), 10)</f>
        <v>0593058577</v>
      </c>
      <c r="E67" t="s">
        <v>311</v>
      </c>
      <c r="F6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7" t="str">
        <f>IF(tblShipments[[#This Row],[EGM no]]="", "Missing EGM", "EGM Submitted")</f>
        <v>EGM Submitted</v>
      </c>
      <c r="H67" t="str">
        <f>IF(OR(ISNUMBER(SEARCH("Released",tblShipments[[#This Row],[ROSL]])),
      ISNUMBER(SEARCH("Scroll",tblShipments[[#This Row],[ROSL]])),
      ISNUMBER(SEARCH("Y",tblShipments[[#This Row],[ROSL]]))),
   "Released",
   "Not Released")</f>
        <v>Released</v>
      </c>
      <c r="I67" t="str">
        <f>IF(OR(tblShipments[[#This Row],[EGM no]]="", tblShipments[[#This Row],[EGM no]]="N.A."), "Not Submitted", "Submitted")</f>
        <v>Submitted</v>
      </c>
      <c r="J67" t="str">
        <f>IF(LEFT(tblShipments[[#This Row],[Gateway_Extracted]],2)="IN","Valid","Invalid")</f>
        <v>Valid</v>
      </c>
      <c r="K67" t="s">
        <v>312</v>
      </c>
      <c r="L67" t="s">
        <v>313</v>
      </c>
      <c r="M67" t="s">
        <v>13</v>
      </c>
      <c r="N67" t="s">
        <v>314</v>
      </c>
      <c r="O67" t="str">
        <f>IFERROR("IN" &amp; _xlfn.TEXTBEFORE(_xlfn.TEXTAFTER(UPPER(tblShipments[[#This Row],[Gateway_clean]]),"IN")," ",1),"")</f>
        <v>INMUN1</v>
      </c>
      <c r="P67" t="str">
        <f>SUBSTITUTE(tblShipments[[#This Row],[Gateway]], CHAR(10), " ")</f>
        <v xml:space="preserve">AWB No. Gateway Port Gateway EGM No. Gateway EGM Date Gateway Site ID Error Code N.A.  INMUN1  134051  2017-08-28 00:00:00.0  INMUN1  S </v>
      </c>
      <c r="Q67" t="s">
        <v>315</v>
      </c>
    </row>
    <row r="68" spans="1:17" x14ac:dyDescent="0.35">
      <c r="A68" t="s">
        <v>8</v>
      </c>
      <c r="B68">
        <v>8061134</v>
      </c>
      <c r="C68" s="2" t="s">
        <v>310</v>
      </c>
      <c r="D68" s="2" t="str">
        <f>LEFT(TRIM(MID(SUBSTITUTE(tblShipments[[#This Row],[Details]],CHAR(10)," "), FIND(CHAR(10),tblShipments[[#This Row],[Details]])+1, 50)), 10)</f>
        <v>0515042064</v>
      </c>
      <c r="E68" t="s">
        <v>316</v>
      </c>
      <c r="F6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8" t="str">
        <f>IF(tblShipments[[#This Row],[EGM no]]="", "Missing EGM", "EGM Submitted")</f>
        <v>EGM Submitted</v>
      </c>
      <c r="H68" t="str">
        <f>IF(OR(ISNUMBER(SEARCH("Released",tblShipments[[#This Row],[ROSL]])),
      ISNUMBER(SEARCH("Scroll",tblShipments[[#This Row],[ROSL]])),
      ISNUMBER(SEARCH("Y",tblShipments[[#This Row],[ROSL]]))),
   "Released",
   "Not Released")</f>
        <v>Released</v>
      </c>
      <c r="I68" t="str">
        <f>IF(OR(tblShipments[[#This Row],[EGM no]]="", tblShipments[[#This Row],[EGM no]]="N.A."), "Not Submitted", "Submitted")</f>
        <v>Submitted</v>
      </c>
      <c r="J68" t="str">
        <f>IF(LEFT(tblShipments[[#This Row],[Gateway_Extracted]],2)="IN","Valid","Invalid")</f>
        <v>Valid</v>
      </c>
      <c r="K68" t="s">
        <v>317</v>
      </c>
      <c r="L68" t="s">
        <v>318</v>
      </c>
      <c r="M68" t="s">
        <v>13</v>
      </c>
      <c r="N68" t="s">
        <v>319</v>
      </c>
      <c r="O68" t="str">
        <f>IFERROR("IN" &amp; _xlfn.TEXTBEFORE(_xlfn.TEXTAFTER(UPPER(tblShipments[[#This Row],[Gateway_clean]]),"IN")," ",1),"")</f>
        <v>INNSA1</v>
      </c>
      <c r="P68" t="str">
        <f>SUBSTITUTE(tblShipments[[#This Row],[Gateway]], CHAR(10), " ")</f>
        <v xml:space="preserve">AWB No. Gateway Port Gateway EGM No. Gateway EGM Date Gateway Site ID Error Code N.A.  INNSA1  134474  2017-09-04 00:00:00.0  INNSA1  C </v>
      </c>
      <c r="Q68" t="s">
        <v>320</v>
      </c>
    </row>
    <row r="69" spans="1:17" x14ac:dyDescent="0.35">
      <c r="A69" t="s">
        <v>8</v>
      </c>
      <c r="B69">
        <v>8065467</v>
      </c>
      <c r="C69" s="2" t="s">
        <v>310</v>
      </c>
      <c r="D69" s="2" t="str">
        <f>LEFT(TRIM(MID(SUBSTITUTE(tblShipments[[#This Row],[Details]],CHAR(10)," "), FIND(CHAR(10),tblShipments[[#This Row],[Details]])+1, 50)), 10)</f>
        <v>0509092110</v>
      </c>
      <c r="E69" t="s">
        <v>321</v>
      </c>
      <c r="F6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69" t="str">
        <f>IF(tblShipments[[#This Row],[EGM no]]="", "Missing EGM", "EGM Submitted")</f>
        <v>EGM Submitted</v>
      </c>
      <c r="H69" t="str">
        <f>IF(OR(ISNUMBER(SEARCH("Released",tblShipments[[#This Row],[ROSL]])),
      ISNUMBER(SEARCH("Scroll",tblShipments[[#This Row],[ROSL]])),
      ISNUMBER(SEARCH("Y",tblShipments[[#This Row],[ROSL]]))),
   "Released",
   "Not Released")</f>
        <v>Not Released</v>
      </c>
      <c r="I69" t="str">
        <f>IF(OR(tblShipments[[#This Row],[EGM no]]="", tblShipments[[#This Row],[EGM no]]="N.A."), "Not Submitted", "Submitted")</f>
        <v>Submitted</v>
      </c>
      <c r="J69" t="str">
        <f>IF(LEFT(tblShipments[[#This Row],[Gateway_Extracted]],2)="IN","Valid","Invalid")</f>
        <v>Valid</v>
      </c>
      <c r="K69" t="s">
        <v>261</v>
      </c>
      <c r="L69" t="s">
        <v>322</v>
      </c>
      <c r="M69" t="s">
        <v>105</v>
      </c>
      <c r="N69" t="s">
        <v>323</v>
      </c>
      <c r="O69" t="str">
        <f>IFERROR("IN" &amp; _xlfn.TEXTBEFORE(_xlfn.TEXTAFTER(UPPER(tblShipments[[#This Row],[Gateway_clean]]),"IN")," ",1),"")</f>
        <v>INMUN1</v>
      </c>
      <c r="P69" t="str">
        <f>SUBSTITUTE(tblShipments[[#This Row],[Gateway]], CHAR(10), " ")</f>
        <v xml:space="preserve">AWB No. Gateway Port Gateway EGM No. Gateway EGM Date Gateway Site ID Error Code N.A.  INMUN1  137180  2017-10-18 00:00:00.0  INMUN1  ST </v>
      </c>
      <c r="Q69" t="s">
        <v>212</v>
      </c>
    </row>
    <row r="70" spans="1:17" x14ac:dyDescent="0.35">
      <c r="A70" t="s">
        <v>8</v>
      </c>
      <c r="B70">
        <v>8065602</v>
      </c>
      <c r="C70" s="2" t="s">
        <v>310</v>
      </c>
      <c r="D70" s="2" t="str">
        <f>LEFT(TRIM(MID(SUBSTITUTE(tblShipments[[#This Row],[Details]],CHAR(10)," "), FIND(CHAR(10),tblShipments[[#This Row],[Details]])+1, 50)), 10)</f>
        <v>0599007931</v>
      </c>
      <c r="E70" t="s">
        <v>324</v>
      </c>
      <c r="F7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0" t="str">
        <f>IF(tblShipments[[#This Row],[EGM no]]="", "Missing EGM", "EGM Submitted")</f>
        <v>EGM Submitted</v>
      </c>
      <c r="H70" t="str">
        <f>IF(OR(ISNUMBER(SEARCH("Released",tblShipments[[#This Row],[ROSL]])),
      ISNUMBER(SEARCH("Scroll",tblShipments[[#This Row],[ROSL]])),
      ISNUMBER(SEARCH("Y",tblShipments[[#This Row],[ROSL]]))),
   "Released",
   "Not Released")</f>
        <v>Released</v>
      </c>
      <c r="I70" t="str">
        <f>IF(OR(tblShipments[[#This Row],[EGM no]]="", tblShipments[[#This Row],[EGM no]]="N.A."), "Not Submitted", "Submitted")</f>
        <v>Submitted</v>
      </c>
      <c r="J70" t="str">
        <f>IF(LEFT(tblShipments[[#This Row],[Gateway_Extracted]],2)="IN","Valid","Invalid")</f>
        <v>Valid</v>
      </c>
      <c r="K70" t="s">
        <v>325</v>
      </c>
      <c r="L70" t="s">
        <v>326</v>
      </c>
      <c r="M70" t="s">
        <v>31</v>
      </c>
      <c r="N70" t="s">
        <v>327</v>
      </c>
      <c r="O70" t="str">
        <f>IFERROR("IN" &amp; _xlfn.TEXTBEFORE(_xlfn.TEXTAFTER(UPPER(tblShipments[[#This Row],[Gateway_clean]]),"IN")," ",1),"")</f>
        <v>INNSA1</v>
      </c>
      <c r="P70" t="str">
        <f>SUBSTITUTE(tblShipments[[#This Row],[Gateway]], CHAR(10), " ")</f>
        <v xml:space="preserve">AWB No. Gateway Port Gateway EGM No. Gateway EGM Date Gateway Site ID Error Code N.A.  INNSA1  134681  2017-09-07 00:00:00.0  INNSA1  S </v>
      </c>
      <c r="Q70" t="s">
        <v>328</v>
      </c>
    </row>
    <row r="71" spans="1:17" x14ac:dyDescent="0.35">
      <c r="A71" t="s">
        <v>8</v>
      </c>
      <c r="B71">
        <v>8067051</v>
      </c>
      <c r="C71" s="2" t="s">
        <v>310</v>
      </c>
      <c r="D71" s="2" t="str">
        <f>LEFT(TRIM(MID(SUBSTITUTE(tblShipments[[#This Row],[Details]],CHAR(10)," "), FIND(CHAR(10),tblShipments[[#This Row],[Details]])+1, 50)), 10)</f>
        <v>0514087234</v>
      </c>
      <c r="E71" t="s">
        <v>329</v>
      </c>
      <c r="F7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1" t="str">
        <f>IF(tblShipments[[#This Row],[EGM no]]="", "Missing EGM", "EGM Submitted")</f>
        <v>EGM Submitted</v>
      </c>
      <c r="H71" t="str">
        <f>IF(OR(ISNUMBER(SEARCH("Released",tblShipments[[#This Row],[ROSL]])),
      ISNUMBER(SEARCH("Scroll",tblShipments[[#This Row],[ROSL]])),
      ISNUMBER(SEARCH("Y",tblShipments[[#This Row],[ROSL]]))),
   "Released",
   "Not Released")</f>
        <v>Released</v>
      </c>
      <c r="I71" t="str">
        <f>IF(OR(tblShipments[[#This Row],[EGM no]]="", tblShipments[[#This Row],[EGM no]]="N.A."), "Not Submitted", "Submitted")</f>
        <v>Submitted</v>
      </c>
      <c r="J71" t="str">
        <f>IF(LEFT(tblShipments[[#This Row],[Gateway_Extracted]],2)="IN","Valid","Invalid")</f>
        <v>Valid</v>
      </c>
      <c r="K71" t="s">
        <v>330</v>
      </c>
      <c r="L71" t="s">
        <v>331</v>
      </c>
      <c r="M71" t="s">
        <v>13</v>
      </c>
      <c r="N71" t="s">
        <v>332</v>
      </c>
      <c r="O71" t="str">
        <f>IFERROR("IN" &amp; _xlfn.TEXTBEFORE(_xlfn.TEXTAFTER(UPPER(tblShipments[[#This Row],[Gateway_clean]]),"IN")," ",1),"")</f>
        <v>INMUN1</v>
      </c>
      <c r="P71" t="str">
        <f>SUBSTITUTE(tblShipments[[#This Row],[Gateway]], CHAR(10), " ")</f>
        <v xml:space="preserve">AWB No. Gateway Port Gateway EGM No. Gateway EGM Date Gateway Site ID Error Code N.A.  INMUN1  133949  2017-08-26 00:00:00.0  INMUN1  S </v>
      </c>
      <c r="Q71" t="s">
        <v>333</v>
      </c>
    </row>
    <row r="72" spans="1:17" x14ac:dyDescent="0.35">
      <c r="A72" t="s">
        <v>8</v>
      </c>
      <c r="B72">
        <v>8086454</v>
      </c>
      <c r="C72" s="2" t="s">
        <v>334</v>
      </c>
      <c r="D72" s="2" t="str">
        <f>LEFT(TRIM(MID(SUBSTITUTE(tblShipments[[#This Row],[Details]],CHAR(10)," "), FIND(CHAR(10),tblShipments[[#This Row],[Details]])+1, 50)), 10)</f>
        <v>0509006191</v>
      </c>
      <c r="E72" t="s">
        <v>335</v>
      </c>
      <c r="F7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2" t="str">
        <f>IF(tblShipments[[#This Row],[EGM no]]="", "Missing EGM", "EGM Submitted")</f>
        <v>EGM Submitted</v>
      </c>
      <c r="H72" t="str">
        <f>IF(OR(ISNUMBER(SEARCH("Released",tblShipments[[#This Row],[ROSL]])),
      ISNUMBER(SEARCH("Scroll",tblShipments[[#This Row],[ROSL]])),
      ISNUMBER(SEARCH("Y",tblShipments[[#This Row],[ROSL]]))),
   "Released",
   "Not Released")</f>
        <v>Released</v>
      </c>
      <c r="I72" t="str">
        <f>IF(OR(tblShipments[[#This Row],[EGM no]]="", tblShipments[[#This Row],[EGM no]]="N.A."), "Not Submitted", "Submitted")</f>
        <v>Submitted</v>
      </c>
      <c r="J72" t="str">
        <f>IF(LEFT(tblShipments[[#This Row],[Gateway_Extracted]],2)="IN","Valid","Invalid")</f>
        <v>Valid</v>
      </c>
      <c r="K72" t="s">
        <v>336</v>
      </c>
      <c r="L72" t="s">
        <v>337</v>
      </c>
      <c r="M72" t="s">
        <v>31</v>
      </c>
      <c r="N72" t="s">
        <v>338</v>
      </c>
      <c r="O72" t="str">
        <f>IFERROR("IN" &amp; _xlfn.TEXTBEFORE(_xlfn.TEXTAFTER(UPPER(tblShipments[[#This Row],[Gateway_clean]]),"IN")," ",1),"")</f>
        <v>INNSA1</v>
      </c>
      <c r="P72" t="str">
        <f>SUBSTITUTE(tblShipments[[#This Row],[Gateway]], CHAR(10), " ")</f>
        <v xml:space="preserve">AWB No. Gateway Port Gateway EGM No. Gateway EGM Date Gateway Site ID Error Code N.A.  INNSA1  133604  2017-08-19 00:00:00.0  INNSA1  S </v>
      </c>
      <c r="Q72" t="s">
        <v>339</v>
      </c>
    </row>
    <row r="73" spans="1:17" x14ac:dyDescent="0.35">
      <c r="A73" t="s">
        <v>8</v>
      </c>
      <c r="B73">
        <v>8090388</v>
      </c>
      <c r="C73" s="2" t="s">
        <v>334</v>
      </c>
      <c r="D73" s="2" t="str">
        <f>LEFT(TRIM(MID(SUBSTITUTE(tblShipments[[#This Row],[Details]],CHAR(10)," "), FIND(CHAR(10),tblShipments[[#This Row],[Details]])+1, 50)), 10)</f>
        <v>0507062884</v>
      </c>
      <c r="E73" t="s">
        <v>340</v>
      </c>
      <c r="F7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3" t="str">
        <f>IF(tblShipments[[#This Row],[EGM no]]="", "Missing EGM", "EGM Submitted")</f>
        <v>EGM Submitted</v>
      </c>
      <c r="H73" t="str">
        <f>IF(OR(ISNUMBER(SEARCH("Released",tblShipments[[#This Row],[ROSL]])),
      ISNUMBER(SEARCH("Scroll",tblShipments[[#This Row],[ROSL]])),
      ISNUMBER(SEARCH("Y",tblShipments[[#This Row],[ROSL]]))),
   "Released",
   "Not Released")</f>
        <v>Released</v>
      </c>
      <c r="I73" t="str">
        <f>IF(OR(tblShipments[[#This Row],[EGM no]]="", tblShipments[[#This Row],[EGM no]]="N.A."), "Not Submitted", "Submitted")</f>
        <v>Submitted</v>
      </c>
      <c r="J73" t="str">
        <f>IF(LEFT(tblShipments[[#This Row],[Gateway_Extracted]],2)="IN","Valid","Invalid")</f>
        <v>Valid</v>
      </c>
      <c r="K73" t="s">
        <v>261</v>
      </c>
      <c r="L73" t="s">
        <v>341</v>
      </c>
      <c r="M73" t="s">
        <v>13</v>
      </c>
      <c r="N73" t="s">
        <v>342</v>
      </c>
      <c r="O73" t="str">
        <f>IFERROR("IN" &amp; _xlfn.TEXTBEFORE(_xlfn.TEXTAFTER(UPPER(tblShipments[[#This Row],[Gateway_clean]]),"IN")," ",1),"")</f>
        <v>INMUN1</v>
      </c>
      <c r="P73" t="str">
        <f>SUBSTITUTE(tblShipments[[#This Row],[Gateway]], CHAR(10), " ")</f>
        <v xml:space="preserve">AWB No. Gateway Port Gateway EGM No. Gateway EGM Date Gateway Site ID Error Code N.A.  INMUN1  134147  2017-08-29 00:00:00.0  INMUN1  S </v>
      </c>
      <c r="Q73" t="s">
        <v>275</v>
      </c>
    </row>
    <row r="74" spans="1:17" x14ac:dyDescent="0.35">
      <c r="A74" t="s">
        <v>8</v>
      </c>
      <c r="B74">
        <v>8091385</v>
      </c>
      <c r="C74" s="2" t="s">
        <v>334</v>
      </c>
      <c r="D74" s="2" t="str">
        <f>LEFT(TRIM(MID(SUBSTITUTE(tblShipments[[#This Row],[Details]],CHAR(10)," "), FIND(CHAR(10),tblShipments[[#This Row],[Details]])+1, 50)), 10)</f>
        <v>0512002835</v>
      </c>
      <c r="E74" t="s">
        <v>343</v>
      </c>
      <c r="F7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4" t="str">
        <f>IF(tblShipments[[#This Row],[EGM no]]="", "Missing EGM", "EGM Submitted")</f>
        <v>EGM Submitted</v>
      </c>
      <c r="H74" t="str">
        <f>IF(OR(ISNUMBER(SEARCH("Released",tblShipments[[#This Row],[ROSL]])),
      ISNUMBER(SEARCH("Scroll",tblShipments[[#This Row],[ROSL]])),
      ISNUMBER(SEARCH("Y",tblShipments[[#This Row],[ROSL]]))),
   "Released",
   "Not Released")</f>
        <v>Released</v>
      </c>
      <c r="I74" t="str">
        <f>IF(OR(tblShipments[[#This Row],[EGM no]]="", tblShipments[[#This Row],[EGM no]]="N.A."), "Not Submitted", "Submitted")</f>
        <v>Submitted</v>
      </c>
      <c r="J74" t="str">
        <f>IF(LEFT(tblShipments[[#This Row],[Gateway_Extracted]],2)="IN","Valid","Invalid")</f>
        <v>Valid</v>
      </c>
      <c r="K74" t="s">
        <v>307</v>
      </c>
      <c r="L74" t="s">
        <v>344</v>
      </c>
      <c r="M74" t="s">
        <v>13</v>
      </c>
      <c r="N74" t="s">
        <v>345</v>
      </c>
      <c r="O74" t="str">
        <f>IFERROR("IN" &amp; _xlfn.TEXTBEFORE(_xlfn.TEXTAFTER(UPPER(tblShipments[[#This Row],[Gateway_clean]]),"IN")," ",1),"")</f>
        <v>INMUN1</v>
      </c>
      <c r="P74" t="str">
        <f>SUBSTITUTE(tblShipments[[#This Row],[Gateway]], CHAR(10), " ")</f>
        <v xml:space="preserve">AWB No. Gateway Port Gateway EGM No. Gateway EGM Date Gateway Site ID Error Code N.A.  INMUN1  N.A.  N.A.  N.A.  N.A. </v>
      </c>
      <c r="Q74" t="s">
        <v>244</v>
      </c>
    </row>
    <row r="75" spans="1:17" x14ac:dyDescent="0.35">
      <c r="A75" t="s">
        <v>8</v>
      </c>
      <c r="B75">
        <v>8102896</v>
      </c>
      <c r="C75" s="2" t="s">
        <v>346</v>
      </c>
      <c r="D75" s="2" t="str">
        <f>LEFT(TRIM(MID(SUBSTITUTE(tblShipments[[#This Row],[Details]],CHAR(10)," "), FIND(CHAR(10),tblShipments[[#This Row],[Details]])+1, 50)), 10)</f>
        <v>0589053850</v>
      </c>
      <c r="E75" t="s">
        <v>347</v>
      </c>
      <c r="F7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5" t="str">
        <f>IF(tblShipments[[#This Row],[EGM no]]="", "Missing EGM", "EGM Submitted")</f>
        <v>EGM Submitted</v>
      </c>
      <c r="H75" t="str">
        <f>IF(OR(ISNUMBER(SEARCH("Released",tblShipments[[#This Row],[ROSL]])),
      ISNUMBER(SEARCH("Scroll",tblShipments[[#This Row],[ROSL]])),
      ISNUMBER(SEARCH("Y",tblShipments[[#This Row],[ROSL]]))),
   "Released",
   "Not Released")</f>
        <v>Released</v>
      </c>
      <c r="I75" t="str">
        <f>IF(OR(tblShipments[[#This Row],[EGM no]]="", tblShipments[[#This Row],[EGM no]]="N.A."), "Not Submitted", "Submitted")</f>
        <v>Submitted</v>
      </c>
      <c r="J75" t="str">
        <f>IF(LEFT(tblShipments[[#This Row],[Gateway_Extracted]],2)="IN","Valid","Invalid")</f>
        <v>Valid</v>
      </c>
      <c r="K75" t="s">
        <v>261</v>
      </c>
      <c r="L75" t="s">
        <v>348</v>
      </c>
      <c r="M75" t="s">
        <v>13</v>
      </c>
      <c r="N75" t="s">
        <v>349</v>
      </c>
      <c r="O75" t="str">
        <f>IFERROR("IN" &amp; _xlfn.TEXTBEFORE(_xlfn.TEXTAFTER(UPPER(tblShipments[[#This Row],[Gateway_clean]]),"IN")," ",1),"")</f>
        <v>INMUN1</v>
      </c>
      <c r="P75" t="str">
        <f>SUBSTITUTE(tblShipments[[#This Row],[Gateway]], CHAR(10), " ")</f>
        <v xml:space="preserve">AWB No. Gateway Port Gateway EGM No. Gateway EGM Date Gateway Site ID Error Code N.A.  INMUN1  137180  2017-10-18 00:00:00.0  INMUN1  ST </v>
      </c>
      <c r="Q75" t="s">
        <v>212</v>
      </c>
    </row>
    <row r="76" spans="1:17" x14ac:dyDescent="0.35">
      <c r="A76" t="s">
        <v>8</v>
      </c>
      <c r="B76">
        <v>8122393</v>
      </c>
      <c r="C76" s="2" t="s">
        <v>350</v>
      </c>
      <c r="D76" s="2" t="str">
        <f>LEFT(TRIM(MID(SUBSTITUTE(tblShipments[[#This Row],[Details]],CHAR(10)," "), FIND(CHAR(10),tblShipments[[#This Row],[Details]])+1, 50)), 10)</f>
        <v>0516515403</v>
      </c>
      <c r="E76" t="s">
        <v>351</v>
      </c>
      <c r="F7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6" t="str">
        <f>IF(tblShipments[[#This Row],[EGM no]]="", "Missing EGM", "EGM Submitted")</f>
        <v>EGM Submitted</v>
      </c>
      <c r="H76" t="str">
        <f>IF(OR(ISNUMBER(SEARCH("Released",tblShipments[[#This Row],[ROSL]])),
      ISNUMBER(SEARCH("Scroll",tblShipments[[#This Row],[ROSL]])),
      ISNUMBER(SEARCH("Y",tblShipments[[#This Row],[ROSL]]))),
   "Released",
   "Not Released")</f>
        <v>Released</v>
      </c>
      <c r="I76" t="str">
        <f>IF(OR(tblShipments[[#This Row],[EGM no]]="", tblShipments[[#This Row],[EGM no]]="N.A."), "Not Submitted", "Submitted")</f>
        <v>Submitted</v>
      </c>
      <c r="J76" t="str">
        <f>IF(LEFT(tblShipments[[#This Row],[Gateway_Extracted]],2)="IN","Valid","Invalid")</f>
        <v>Valid</v>
      </c>
      <c r="K76" t="s">
        <v>352</v>
      </c>
      <c r="L76" t="s">
        <v>353</v>
      </c>
      <c r="M76" t="s">
        <v>13</v>
      </c>
      <c r="N76" t="s">
        <v>354</v>
      </c>
      <c r="O76" t="str">
        <f>IFERROR("IN" &amp; _xlfn.TEXTBEFORE(_xlfn.TEXTAFTER(UPPER(tblShipments[[#This Row],[Gateway_clean]]),"IN")," ",1),"")</f>
        <v>INNSA1</v>
      </c>
      <c r="P76" t="str">
        <f>SUBSTITUTE(tblShipments[[#This Row],[Gateway]], CHAR(10), " ")</f>
        <v xml:space="preserve">AWB No. Gateway Port Gateway EGM No. Gateway EGM Date Gateway Site ID Error Code N.A.  INNSA1  133611  2017-08-21 00:00:00.0  INNSA1  S </v>
      </c>
      <c r="Q76" t="s">
        <v>355</v>
      </c>
    </row>
    <row r="77" spans="1:17" x14ac:dyDescent="0.35">
      <c r="A77" t="s">
        <v>8</v>
      </c>
      <c r="B77">
        <v>8128641</v>
      </c>
      <c r="C77" s="2" t="s">
        <v>356</v>
      </c>
      <c r="D77" s="2" t="str">
        <f>LEFT(TRIM(MID(SUBSTITUTE(tblShipments[[#This Row],[Details]],CHAR(10)," "), FIND(CHAR(10),tblShipments[[#This Row],[Details]])+1, 50)), 10)</f>
        <v>0512072388</v>
      </c>
      <c r="E77" t="s">
        <v>357</v>
      </c>
      <c r="F7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7" t="str">
        <f>IF(tblShipments[[#This Row],[EGM no]]="", "Missing EGM", "EGM Submitted")</f>
        <v>EGM Submitted</v>
      </c>
      <c r="H77" t="str">
        <f>IF(OR(ISNUMBER(SEARCH("Released",tblShipments[[#This Row],[ROSL]])),
      ISNUMBER(SEARCH("Scroll",tblShipments[[#This Row],[ROSL]])),
      ISNUMBER(SEARCH("Y",tblShipments[[#This Row],[ROSL]]))),
   "Released",
   "Not Released")</f>
        <v>Released</v>
      </c>
      <c r="I77" t="str">
        <f>IF(OR(tblShipments[[#This Row],[EGM no]]="", tblShipments[[#This Row],[EGM no]]="N.A."), "Not Submitted", "Submitted")</f>
        <v>Submitted</v>
      </c>
      <c r="J77" t="str">
        <f>IF(LEFT(tblShipments[[#This Row],[Gateway_Extracted]],2)="IN","Valid","Invalid")</f>
        <v>Valid</v>
      </c>
      <c r="K77" t="s">
        <v>358</v>
      </c>
      <c r="L77" t="s">
        <v>359</v>
      </c>
      <c r="M77" t="s">
        <v>13</v>
      </c>
      <c r="N77" t="s">
        <v>360</v>
      </c>
      <c r="O77" t="str">
        <f>IFERROR("IN" &amp; _xlfn.TEXTBEFORE(_xlfn.TEXTAFTER(UPPER(tblShipments[[#This Row],[Gateway_clean]]),"IN")," ",1),"")</f>
        <v>INNSA1</v>
      </c>
      <c r="P77" t="str">
        <f>SUBSTITUTE(tblShipments[[#This Row],[Gateway]], CHAR(10), " ")</f>
        <v xml:space="preserve">AWB No. Gateway Port Gateway EGM No. Gateway EGM Date Gateway Site ID Error Code N.A.  INNSA1  N.A.  N.A.  N.A.  N.A. </v>
      </c>
      <c r="Q77" t="s">
        <v>26</v>
      </c>
    </row>
    <row r="78" spans="1:17" x14ac:dyDescent="0.35">
      <c r="A78" t="s">
        <v>8</v>
      </c>
      <c r="B78">
        <v>8140525</v>
      </c>
      <c r="C78" s="2" t="s">
        <v>356</v>
      </c>
      <c r="D78" s="2" t="str">
        <f>LEFT(TRIM(MID(SUBSTITUTE(tblShipments[[#This Row],[Details]],CHAR(10)," "), FIND(CHAR(10),tblShipments[[#This Row],[Details]])+1, 50)), 10)</f>
        <v>0504064754</v>
      </c>
      <c r="E78" t="s">
        <v>361</v>
      </c>
      <c r="F7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8" t="str">
        <f>IF(tblShipments[[#This Row],[EGM no]]="", "Missing EGM", "EGM Submitted")</f>
        <v>EGM Submitted</v>
      </c>
      <c r="H78" t="str">
        <f>IF(OR(ISNUMBER(SEARCH("Released",tblShipments[[#This Row],[ROSL]])),
      ISNUMBER(SEARCH("Scroll",tblShipments[[#This Row],[ROSL]])),
      ISNUMBER(SEARCH("Y",tblShipments[[#This Row],[ROSL]]))),
   "Released",
   "Not Released")</f>
        <v>Released</v>
      </c>
      <c r="I78" t="str">
        <f>IF(OR(tblShipments[[#This Row],[EGM no]]="", tblShipments[[#This Row],[EGM no]]="N.A."), "Not Submitted", "Submitted")</f>
        <v>Submitted</v>
      </c>
      <c r="J78" t="str">
        <f>IF(LEFT(tblShipments[[#This Row],[Gateway_Extracted]],2)="IN","Valid","Invalid")</f>
        <v>Valid</v>
      </c>
      <c r="K78" t="s">
        <v>261</v>
      </c>
      <c r="L78" t="s">
        <v>362</v>
      </c>
      <c r="M78" t="s">
        <v>13</v>
      </c>
      <c r="N78" t="s">
        <v>363</v>
      </c>
      <c r="O78" t="str">
        <f>IFERROR("IN" &amp; _xlfn.TEXTBEFORE(_xlfn.TEXTAFTER(UPPER(tblShipments[[#This Row],[Gateway_clean]]),"IN")," ",1),"")</f>
        <v>INPAV1</v>
      </c>
      <c r="P78" t="str">
        <f>SUBSTITUTE(tblShipments[[#This Row],[Gateway]], CHAR(10), " ")</f>
        <v xml:space="preserve">AWB No. Gateway Port Gateway EGM No. Gateway EGM Date Gateway Site ID Error Code N.A.  INPAV1  131777  2017-07-19 00:00:00.0  INPAV1  L </v>
      </c>
      <c r="Q78" t="s">
        <v>364</v>
      </c>
    </row>
    <row r="79" spans="1:17" x14ac:dyDescent="0.35">
      <c r="A79" t="s">
        <v>8</v>
      </c>
      <c r="B79">
        <v>8140947</v>
      </c>
      <c r="C79" s="2" t="s">
        <v>356</v>
      </c>
      <c r="D79" s="2" t="str">
        <f>LEFT(TRIM(MID(SUBSTITUTE(tblShipments[[#This Row],[Details]],CHAR(10)," "), FIND(CHAR(10),tblShipments[[#This Row],[Details]])+1, 50)), 10)</f>
        <v>0592023052</v>
      </c>
      <c r="E79" t="s">
        <v>365</v>
      </c>
      <c r="F7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79" t="str">
        <f>IF(tblShipments[[#This Row],[EGM no]]="", "Missing EGM", "EGM Submitted")</f>
        <v>EGM Submitted</v>
      </c>
      <c r="H79" t="str">
        <f>IF(OR(ISNUMBER(SEARCH("Released",tblShipments[[#This Row],[ROSL]])),
      ISNUMBER(SEARCH("Scroll",tblShipments[[#This Row],[ROSL]])),
      ISNUMBER(SEARCH("Y",tblShipments[[#This Row],[ROSL]]))),
   "Released",
   "Not Released")</f>
        <v>Released</v>
      </c>
      <c r="I79" t="str">
        <f>IF(OR(tblShipments[[#This Row],[EGM no]]="", tblShipments[[#This Row],[EGM no]]="N.A."), "Not Submitted", "Submitted")</f>
        <v>Submitted</v>
      </c>
      <c r="J79" t="str">
        <f>IF(LEFT(tblShipments[[#This Row],[Gateway_Extracted]],2)="IN","Valid","Invalid")</f>
        <v>Valid</v>
      </c>
      <c r="K79" t="s">
        <v>261</v>
      </c>
      <c r="L79" t="s">
        <v>366</v>
      </c>
      <c r="M79" t="s">
        <v>13</v>
      </c>
      <c r="N79" t="s">
        <v>367</v>
      </c>
      <c r="O79" t="str">
        <f>IFERROR("IN" &amp; _xlfn.TEXTBEFORE(_xlfn.TEXTAFTER(UPPER(tblShipments[[#This Row],[Gateway_clean]]),"IN")," ",1),"")</f>
        <v>INNSA1</v>
      </c>
      <c r="P79" t="str">
        <f>SUBSTITUTE(tblShipments[[#This Row],[Gateway]], CHAR(10), " ")</f>
        <v xml:space="preserve">AWB No. Gateway Port Gateway EGM No. Gateway EGM Date Gateway Site ID Error Code N.A.  INNSA1  N.A.  N.A.  N.A.  N.A. </v>
      </c>
      <c r="Q79" t="s">
        <v>26</v>
      </c>
    </row>
    <row r="80" spans="1:17" x14ac:dyDescent="0.35">
      <c r="A80" t="s">
        <v>8</v>
      </c>
      <c r="B80">
        <v>8144422</v>
      </c>
      <c r="C80" s="2" t="s">
        <v>356</v>
      </c>
      <c r="D80" s="2" t="str">
        <f>LEFT(TRIM(MID(SUBSTITUTE(tblShipments[[#This Row],[Details]],CHAR(10)," "), FIND(CHAR(10),tblShipments[[#This Row],[Details]])+1, 50)), 10)</f>
        <v>0511026242</v>
      </c>
      <c r="E80" t="s">
        <v>368</v>
      </c>
      <c r="F8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0" t="str">
        <f>IF(tblShipments[[#This Row],[EGM no]]="", "Missing EGM", "EGM Submitted")</f>
        <v>EGM Submitted</v>
      </c>
      <c r="H80" t="str">
        <f>IF(OR(ISNUMBER(SEARCH("Released",tblShipments[[#This Row],[ROSL]])),
      ISNUMBER(SEARCH("Scroll",tblShipments[[#This Row],[ROSL]])),
      ISNUMBER(SEARCH("Y",tblShipments[[#This Row],[ROSL]]))),
   "Released",
   "Not Released")</f>
        <v>Released</v>
      </c>
      <c r="I80" t="str">
        <f>IF(OR(tblShipments[[#This Row],[EGM no]]="", tblShipments[[#This Row],[EGM no]]="N.A."), "Not Submitted", "Submitted")</f>
        <v>Submitted</v>
      </c>
      <c r="J80" t="str">
        <f>IF(LEFT(tblShipments[[#This Row],[Gateway_Extracted]],2)="IN","Valid","Invalid")</f>
        <v>Valid</v>
      </c>
      <c r="K80" t="s">
        <v>369</v>
      </c>
      <c r="L80" t="s">
        <v>370</v>
      </c>
      <c r="M80" t="s">
        <v>31</v>
      </c>
      <c r="N80" t="s">
        <v>371</v>
      </c>
      <c r="O80" t="str">
        <f>IFERROR("IN" &amp; _xlfn.TEXTBEFORE(_xlfn.TEXTAFTER(UPPER(tblShipments[[#This Row],[Gateway_clean]]),"IN")," ",1),"")</f>
        <v>INNSA1</v>
      </c>
      <c r="P80" t="str">
        <f>SUBSTITUTE(tblShipments[[#This Row],[Gateway]], CHAR(10), " ")</f>
        <v xml:space="preserve">AWB No. Gateway Port Gateway EGM No. Gateway EGM Date Gateway Site ID Error Code N.A.  INNSA1  134462  2017-09-04 00:00:00.0  INNSA1  S </v>
      </c>
      <c r="Q80" t="s">
        <v>372</v>
      </c>
    </row>
    <row r="81" spans="1:17" x14ac:dyDescent="0.35">
      <c r="A81" t="s">
        <v>8</v>
      </c>
      <c r="B81">
        <v>8146066</v>
      </c>
      <c r="C81" s="2" t="s">
        <v>356</v>
      </c>
      <c r="D81" s="2" t="str">
        <f>LEFT(TRIM(MID(SUBSTITUTE(tblShipments[[#This Row],[Details]],CHAR(10)," "), FIND(CHAR(10),tblShipments[[#This Row],[Details]])+1, 50)), 10)</f>
        <v>0288012101</v>
      </c>
      <c r="E81" t="s">
        <v>373</v>
      </c>
      <c r="F8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1" t="str">
        <f>IF(tblShipments[[#This Row],[EGM no]]="", "Missing EGM", "EGM Submitted")</f>
        <v>EGM Submitted</v>
      </c>
      <c r="H81" t="str">
        <f>IF(OR(ISNUMBER(SEARCH("Released",tblShipments[[#This Row],[ROSL]])),
      ISNUMBER(SEARCH("Scroll",tblShipments[[#This Row],[ROSL]])),
      ISNUMBER(SEARCH("Y",tblShipments[[#This Row],[ROSL]]))),
   "Released",
   "Not Released")</f>
        <v>Released</v>
      </c>
      <c r="I81" t="str">
        <f>IF(OR(tblShipments[[#This Row],[EGM no]]="", tblShipments[[#This Row],[EGM no]]="N.A."), "Not Submitted", "Submitted")</f>
        <v>Submitted</v>
      </c>
      <c r="J81" t="str">
        <f>IF(LEFT(tblShipments[[#This Row],[Gateway_Extracted]],2)="IN","Valid","Invalid")</f>
        <v>Valid</v>
      </c>
      <c r="K81" t="s">
        <v>374</v>
      </c>
      <c r="L81" t="s">
        <v>375</v>
      </c>
      <c r="M81" t="s">
        <v>13</v>
      </c>
      <c r="N81" t="s">
        <v>376</v>
      </c>
      <c r="O81" t="str">
        <f>IFERROR("IN" &amp; _xlfn.TEXTBEFORE(_xlfn.TEXTAFTER(UPPER(tblShipments[[#This Row],[Gateway_clean]]),"IN")," ",1),"")</f>
        <v>INMUN1</v>
      </c>
      <c r="P81" t="str">
        <f>SUBSTITUTE(tblShipments[[#This Row],[Gateway]], CHAR(10), " ")</f>
        <v xml:space="preserve">AWB No. Gateway Port Gateway EGM No. Gateway EGM Date Gateway Site ID Error Code N.A.  INMUN1  134134  2017-08-29 00:00:00.0  INMUN1  S </v>
      </c>
      <c r="Q81" t="s">
        <v>377</v>
      </c>
    </row>
    <row r="82" spans="1:17" x14ac:dyDescent="0.35">
      <c r="A82" t="s">
        <v>8</v>
      </c>
      <c r="B82">
        <v>8146068</v>
      </c>
      <c r="C82" s="2" t="s">
        <v>356</v>
      </c>
      <c r="D82" s="2" t="str">
        <f>LEFT(TRIM(MID(SUBSTITUTE(tblShipments[[#This Row],[Details]],CHAR(10)," "), FIND(CHAR(10),tblShipments[[#This Row],[Details]])+1, 50)), 10)</f>
        <v>0288012101</v>
      </c>
      <c r="E82" t="s">
        <v>378</v>
      </c>
      <c r="F8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2" t="str">
        <f>IF(tblShipments[[#This Row],[EGM no]]="", "Missing EGM", "EGM Submitted")</f>
        <v>EGM Submitted</v>
      </c>
      <c r="H82" t="str">
        <f>IF(OR(ISNUMBER(SEARCH("Released",tblShipments[[#This Row],[ROSL]])),
      ISNUMBER(SEARCH("Scroll",tblShipments[[#This Row],[ROSL]])),
      ISNUMBER(SEARCH("Y",tblShipments[[#This Row],[ROSL]]))),
   "Released",
   "Not Released")</f>
        <v>Released</v>
      </c>
      <c r="I82" t="str">
        <f>IF(OR(tblShipments[[#This Row],[EGM no]]="", tblShipments[[#This Row],[EGM no]]="N.A."), "Not Submitted", "Submitted")</f>
        <v>Submitted</v>
      </c>
      <c r="J82" t="str">
        <f>IF(LEFT(tblShipments[[#This Row],[Gateway_Extracted]],2)="IN","Valid","Invalid")</f>
        <v>Valid</v>
      </c>
      <c r="K82" t="s">
        <v>261</v>
      </c>
      <c r="L82" t="s">
        <v>375</v>
      </c>
      <c r="M82" t="s">
        <v>13</v>
      </c>
      <c r="N82" t="s">
        <v>379</v>
      </c>
      <c r="O82" t="str">
        <f>IFERROR("IN" &amp; _xlfn.TEXTBEFORE(_xlfn.TEXTAFTER(UPPER(tblShipments[[#This Row],[Gateway_clean]]),"IN")," ",1),"")</f>
        <v>INMUN1</v>
      </c>
      <c r="P82" t="str">
        <f>SUBSTITUTE(tblShipments[[#This Row],[Gateway]], CHAR(10), " ")</f>
        <v xml:space="preserve">AWB No. Gateway Port Gateway EGM No. Gateway EGM Date Gateway Site ID Error Code N.A.  INMUN1  134134  2017-08-29 00:00:00.0  INMUN1  S </v>
      </c>
      <c r="Q82" t="s">
        <v>377</v>
      </c>
    </row>
    <row r="83" spans="1:17" x14ac:dyDescent="0.35">
      <c r="A83" t="s">
        <v>8</v>
      </c>
      <c r="B83">
        <v>8159434</v>
      </c>
      <c r="C83" s="2" t="s">
        <v>380</v>
      </c>
      <c r="D83" s="2" t="str">
        <f>LEFT(TRIM(MID(SUBSTITUTE(tblShipments[[#This Row],[Details]],CHAR(10)," "), FIND(CHAR(10),tblShipments[[#This Row],[Details]])+1, 50)), 10)</f>
        <v>0595012647</v>
      </c>
      <c r="E83" t="s">
        <v>381</v>
      </c>
      <c r="F8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3" t="str">
        <f>IF(tblShipments[[#This Row],[EGM no]]="", "Missing EGM", "EGM Submitted")</f>
        <v>EGM Submitted</v>
      </c>
      <c r="H83" t="str">
        <f>IF(OR(ISNUMBER(SEARCH("Released",tblShipments[[#This Row],[ROSL]])),
      ISNUMBER(SEARCH("Scroll",tblShipments[[#This Row],[ROSL]])),
      ISNUMBER(SEARCH("Y",tblShipments[[#This Row],[ROSL]]))),
   "Released",
   "Not Released")</f>
        <v>Released</v>
      </c>
      <c r="I83" t="str">
        <f>IF(OR(tblShipments[[#This Row],[EGM no]]="", tblShipments[[#This Row],[EGM no]]="N.A."), "Not Submitted", "Submitted")</f>
        <v>Submitted</v>
      </c>
      <c r="J83" t="str">
        <f>IF(LEFT(tblShipments[[#This Row],[Gateway_Extracted]],2)="IN","Valid","Invalid")</f>
        <v>Valid</v>
      </c>
      <c r="K83" t="s">
        <v>382</v>
      </c>
      <c r="L83" t="s">
        <v>383</v>
      </c>
      <c r="M83" t="s">
        <v>13</v>
      </c>
      <c r="N83" t="s">
        <v>384</v>
      </c>
      <c r="O83" t="str">
        <f>IFERROR("IN" &amp; _xlfn.TEXTBEFORE(_xlfn.TEXTAFTER(UPPER(tblShipments[[#This Row],[Gateway_clean]]),"IN")," ",1),"")</f>
        <v>INMUN1</v>
      </c>
      <c r="P83" t="str">
        <f>SUBSTITUTE(tblShipments[[#This Row],[Gateway]], CHAR(10), " ")</f>
        <v xml:space="preserve">AWB No. Gateway Port Gateway EGM No. Gateway EGM Date Gateway Site ID Error Code N.A.  INMUN1  134209  2017-08-30 00:00:00.0  INMUN1  S </v>
      </c>
      <c r="Q83" t="s">
        <v>385</v>
      </c>
    </row>
    <row r="84" spans="1:17" x14ac:dyDescent="0.35">
      <c r="A84" t="s">
        <v>8</v>
      </c>
      <c r="B84">
        <v>8160683</v>
      </c>
      <c r="C84" s="2" t="s">
        <v>380</v>
      </c>
      <c r="D84" s="2" t="str">
        <f>LEFT(TRIM(MID(SUBSTITUTE(tblShipments[[#This Row],[Details]],CHAR(10)," "), FIND(CHAR(10),tblShipments[[#This Row],[Details]])+1, 50)), 10)</f>
        <v>0595012647</v>
      </c>
      <c r="E84" t="s">
        <v>386</v>
      </c>
      <c r="F8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4" t="str">
        <f>IF(tblShipments[[#This Row],[EGM no]]="", "Missing EGM", "EGM Submitted")</f>
        <v>EGM Submitted</v>
      </c>
      <c r="H84" t="str">
        <f>IF(OR(ISNUMBER(SEARCH("Released",tblShipments[[#This Row],[ROSL]])),
      ISNUMBER(SEARCH("Scroll",tblShipments[[#This Row],[ROSL]])),
      ISNUMBER(SEARCH("Y",tblShipments[[#This Row],[ROSL]]))),
   "Released",
   "Not Released")</f>
        <v>Released</v>
      </c>
      <c r="I84" t="str">
        <f>IF(OR(tblShipments[[#This Row],[EGM no]]="", tblShipments[[#This Row],[EGM no]]="N.A."), "Not Submitted", "Submitted")</f>
        <v>Submitted</v>
      </c>
      <c r="J84" t="str">
        <f>IF(LEFT(tblShipments[[#This Row],[Gateway_Extracted]],2)="IN","Valid","Invalid")</f>
        <v>Valid</v>
      </c>
      <c r="K84" t="s">
        <v>382</v>
      </c>
      <c r="L84" t="s">
        <v>383</v>
      </c>
      <c r="M84" t="s">
        <v>13</v>
      </c>
      <c r="N84" t="s">
        <v>387</v>
      </c>
      <c r="O84" t="str">
        <f>IFERROR("IN" &amp; _xlfn.TEXTBEFORE(_xlfn.TEXTAFTER(UPPER(tblShipments[[#This Row],[Gateway_clean]]),"IN")," ",1),"")</f>
        <v>INMUN1</v>
      </c>
      <c r="P84" t="str">
        <f>SUBSTITUTE(tblShipments[[#This Row],[Gateway]], CHAR(10), " ")</f>
        <v xml:space="preserve">AWB No. Gateway Port Gateway EGM No. Gateway EGM Date Gateway Site ID Error Code N.A.  INMUN1  134209  2017-08-30 00:00:00.0  INMUN1  S </v>
      </c>
      <c r="Q84" t="s">
        <v>385</v>
      </c>
    </row>
    <row r="85" spans="1:17" x14ac:dyDescent="0.35">
      <c r="A85" t="s">
        <v>8</v>
      </c>
      <c r="B85">
        <v>8169500</v>
      </c>
      <c r="C85" s="2" t="s">
        <v>380</v>
      </c>
      <c r="D85" s="2" t="str">
        <f>LEFT(TRIM(MID(SUBSTITUTE(tblShipments[[#This Row],[Details]],CHAR(10)," "), FIND(CHAR(10),tblShipments[[#This Row],[Details]])+1, 50)), 10)</f>
        <v>0591028549</v>
      </c>
      <c r="E85" t="s">
        <v>388</v>
      </c>
      <c r="F8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5" t="str">
        <f>IF(tblShipments[[#This Row],[EGM no]]="", "Missing EGM", "EGM Submitted")</f>
        <v>EGM Submitted</v>
      </c>
      <c r="H85" t="str">
        <f>IF(OR(ISNUMBER(SEARCH("Released",tblShipments[[#This Row],[ROSL]])),
      ISNUMBER(SEARCH("Scroll",tblShipments[[#This Row],[ROSL]])),
      ISNUMBER(SEARCH("Y",tblShipments[[#This Row],[ROSL]]))),
   "Released",
   "Not Released")</f>
        <v>Released</v>
      </c>
      <c r="I85" t="str">
        <f>IF(OR(tblShipments[[#This Row],[EGM no]]="", tblShipments[[#This Row],[EGM no]]="N.A."), "Not Submitted", "Submitted")</f>
        <v>Submitted</v>
      </c>
      <c r="J85" t="str">
        <f>IF(LEFT(tblShipments[[#This Row],[Gateway_Extracted]],2)="IN","Valid","Invalid")</f>
        <v>Valid</v>
      </c>
      <c r="K85" t="s">
        <v>389</v>
      </c>
      <c r="L85" t="s">
        <v>390</v>
      </c>
      <c r="M85" t="s">
        <v>31</v>
      </c>
      <c r="N85" t="s">
        <v>391</v>
      </c>
      <c r="O85" t="str">
        <f>IFERROR("IN" &amp; _xlfn.TEXTBEFORE(_xlfn.TEXTAFTER(UPPER(tblShipments[[#This Row],[Gateway_clean]]),"IN")," ",1),"")</f>
        <v>INNSA1</v>
      </c>
      <c r="P85" t="str">
        <f>SUBSTITUTE(tblShipments[[#This Row],[Gateway]], CHAR(10), " ")</f>
        <v xml:space="preserve">AWB No. Gateway Port Gateway EGM No. Gateway EGM Date Gateway Site ID Error Code N.A.  INNSA1  133453  2017-08-17 00:00:00.0  INNSA1  S </v>
      </c>
      <c r="Q85" t="s">
        <v>392</v>
      </c>
    </row>
    <row r="86" spans="1:17" x14ac:dyDescent="0.35">
      <c r="A86" t="s">
        <v>8</v>
      </c>
      <c r="B86">
        <v>8170873</v>
      </c>
      <c r="C86" s="2" t="s">
        <v>380</v>
      </c>
      <c r="D86" s="2" t="str">
        <f>LEFT(TRIM(MID(SUBSTITUTE(tblShipments[[#This Row],[Details]],CHAR(10)," "), FIND(CHAR(10),tblShipments[[#This Row],[Details]])+1, 50)), 10)</f>
        <v>3104003254</v>
      </c>
      <c r="E86" t="s">
        <v>393</v>
      </c>
      <c r="F8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6" t="str">
        <f>IF(tblShipments[[#This Row],[EGM no]]="", "Missing EGM", "EGM Submitted")</f>
        <v>EGM Submitted</v>
      </c>
      <c r="H86" t="str">
        <f>IF(OR(ISNUMBER(SEARCH("Released",tblShipments[[#This Row],[ROSL]])),
      ISNUMBER(SEARCH("Scroll",tblShipments[[#This Row],[ROSL]])),
      ISNUMBER(SEARCH("Y",tblShipments[[#This Row],[ROSL]]))),
   "Released",
   "Not Released")</f>
        <v>Released</v>
      </c>
      <c r="I86" t="str">
        <f>IF(OR(tblShipments[[#This Row],[EGM no]]="", tblShipments[[#This Row],[EGM no]]="N.A."), "Not Submitted", "Submitted")</f>
        <v>Submitted</v>
      </c>
      <c r="J86" t="str">
        <f>IF(LEFT(tblShipments[[#This Row],[Gateway_Extracted]],2)="IN","Valid","Invalid")</f>
        <v>Valid</v>
      </c>
      <c r="K86" t="s">
        <v>394</v>
      </c>
      <c r="L86" t="s">
        <v>395</v>
      </c>
      <c r="M86" t="s">
        <v>13</v>
      </c>
      <c r="N86" t="s">
        <v>396</v>
      </c>
      <c r="O86" t="str">
        <f>IFERROR("IN" &amp; _xlfn.TEXTBEFORE(_xlfn.TEXTAFTER(UPPER(tblShipments[[#This Row],[Gateway_clean]]),"IN")," ",1),"")</f>
        <v>INNSA1</v>
      </c>
      <c r="P86" t="str">
        <f>SUBSTITUTE(tblShipments[[#This Row],[Gateway]], CHAR(10), " ")</f>
        <v xml:space="preserve">AWB No. Gateway Port Gateway EGM No. Gateway EGM Date Gateway Site ID Error Code N.A.  INNSA1  134462  2017-09-04 00:00:00.0  INNSA1  S </v>
      </c>
      <c r="Q86" t="s">
        <v>372</v>
      </c>
    </row>
    <row r="87" spans="1:17" x14ac:dyDescent="0.35">
      <c r="A87" t="s">
        <v>8</v>
      </c>
      <c r="B87">
        <v>8173971</v>
      </c>
      <c r="C87" s="2" t="s">
        <v>380</v>
      </c>
      <c r="D87" s="2" t="str">
        <f>LEFT(TRIM(MID(SUBSTITUTE(tblShipments[[#This Row],[Details]],CHAR(10)," "), FIND(CHAR(10),tblShipments[[#This Row],[Details]])+1, 50)), 10)</f>
        <v>0504038966</v>
      </c>
      <c r="E87" t="s">
        <v>397</v>
      </c>
      <c r="F8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7" t="str">
        <f>IF(tblShipments[[#This Row],[EGM no]]="", "Missing EGM", "EGM Submitted")</f>
        <v>EGM Submitted</v>
      </c>
      <c r="H87" t="str">
        <f>IF(OR(ISNUMBER(SEARCH("Released",tblShipments[[#This Row],[ROSL]])),
      ISNUMBER(SEARCH("Scroll",tblShipments[[#This Row],[ROSL]])),
      ISNUMBER(SEARCH("Y",tblShipments[[#This Row],[ROSL]]))),
   "Released",
   "Not Released")</f>
        <v>Released</v>
      </c>
      <c r="I87" t="str">
        <f>IF(OR(tblShipments[[#This Row],[EGM no]]="", tblShipments[[#This Row],[EGM no]]="N.A."), "Not Submitted", "Submitted")</f>
        <v>Submitted</v>
      </c>
      <c r="J87" t="str">
        <f>IF(LEFT(tblShipments[[#This Row],[Gateway_Extracted]],2)="IN","Valid","Invalid")</f>
        <v>Valid</v>
      </c>
      <c r="K87" t="s">
        <v>317</v>
      </c>
      <c r="L87" t="s">
        <v>398</v>
      </c>
      <c r="M87" t="s">
        <v>13</v>
      </c>
      <c r="N87" t="s">
        <v>399</v>
      </c>
      <c r="O87" t="str">
        <f>IFERROR("IN" &amp; _xlfn.TEXTBEFORE(_xlfn.TEXTAFTER(UPPER(tblShipments[[#This Row],[Gateway_clean]]),"IN")," ",1),"")</f>
        <v>INMUN1</v>
      </c>
      <c r="P87" t="str">
        <f>SUBSTITUTE(tblShipments[[#This Row],[Gateway]], CHAR(10), " ")</f>
        <v xml:space="preserve">AWB No. Gateway Port Gateway EGM No. Gateway EGM Date Gateway Site ID Error Code N.A.  INMUN1  134487  2017-09-04 00:00:00.0  INMUN1  S </v>
      </c>
      <c r="Q87" t="s">
        <v>400</v>
      </c>
    </row>
    <row r="88" spans="1:17" x14ac:dyDescent="0.35">
      <c r="A88" t="s">
        <v>8</v>
      </c>
      <c r="B88">
        <v>8180485</v>
      </c>
      <c r="C88" s="2" t="s">
        <v>401</v>
      </c>
      <c r="D88" s="2" t="str">
        <f>LEFT(TRIM(MID(SUBSTITUTE(tblShipments[[#This Row],[Details]],CHAR(10)," "), FIND(CHAR(10),tblShipments[[#This Row],[Details]])+1, 50)), 10)</f>
        <v>0505023954</v>
      </c>
      <c r="E88" t="s">
        <v>402</v>
      </c>
      <c r="F8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8" t="str">
        <f>IF(tblShipments[[#This Row],[EGM no]]="", "Missing EGM", "EGM Submitted")</f>
        <v>EGM Submitted</v>
      </c>
      <c r="H88" t="str">
        <f>IF(OR(ISNUMBER(SEARCH("Released",tblShipments[[#This Row],[ROSL]])),
      ISNUMBER(SEARCH("Scroll",tblShipments[[#This Row],[ROSL]])),
      ISNUMBER(SEARCH("Y",tblShipments[[#This Row],[ROSL]]))),
   "Released",
   "Not Released")</f>
        <v>Released</v>
      </c>
      <c r="I88" t="str">
        <f>IF(OR(tblShipments[[#This Row],[EGM no]]="", tblShipments[[#This Row],[EGM no]]="N.A."), "Not Submitted", "Submitted")</f>
        <v>Submitted</v>
      </c>
      <c r="J88" t="str">
        <f>IF(LEFT(tblShipments[[#This Row],[Gateway_Extracted]],2)="IN","Valid","Invalid")</f>
        <v>Valid</v>
      </c>
      <c r="K88" t="s">
        <v>369</v>
      </c>
      <c r="L88" t="s">
        <v>403</v>
      </c>
      <c r="M88" t="s">
        <v>31</v>
      </c>
      <c r="N88" t="s">
        <v>404</v>
      </c>
      <c r="O88" t="str">
        <f>IFERROR("IN" &amp; _xlfn.TEXTBEFORE(_xlfn.TEXTAFTER(UPPER(tblShipments[[#This Row],[Gateway_clean]]),"IN")," ",1),"")</f>
        <v>INNSA1</v>
      </c>
      <c r="P88" t="str">
        <f>SUBSTITUTE(tblShipments[[#This Row],[Gateway]], CHAR(10), " ")</f>
        <v xml:space="preserve">AWB No. Gateway Port Gateway EGM No. Gateway EGM Date Gateway Site ID Error Code N.A.  INNSA1  N.A.  N.A.  N.A.  N.A. </v>
      </c>
      <c r="Q88" t="s">
        <v>26</v>
      </c>
    </row>
    <row r="89" spans="1:17" x14ac:dyDescent="0.35">
      <c r="A89" t="s">
        <v>8</v>
      </c>
      <c r="B89">
        <v>8190870</v>
      </c>
      <c r="C89" s="2" t="s">
        <v>401</v>
      </c>
      <c r="D89" s="2" t="str">
        <f>LEFT(TRIM(MID(SUBSTITUTE(tblShipments[[#This Row],[Details]],CHAR(10)," "), FIND(CHAR(10),tblShipments[[#This Row],[Details]])+1, 50)), 10)</f>
        <v>0505000873</v>
      </c>
      <c r="E89" t="s">
        <v>405</v>
      </c>
      <c r="F8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89" t="str">
        <f>IF(tblShipments[[#This Row],[EGM no]]="", "Missing EGM", "EGM Submitted")</f>
        <v>EGM Submitted</v>
      </c>
      <c r="H89" t="str">
        <f>IF(OR(ISNUMBER(SEARCH("Released",tblShipments[[#This Row],[ROSL]])),
      ISNUMBER(SEARCH("Scroll",tblShipments[[#This Row],[ROSL]])),
      ISNUMBER(SEARCH("Y",tblShipments[[#This Row],[ROSL]]))),
   "Released",
   "Not Released")</f>
        <v>Released</v>
      </c>
      <c r="I89" t="str">
        <f>IF(OR(tblShipments[[#This Row],[EGM no]]="", tblShipments[[#This Row],[EGM no]]="N.A."), "Not Submitted", "Submitted")</f>
        <v>Submitted</v>
      </c>
      <c r="J89" t="str">
        <f>IF(LEFT(tblShipments[[#This Row],[Gateway_Extracted]],2)="IN","Valid","Invalid")</f>
        <v>Valid</v>
      </c>
      <c r="K89" t="s">
        <v>406</v>
      </c>
      <c r="L89" t="s">
        <v>407</v>
      </c>
      <c r="M89" t="s">
        <v>13</v>
      </c>
      <c r="N89" t="s">
        <v>408</v>
      </c>
      <c r="O89" t="str">
        <f>IFERROR("IN" &amp; _xlfn.TEXTBEFORE(_xlfn.TEXTAFTER(UPPER(tblShipments[[#This Row],[Gateway_clean]]),"IN")," ",1),"")</f>
        <v>INNSA1</v>
      </c>
      <c r="P89" t="str">
        <f>SUBSTITUTE(tblShipments[[#This Row],[Gateway]], CHAR(10), " ")</f>
        <v xml:space="preserve">AWB No. Gateway Port Gateway EGM No. Gateway EGM Date Gateway Site ID Error Code N.A.  INNSA1  N.A.  N.A.  N.A.  N.A. </v>
      </c>
      <c r="Q89" t="s">
        <v>26</v>
      </c>
    </row>
    <row r="90" spans="1:17" x14ac:dyDescent="0.35">
      <c r="A90" t="s">
        <v>8</v>
      </c>
      <c r="B90">
        <v>8201692</v>
      </c>
      <c r="C90" s="2" t="s">
        <v>409</v>
      </c>
      <c r="D90" s="2" t="str">
        <f>LEFT(TRIM(MID(SUBSTITUTE(tblShipments[[#This Row],[Details]],CHAR(10)," "), FIND(CHAR(10),tblShipments[[#This Row],[Details]])+1, 50)), 10)</f>
        <v>0507042034</v>
      </c>
      <c r="E90" t="s">
        <v>410</v>
      </c>
      <c r="F9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0" t="str">
        <f>IF(tblShipments[[#This Row],[EGM no]]="", "Missing EGM", "EGM Submitted")</f>
        <v>EGM Submitted</v>
      </c>
      <c r="H90" t="str">
        <f>IF(OR(ISNUMBER(SEARCH("Released",tblShipments[[#This Row],[ROSL]])),
      ISNUMBER(SEARCH("Scroll",tblShipments[[#This Row],[ROSL]])),
      ISNUMBER(SEARCH("Y",tblShipments[[#This Row],[ROSL]]))),
   "Released",
   "Not Released")</f>
        <v>Released</v>
      </c>
      <c r="I90" t="str">
        <f>IF(OR(tblShipments[[#This Row],[EGM no]]="", tblShipments[[#This Row],[EGM no]]="N.A."), "Not Submitted", "Submitted")</f>
        <v>Submitted</v>
      </c>
      <c r="J90" t="str">
        <f>IF(LEFT(tblShipments[[#This Row],[Gateway_Extracted]],2)="IN","Valid","Invalid")</f>
        <v>Valid</v>
      </c>
      <c r="K90" t="s">
        <v>374</v>
      </c>
      <c r="L90" t="s">
        <v>411</v>
      </c>
      <c r="M90" t="s">
        <v>13</v>
      </c>
      <c r="N90" t="s">
        <v>412</v>
      </c>
      <c r="O90" t="str">
        <f>IFERROR("IN" &amp; _xlfn.TEXTBEFORE(_xlfn.TEXTAFTER(UPPER(tblShipments[[#This Row],[Gateway_clean]]),"IN")," ",1),"")</f>
        <v>INMUN1</v>
      </c>
      <c r="P90" t="str">
        <f>SUBSTITUTE(tblShipments[[#This Row],[Gateway]], CHAR(10), " ")</f>
        <v xml:space="preserve">AWB No. Gateway Port Gateway EGM No. Gateway EGM Date Gateway Site ID Error Code N.A.  INMUN1  133789  2017-08-23 00:00:00.0  INMUN1  S </v>
      </c>
      <c r="Q90" t="s">
        <v>413</v>
      </c>
    </row>
    <row r="91" spans="1:17" x14ac:dyDescent="0.35">
      <c r="A91" t="s">
        <v>8</v>
      </c>
      <c r="B91">
        <v>8204016</v>
      </c>
      <c r="C91" s="2" t="s">
        <v>409</v>
      </c>
      <c r="D91" s="2" t="str">
        <f>LEFT(TRIM(MID(SUBSTITUTE(tblShipments[[#This Row],[Details]],CHAR(10)," "), FIND(CHAR(10),tblShipments[[#This Row],[Details]])+1, 50)), 10)</f>
        <v>0510085423</v>
      </c>
      <c r="E91" t="s">
        <v>414</v>
      </c>
      <c r="F9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1" t="str">
        <f>IF(tblShipments[[#This Row],[EGM no]]="", "Missing EGM", "EGM Submitted")</f>
        <v>EGM Submitted</v>
      </c>
      <c r="H91" t="str">
        <f>IF(OR(ISNUMBER(SEARCH("Released",tblShipments[[#This Row],[ROSL]])),
      ISNUMBER(SEARCH("Scroll",tblShipments[[#This Row],[ROSL]])),
      ISNUMBER(SEARCH("Y",tblShipments[[#This Row],[ROSL]]))),
   "Released",
   "Not Released")</f>
        <v>Released</v>
      </c>
      <c r="I91" t="str">
        <f>IF(OR(tblShipments[[#This Row],[EGM no]]="", tblShipments[[#This Row],[EGM no]]="N.A."), "Not Submitted", "Submitted")</f>
        <v>Submitted</v>
      </c>
      <c r="J91" t="str">
        <f>IF(LEFT(tblShipments[[#This Row],[Gateway_Extracted]],2)="IN","Valid","Invalid")</f>
        <v>Valid</v>
      </c>
      <c r="K91" t="s">
        <v>406</v>
      </c>
      <c r="L91" t="s">
        <v>415</v>
      </c>
      <c r="M91" t="s">
        <v>13</v>
      </c>
      <c r="N91" t="s">
        <v>416</v>
      </c>
      <c r="O91" t="str">
        <f>IFERROR("IN" &amp; _xlfn.TEXTBEFORE(_xlfn.TEXTAFTER(UPPER(tblShipments[[#This Row],[Gateway_clean]]),"IN")," ",1),"")</f>
        <v>INNSA1</v>
      </c>
      <c r="P91" t="str">
        <f>SUBSTITUTE(tblShipments[[#This Row],[Gateway]], CHAR(10), " ")</f>
        <v xml:space="preserve">AWB No. Gateway Port Gateway EGM No. Gateway EGM Date Gateway Site ID Error Code N.A.  INNSA1  N.A.  N.A.  N.A.  N.A. </v>
      </c>
      <c r="Q91" t="s">
        <v>26</v>
      </c>
    </row>
    <row r="92" spans="1:17" x14ac:dyDescent="0.35">
      <c r="A92" t="s">
        <v>8</v>
      </c>
      <c r="B92">
        <v>8216051</v>
      </c>
      <c r="C92" s="2" t="s">
        <v>409</v>
      </c>
      <c r="D92" s="2" t="str">
        <f>LEFT(TRIM(MID(SUBSTITUTE(tblShipments[[#This Row],[Details]],CHAR(10)," "), FIND(CHAR(10),tblShipments[[#This Row],[Details]])+1, 50)), 10)</f>
        <v>AAKFN5762C</v>
      </c>
      <c r="E92" t="s">
        <v>417</v>
      </c>
      <c r="F9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2" t="str">
        <f>IF(tblShipments[[#This Row],[EGM no]]="", "Missing EGM", "EGM Submitted")</f>
        <v>EGM Submitted</v>
      </c>
      <c r="H92" t="str">
        <f>IF(OR(ISNUMBER(SEARCH("Released",tblShipments[[#This Row],[ROSL]])),
      ISNUMBER(SEARCH("Scroll",tblShipments[[#This Row],[ROSL]])),
      ISNUMBER(SEARCH("Y",tblShipments[[#This Row],[ROSL]]))),
   "Released",
   "Not Released")</f>
        <v>Released</v>
      </c>
      <c r="I92" t="str">
        <f>IF(OR(tblShipments[[#This Row],[EGM no]]="", tblShipments[[#This Row],[EGM no]]="N.A."), "Not Submitted", "Submitted")</f>
        <v>Submitted</v>
      </c>
      <c r="J92" t="str">
        <f>IF(LEFT(tblShipments[[#This Row],[Gateway_Extracted]],2)="IN","Valid","Invalid")</f>
        <v>Valid</v>
      </c>
      <c r="K92" t="s">
        <v>418</v>
      </c>
      <c r="L92" t="s">
        <v>419</v>
      </c>
      <c r="M92" t="s">
        <v>13</v>
      </c>
      <c r="N92" t="s">
        <v>420</v>
      </c>
      <c r="O92" t="str">
        <f>IFERROR("IN" &amp; _xlfn.TEXTBEFORE(_xlfn.TEXTAFTER(UPPER(tblShipments[[#This Row],[Gateway_clean]]),"IN")," ",1),"")</f>
        <v>INNSA1</v>
      </c>
      <c r="P92" t="str">
        <f>SUBSTITUTE(tblShipments[[#This Row],[Gateway]], CHAR(10), " ")</f>
        <v xml:space="preserve">AWB No. Gateway Port Gateway EGM No. Gateway EGM Date Gateway Site ID Error Code N.A.  INNSA1  134167  2017-08-29 00:00:00.0  INNSA1  S </v>
      </c>
      <c r="Q92" t="s">
        <v>421</v>
      </c>
    </row>
    <row r="93" spans="1:17" x14ac:dyDescent="0.35">
      <c r="A93" t="s">
        <v>8</v>
      </c>
      <c r="B93">
        <v>8216744</v>
      </c>
      <c r="C93" s="2" t="s">
        <v>409</v>
      </c>
      <c r="D93" s="2" t="str">
        <f>LEFT(TRIM(MID(SUBSTITUTE(tblShipments[[#This Row],[Details]],CHAR(10)," "), FIND(CHAR(10),tblShipments[[#This Row],[Details]])+1, 50)), 10)</f>
        <v>0591046270</v>
      </c>
      <c r="E93" t="s">
        <v>422</v>
      </c>
      <c r="F9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3" t="str">
        <f>IF(tblShipments[[#This Row],[EGM no]]="", "Missing EGM", "EGM Submitted")</f>
        <v>EGM Submitted</v>
      </c>
      <c r="H93" t="str">
        <f>IF(OR(ISNUMBER(SEARCH("Released",tblShipments[[#This Row],[ROSL]])),
      ISNUMBER(SEARCH("Scroll",tblShipments[[#This Row],[ROSL]])),
      ISNUMBER(SEARCH("Y",tblShipments[[#This Row],[ROSL]]))),
   "Released",
   "Not Released")</f>
        <v>Released</v>
      </c>
      <c r="I93" t="str">
        <f>IF(OR(tblShipments[[#This Row],[EGM no]]="", tblShipments[[#This Row],[EGM no]]="N.A."), "Not Submitted", "Submitted")</f>
        <v>Submitted</v>
      </c>
      <c r="J93" t="str">
        <f>IF(LEFT(tblShipments[[#This Row],[Gateway_Extracted]],2)="IN","Valid","Invalid")</f>
        <v>Valid</v>
      </c>
      <c r="K93" t="s">
        <v>394</v>
      </c>
      <c r="L93" t="s">
        <v>423</v>
      </c>
      <c r="M93" t="s">
        <v>13</v>
      </c>
      <c r="N93" t="s">
        <v>424</v>
      </c>
      <c r="O93" t="str">
        <f>IFERROR("IN" &amp; _xlfn.TEXTBEFORE(_xlfn.TEXTAFTER(UPPER(tblShipments[[#This Row],[Gateway_clean]]),"IN")," ",1),"")</f>
        <v>INMUN1</v>
      </c>
      <c r="P93" t="str">
        <f>SUBSTITUTE(tblShipments[[#This Row],[Gateway]], CHAR(10), " ")</f>
        <v xml:space="preserve">AWB No. Gateway Port Gateway EGM No. Gateway EGM Date Gateway Site ID Error Code N.A.  INMUN1  135378  2017-09-19 00:00:00.0  INMUN1  S </v>
      </c>
      <c r="Q93" t="s">
        <v>425</v>
      </c>
    </row>
    <row r="94" spans="1:17" x14ac:dyDescent="0.35">
      <c r="A94" t="s">
        <v>8</v>
      </c>
      <c r="B94">
        <v>8220992</v>
      </c>
      <c r="C94" s="2" t="s">
        <v>409</v>
      </c>
      <c r="D94" s="2" t="str">
        <f>LEFT(TRIM(MID(SUBSTITUTE(tblShipments[[#This Row],[Details]],CHAR(10)," "), FIND(CHAR(10),tblShipments[[#This Row],[Details]])+1, 50)), 10)</f>
        <v>0508074321</v>
      </c>
      <c r="E94" t="s">
        <v>426</v>
      </c>
      <c r="F9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4" t="str">
        <f>IF(tblShipments[[#This Row],[EGM no]]="", "Missing EGM", "EGM Submitted")</f>
        <v>EGM Submitted</v>
      </c>
      <c r="H94" t="str">
        <f>IF(OR(ISNUMBER(SEARCH("Released",tblShipments[[#This Row],[ROSL]])),
      ISNUMBER(SEARCH("Scroll",tblShipments[[#This Row],[ROSL]])),
      ISNUMBER(SEARCH("Y",tblShipments[[#This Row],[ROSL]]))),
   "Released",
   "Not Released")</f>
        <v>Released</v>
      </c>
      <c r="I94" t="str">
        <f>IF(OR(tblShipments[[#This Row],[EGM no]]="", tblShipments[[#This Row],[EGM no]]="N.A."), "Not Submitted", "Submitted")</f>
        <v>Submitted</v>
      </c>
      <c r="J94" t="str">
        <f>IF(LEFT(tblShipments[[#This Row],[Gateway_Extracted]],2)="IN","Valid","Invalid")</f>
        <v>Valid</v>
      </c>
      <c r="K94" t="s">
        <v>427</v>
      </c>
      <c r="L94" t="s">
        <v>428</v>
      </c>
      <c r="M94" t="s">
        <v>13</v>
      </c>
      <c r="N94" t="s">
        <v>429</v>
      </c>
      <c r="O94" t="str">
        <f>IFERROR("IN" &amp; _xlfn.TEXTBEFORE(_xlfn.TEXTAFTER(UPPER(tblShipments[[#This Row],[Gateway_clean]]),"IN")," ",1),"")</f>
        <v>INPAV1</v>
      </c>
      <c r="P94" t="str">
        <f>SUBSTITUTE(tblShipments[[#This Row],[Gateway]], CHAR(10), " ")</f>
        <v xml:space="preserve">AWB No. Gateway Port Gateway EGM No. Gateway EGM Date Gateway Site ID Error Code N.A.  INPAV1  134074  2017-08-28 00:00:00.0  INPAV1  S </v>
      </c>
      <c r="Q94" t="s">
        <v>430</v>
      </c>
    </row>
    <row r="95" spans="1:17" x14ac:dyDescent="0.35">
      <c r="A95" t="s">
        <v>8</v>
      </c>
      <c r="B95">
        <v>8222240</v>
      </c>
      <c r="C95" s="2" t="s">
        <v>409</v>
      </c>
      <c r="D95" s="2" t="str">
        <f>LEFT(TRIM(MID(SUBSTITUTE(tblShipments[[#This Row],[Details]],CHAR(10)," "), FIND(CHAR(10),tblShipments[[#This Row],[Details]])+1, 50)), 10)</f>
        <v>0510059732</v>
      </c>
      <c r="E95" t="s">
        <v>431</v>
      </c>
      <c r="F9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5" t="str">
        <f>IF(tblShipments[[#This Row],[EGM no]]="", "Missing EGM", "EGM Submitted")</f>
        <v>EGM Submitted</v>
      </c>
      <c r="H95" t="str">
        <f>IF(OR(ISNUMBER(SEARCH("Released",tblShipments[[#This Row],[ROSL]])),
      ISNUMBER(SEARCH("Scroll",tblShipments[[#This Row],[ROSL]])),
      ISNUMBER(SEARCH("Y",tblShipments[[#This Row],[ROSL]]))),
   "Released",
   "Not Released")</f>
        <v>Released</v>
      </c>
      <c r="I95" t="str">
        <f>IF(OR(tblShipments[[#This Row],[EGM no]]="", tblShipments[[#This Row],[EGM no]]="N.A."), "Not Submitted", "Submitted")</f>
        <v>Submitted</v>
      </c>
      <c r="J95" t="str">
        <f>IF(LEFT(tblShipments[[#This Row],[Gateway_Extracted]],2)="IN","Valid","Invalid")</f>
        <v>Valid</v>
      </c>
      <c r="K95" t="s">
        <v>432</v>
      </c>
      <c r="L95" t="s">
        <v>433</v>
      </c>
      <c r="M95" t="s">
        <v>31</v>
      </c>
      <c r="N95" t="s">
        <v>434</v>
      </c>
      <c r="O95" t="str">
        <f>IFERROR("IN" &amp; _xlfn.TEXTBEFORE(_xlfn.TEXTAFTER(UPPER(tblShipments[[#This Row],[Gateway_clean]]),"IN")," ",1),"")</f>
        <v>INMUN1</v>
      </c>
      <c r="P95" t="str">
        <f>SUBSTITUTE(tblShipments[[#This Row],[Gateway]], CHAR(10), " ")</f>
        <v xml:space="preserve">AWB No. Gateway Port Gateway EGM No. Gateway EGM Date Gateway Site ID Error Code N.A.  INMUN1  140358  2017-12-08 00:00:00.0  INMUN1  ST </v>
      </c>
      <c r="Q95" t="s">
        <v>435</v>
      </c>
    </row>
    <row r="96" spans="1:17" x14ac:dyDescent="0.35">
      <c r="A96" t="s">
        <v>8</v>
      </c>
      <c r="B96">
        <v>8228343</v>
      </c>
      <c r="C96" s="2" t="s">
        <v>409</v>
      </c>
      <c r="D96" s="2" t="str">
        <f>LEFT(TRIM(MID(SUBSTITUTE(tblShipments[[#This Row],[Details]],CHAR(10)," "), FIND(CHAR(10),tblShipments[[#This Row],[Details]])+1, 50)), 10)</f>
        <v>0500075158</v>
      </c>
      <c r="E96" t="s">
        <v>436</v>
      </c>
      <c r="F9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6" t="str">
        <f>IF(tblShipments[[#This Row],[EGM no]]="", "Missing EGM", "EGM Submitted")</f>
        <v>EGM Submitted</v>
      </c>
      <c r="H96" t="str">
        <f>IF(OR(ISNUMBER(SEARCH("Released",tblShipments[[#This Row],[ROSL]])),
      ISNUMBER(SEARCH("Scroll",tblShipments[[#This Row],[ROSL]])),
      ISNUMBER(SEARCH("Y",tblShipments[[#This Row],[ROSL]]))),
   "Released",
   "Not Released")</f>
        <v>Released</v>
      </c>
      <c r="I96" t="str">
        <f>IF(OR(tblShipments[[#This Row],[EGM no]]="", tblShipments[[#This Row],[EGM no]]="N.A."), "Not Submitted", "Submitted")</f>
        <v>Submitted</v>
      </c>
      <c r="J96" t="str">
        <f>IF(LEFT(tblShipments[[#This Row],[Gateway_Extracted]],2)="IN","Valid","Invalid")</f>
        <v>Valid</v>
      </c>
      <c r="K96" t="s">
        <v>437</v>
      </c>
      <c r="L96" t="s">
        <v>438</v>
      </c>
      <c r="M96" t="s">
        <v>439</v>
      </c>
      <c r="N96" t="s">
        <v>440</v>
      </c>
      <c r="O96" t="str">
        <f>IFERROR("IN" &amp; _xlfn.TEXTBEFORE(_xlfn.TEXTAFTER(UPPER(tblShipments[[#This Row],[Gateway_clean]]),"IN")," ",1),"")</f>
        <v>INMUN1</v>
      </c>
      <c r="P96" t="str">
        <f>SUBSTITUTE(tblShipments[[#This Row],[Gateway]], CHAR(10), " ")</f>
        <v xml:space="preserve">AWB No. Gateway Port Gateway EGM No. Gateway EGM Date Gateway Site ID Error Code N.A.  INMUN1  134796  2017-09-08 00:00:00.0  INMUN1  S </v>
      </c>
      <c r="Q96" t="s">
        <v>441</v>
      </c>
    </row>
    <row r="97" spans="1:17" x14ac:dyDescent="0.35">
      <c r="A97" t="s">
        <v>8</v>
      </c>
      <c r="B97">
        <v>8234289</v>
      </c>
      <c r="C97" s="2" t="s">
        <v>442</v>
      </c>
      <c r="D97" s="2" t="str">
        <f>LEFT(TRIM(MID(SUBSTITUTE(tblShipments[[#This Row],[Details]],CHAR(10)," "), FIND(CHAR(10),tblShipments[[#This Row],[Details]])+1, 50)), 10)</f>
        <v>0507001061</v>
      </c>
      <c r="E97" t="s">
        <v>443</v>
      </c>
      <c r="F9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7" t="str">
        <f>IF(tblShipments[[#This Row],[EGM no]]="", "Missing EGM", "EGM Submitted")</f>
        <v>EGM Submitted</v>
      </c>
      <c r="H97" t="str">
        <f>IF(OR(ISNUMBER(SEARCH("Released",tblShipments[[#This Row],[ROSL]])),
      ISNUMBER(SEARCH("Scroll",tblShipments[[#This Row],[ROSL]])),
      ISNUMBER(SEARCH("Y",tblShipments[[#This Row],[ROSL]]))),
   "Released",
   "Not Released")</f>
        <v>Released</v>
      </c>
      <c r="I97" t="str">
        <f>IF(OR(tblShipments[[#This Row],[EGM no]]="", tblShipments[[#This Row],[EGM no]]="N.A."), "Not Submitted", "Submitted")</f>
        <v>Submitted</v>
      </c>
      <c r="J97" t="str">
        <f>IF(LEFT(tblShipments[[#This Row],[Gateway_Extracted]],2)="IN","Valid","Invalid")</f>
        <v>Valid</v>
      </c>
      <c r="K97" t="s">
        <v>444</v>
      </c>
      <c r="L97" t="s">
        <v>445</v>
      </c>
      <c r="M97" t="s">
        <v>13</v>
      </c>
      <c r="N97" t="s">
        <v>446</v>
      </c>
      <c r="O97" t="str">
        <f>IFERROR("IN" &amp; _xlfn.TEXTBEFORE(_xlfn.TEXTAFTER(UPPER(tblShipments[[#This Row],[Gateway_clean]]),"IN")," ",1),"")</f>
        <v>INMUN1</v>
      </c>
      <c r="P97" t="str">
        <f>SUBSTITUTE(tblShipments[[#This Row],[Gateway]], CHAR(10), " ")</f>
        <v xml:space="preserve">AWB No. Gateway Port Gateway EGM No. Gateway EGM Date Gateway Site ID Error Code N.A.  INMUN1  134487  2017-09-04 00:00:00.0  INMUN1  S </v>
      </c>
      <c r="Q97" t="s">
        <v>400</v>
      </c>
    </row>
    <row r="98" spans="1:17" x14ac:dyDescent="0.35">
      <c r="A98" t="s">
        <v>8</v>
      </c>
      <c r="B98">
        <v>8235656</v>
      </c>
      <c r="C98" s="2" t="s">
        <v>442</v>
      </c>
      <c r="D98" s="2" t="str">
        <f>LEFT(TRIM(MID(SUBSTITUTE(tblShipments[[#This Row],[Details]],CHAR(10)," "), FIND(CHAR(10),tblShipments[[#This Row],[Details]])+1, 50)), 10)</f>
        <v>0510064663</v>
      </c>
      <c r="E98" t="s">
        <v>447</v>
      </c>
      <c r="F9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8" t="str">
        <f>IF(tblShipments[[#This Row],[EGM no]]="", "Missing EGM", "EGM Submitted")</f>
        <v>EGM Submitted</v>
      </c>
      <c r="H98" t="str">
        <f>IF(OR(ISNUMBER(SEARCH("Released",tblShipments[[#This Row],[ROSL]])),
      ISNUMBER(SEARCH("Scroll",tblShipments[[#This Row],[ROSL]])),
      ISNUMBER(SEARCH("Y",tblShipments[[#This Row],[ROSL]]))),
   "Released",
   "Not Released")</f>
        <v>Released</v>
      </c>
      <c r="I98" t="str">
        <f>IF(OR(tblShipments[[#This Row],[EGM no]]="", tblShipments[[#This Row],[EGM no]]="N.A."), "Not Submitted", "Submitted")</f>
        <v>Submitted</v>
      </c>
      <c r="J98" t="str">
        <f>IF(LEFT(tblShipments[[#This Row],[Gateway_Extracted]],2)="IN","Valid","Invalid")</f>
        <v>Valid</v>
      </c>
      <c r="K98" t="s">
        <v>382</v>
      </c>
      <c r="L98" t="s">
        <v>448</v>
      </c>
      <c r="M98" t="s">
        <v>449</v>
      </c>
      <c r="N98" t="s">
        <v>450</v>
      </c>
      <c r="O98" t="str">
        <f>IFERROR("IN" &amp; _xlfn.TEXTBEFORE(_xlfn.TEXTAFTER(UPPER(tblShipments[[#This Row],[Gateway_clean]]),"IN")," ",1),"")</f>
        <v>INMUN1</v>
      </c>
      <c r="P98" t="str">
        <f>SUBSTITUTE(tblShipments[[#This Row],[Gateway]], CHAR(10), " ")</f>
        <v xml:space="preserve">AWB No. Gateway Port Gateway EGM No. Gateway EGM Date Gateway Site ID Error Code N.A.  INMUN1  134795  2017-09-08 00:00:00.0  INMUN1  S </v>
      </c>
      <c r="Q98" t="s">
        <v>451</v>
      </c>
    </row>
    <row r="99" spans="1:17" x14ac:dyDescent="0.35">
      <c r="A99" t="s">
        <v>8</v>
      </c>
      <c r="B99">
        <v>8239122</v>
      </c>
      <c r="C99" s="2" t="s">
        <v>442</v>
      </c>
      <c r="D99" s="2" t="str">
        <f>LEFT(TRIM(MID(SUBSTITUTE(tblShipments[[#This Row],[Details]],CHAR(10)," "), FIND(CHAR(10),tblShipments[[#This Row],[Details]])+1, 50)), 10)</f>
        <v>AAHCC0755A</v>
      </c>
      <c r="E99" t="s">
        <v>452</v>
      </c>
      <c r="F9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99" t="str">
        <f>IF(tblShipments[[#This Row],[EGM no]]="", "Missing EGM", "EGM Submitted")</f>
        <v>EGM Submitted</v>
      </c>
      <c r="H99" t="str">
        <f>IF(OR(ISNUMBER(SEARCH("Released",tblShipments[[#This Row],[ROSL]])),
      ISNUMBER(SEARCH("Scroll",tblShipments[[#This Row],[ROSL]])),
      ISNUMBER(SEARCH("Y",tblShipments[[#This Row],[ROSL]]))),
   "Released",
   "Not Released")</f>
        <v>Released</v>
      </c>
      <c r="I99" t="str">
        <f>IF(OR(tblShipments[[#This Row],[EGM no]]="", tblShipments[[#This Row],[EGM no]]="N.A."), "Not Submitted", "Submitted")</f>
        <v>Submitted</v>
      </c>
      <c r="J99" t="str">
        <f>IF(LEFT(tblShipments[[#This Row],[Gateway_Extracted]],2)="IN","Valid","Invalid")</f>
        <v>Valid</v>
      </c>
      <c r="K99" t="s">
        <v>352</v>
      </c>
      <c r="L99" t="s">
        <v>453</v>
      </c>
      <c r="M99" t="s">
        <v>454</v>
      </c>
      <c r="N99" t="s">
        <v>455</v>
      </c>
      <c r="O99" t="str">
        <f>IFERROR("IN" &amp; _xlfn.TEXTBEFORE(_xlfn.TEXTAFTER(UPPER(tblShipments[[#This Row],[Gateway_clean]]),"IN")," ",1),"")</f>
        <v>INPAV1</v>
      </c>
      <c r="P99" t="str">
        <f>SUBSTITUTE(tblShipments[[#This Row],[Gateway]], CHAR(10), " ")</f>
        <v xml:space="preserve">AWB No. Gateway Port Gateway EGM No. Gateway EGM Date Gateway Site ID Error Code N.A.  INPAV1  132218  2017-07-26 00:00:00.0  INPAV1  S </v>
      </c>
      <c r="Q99" t="s">
        <v>456</v>
      </c>
    </row>
    <row r="100" spans="1:17" x14ac:dyDescent="0.35">
      <c r="A100" t="s">
        <v>8</v>
      </c>
      <c r="B100">
        <v>8239128</v>
      </c>
      <c r="C100" s="2" t="s">
        <v>442</v>
      </c>
      <c r="D100" s="2" t="str">
        <f>LEFT(TRIM(MID(SUBSTITUTE(tblShipments[[#This Row],[Details]],CHAR(10)," "), FIND(CHAR(10),tblShipments[[#This Row],[Details]])+1, 50)), 10)</f>
        <v>AAHCC0755A</v>
      </c>
      <c r="E100" t="s">
        <v>457</v>
      </c>
      <c r="F10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0" t="str">
        <f>IF(tblShipments[[#This Row],[EGM no]]="", "Missing EGM", "EGM Submitted")</f>
        <v>EGM Submitted</v>
      </c>
      <c r="H100" t="str">
        <f>IF(OR(ISNUMBER(SEARCH("Released",tblShipments[[#This Row],[ROSL]])),
      ISNUMBER(SEARCH("Scroll",tblShipments[[#This Row],[ROSL]])),
      ISNUMBER(SEARCH("Y",tblShipments[[#This Row],[ROSL]]))),
   "Released",
   "Not Released")</f>
        <v>Released</v>
      </c>
      <c r="I100" t="str">
        <f>IF(OR(tblShipments[[#This Row],[EGM no]]="", tblShipments[[#This Row],[EGM no]]="N.A."), "Not Submitted", "Submitted")</f>
        <v>Submitted</v>
      </c>
      <c r="J100" t="str">
        <f>IF(LEFT(tblShipments[[#This Row],[Gateway_Extracted]],2)="IN","Valid","Invalid")</f>
        <v>Valid</v>
      </c>
      <c r="K100" t="s">
        <v>352</v>
      </c>
      <c r="L100" t="s">
        <v>453</v>
      </c>
      <c r="M100" t="s">
        <v>454</v>
      </c>
      <c r="N100" t="s">
        <v>455</v>
      </c>
      <c r="O100" t="str">
        <f>IFERROR("IN" &amp; _xlfn.TEXTBEFORE(_xlfn.TEXTAFTER(UPPER(tblShipments[[#This Row],[Gateway_clean]]),"IN")," ",1),"")</f>
        <v>INPAV1</v>
      </c>
      <c r="P100" t="str">
        <f>SUBSTITUTE(tblShipments[[#This Row],[Gateway]], CHAR(10), " ")</f>
        <v xml:space="preserve">AWB No. Gateway Port Gateway EGM No. Gateway EGM Date Gateway Site ID Error Code N.A.  INPAV1  132218  2017-07-26 00:00:00.0  INPAV1  S </v>
      </c>
      <c r="Q100" t="s">
        <v>456</v>
      </c>
    </row>
    <row r="101" spans="1:17" x14ac:dyDescent="0.35">
      <c r="A101" t="s">
        <v>8</v>
      </c>
      <c r="B101">
        <v>8239129</v>
      </c>
      <c r="C101" s="2" t="s">
        <v>442</v>
      </c>
      <c r="D101" s="2" t="str">
        <f>LEFT(TRIM(MID(SUBSTITUTE(tblShipments[[#This Row],[Details]],CHAR(10)," "), FIND(CHAR(10),tblShipments[[#This Row],[Details]])+1, 50)), 10)</f>
        <v>AAHCC0755A</v>
      </c>
      <c r="E101" t="s">
        <v>458</v>
      </c>
      <c r="F10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1" t="str">
        <f>IF(tblShipments[[#This Row],[EGM no]]="", "Missing EGM", "EGM Submitted")</f>
        <v>EGM Submitted</v>
      </c>
      <c r="H101" t="str">
        <f>IF(OR(ISNUMBER(SEARCH("Released",tblShipments[[#This Row],[ROSL]])),
      ISNUMBER(SEARCH("Scroll",tblShipments[[#This Row],[ROSL]])),
      ISNUMBER(SEARCH("Y",tblShipments[[#This Row],[ROSL]]))),
   "Released",
   "Not Released")</f>
        <v>Released</v>
      </c>
      <c r="I101" t="str">
        <f>IF(OR(tblShipments[[#This Row],[EGM no]]="", tblShipments[[#This Row],[EGM no]]="N.A."), "Not Submitted", "Submitted")</f>
        <v>Submitted</v>
      </c>
      <c r="J101" t="str">
        <f>IF(LEFT(tblShipments[[#This Row],[Gateway_Extracted]],2)="IN","Valid","Invalid")</f>
        <v>Valid</v>
      </c>
      <c r="K101" t="s">
        <v>352</v>
      </c>
      <c r="L101" t="s">
        <v>453</v>
      </c>
      <c r="M101" t="s">
        <v>454</v>
      </c>
      <c r="N101" t="s">
        <v>455</v>
      </c>
      <c r="O101" t="str">
        <f>IFERROR("IN" &amp; _xlfn.TEXTBEFORE(_xlfn.TEXTAFTER(UPPER(tblShipments[[#This Row],[Gateway_clean]]),"IN")," ",1),"")</f>
        <v>INPAV1</v>
      </c>
      <c r="P101" t="str">
        <f>SUBSTITUTE(tblShipments[[#This Row],[Gateway]], CHAR(10), " ")</f>
        <v xml:space="preserve">AWB No. Gateway Port Gateway EGM No. Gateway EGM Date Gateway Site ID Error Code N.A.  INPAV1  132218  2017-07-26 00:00:00.0  INPAV1  S </v>
      </c>
      <c r="Q101" t="s">
        <v>456</v>
      </c>
    </row>
    <row r="102" spans="1:17" x14ac:dyDescent="0.35">
      <c r="A102" t="s">
        <v>8</v>
      </c>
      <c r="B102">
        <v>8241970</v>
      </c>
      <c r="C102" s="2" t="s">
        <v>442</v>
      </c>
      <c r="D102" s="2" t="str">
        <f>LEFT(TRIM(MID(SUBSTITUTE(tblShipments[[#This Row],[Details]],CHAR(10)," "), FIND(CHAR(10),tblShipments[[#This Row],[Details]])+1, 50)), 10)</f>
        <v>AAHCC0755A</v>
      </c>
      <c r="E102" t="s">
        <v>459</v>
      </c>
      <c r="F10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2" t="str">
        <f>IF(tblShipments[[#This Row],[EGM no]]="", "Missing EGM", "EGM Submitted")</f>
        <v>EGM Submitted</v>
      </c>
      <c r="H102" t="str">
        <f>IF(OR(ISNUMBER(SEARCH("Released",tblShipments[[#This Row],[ROSL]])),
      ISNUMBER(SEARCH("Scroll",tblShipments[[#This Row],[ROSL]])),
      ISNUMBER(SEARCH("Y",tblShipments[[#This Row],[ROSL]]))),
   "Released",
   "Not Released")</f>
        <v>Released</v>
      </c>
      <c r="I102" t="str">
        <f>IF(OR(tblShipments[[#This Row],[EGM no]]="", tblShipments[[#This Row],[EGM no]]="N.A."), "Not Submitted", "Submitted")</f>
        <v>Submitted</v>
      </c>
      <c r="J102" t="str">
        <f>IF(LEFT(tblShipments[[#This Row],[Gateway_Extracted]],2)="IN","Valid","Invalid")</f>
        <v>Valid</v>
      </c>
      <c r="K102" t="s">
        <v>427</v>
      </c>
      <c r="L102" t="s">
        <v>460</v>
      </c>
      <c r="M102" t="s">
        <v>461</v>
      </c>
      <c r="N102" t="s">
        <v>462</v>
      </c>
      <c r="O102" t="str">
        <f>IFERROR("IN" &amp; _xlfn.TEXTBEFORE(_xlfn.TEXTAFTER(UPPER(tblShipments[[#This Row],[Gateway_clean]]),"IN")," ",1),"")</f>
        <v>INPAV1</v>
      </c>
      <c r="P102" t="str">
        <f>SUBSTITUTE(tblShipments[[#This Row],[Gateway]], CHAR(10), " ")</f>
        <v xml:space="preserve">AWB No. Gateway Port Gateway EGM No. Gateway EGM Date Gateway Site ID Error Code N.A.  INPAV1  132218  2017-07-26 00:00:00.0  INPAV1  S </v>
      </c>
      <c r="Q102" t="s">
        <v>456</v>
      </c>
    </row>
    <row r="103" spans="1:17" x14ac:dyDescent="0.35">
      <c r="A103" t="s">
        <v>8</v>
      </c>
      <c r="B103">
        <v>8241971</v>
      </c>
      <c r="C103" s="2" t="s">
        <v>442</v>
      </c>
      <c r="D103" s="2" t="str">
        <f>LEFT(TRIM(MID(SUBSTITUTE(tblShipments[[#This Row],[Details]],CHAR(10)," "), FIND(CHAR(10),tblShipments[[#This Row],[Details]])+1, 50)), 10)</f>
        <v>AAHCC0755A</v>
      </c>
      <c r="E103" t="s">
        <v>463</v>
      </c>
      <c r="F10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3" t="str">
        <f>IF(tblShipments[[#This Row],[EGM no]]="", "Missing EGM", "EGM Submitted")</f>
        <v>EGM Submitted</v>
      </c>
      <c r="H103" t="str">
        <f>IF(OR(ISNUMBER(SEARCH("Released",tblShipments[[#This Row],[ROSL]])),
      ISNUMBER(SEARCH("Scroll",tblShipments[[#This Row],[ROSL]])),
      ISNUMBER(SEARCH("Y",tblShipments[[#This Row],[ROSL]]))),
   "Released",
   "Not Released")</f>
        <v>Released</v>
      </c>
      <c r="I103" t="str">
        <f>IF(OR(tblShipments[[#This Row],[EGM no]]="", tblShipments[[#This Row],[EGM no]]="N.A."), "Not Submitted", "Submitted")</f>
        <v>Submitted</v>
      </c>
      <c r="J103" t="str">
        <f>IF(LEFT(tblShipments[[#This Row],[Gateway_Extracted]],2)="IN","Valid","Invalid")</f>
        <v>Valid</v>
      </c>
      <c r="K103" t="s">
        <v>427</v>
      </c>
      <c r="L103" t="s">
        <v>460</v>
      </c>
      <c r="M103" t="s">
        <v>461</v>
      </c>
      <c r="N103" t="s">
        <v>462</v>
      </c>
      <c r="O103" t="str">
        <f>IFERROR("IN" &amp; _xlfn.TEXTBEFORE(_xlfn.TEXTAFTER(UPPER(tblShipments[[#This Row],[Gateway_clean]]),"IN")," ",1),"")</f>
        <v>INPAV1</v>
      </c>
      <c r="P103" t="str">
        <f>SUBSTITUTE(tblShipments[[#This Row],[Gateway]], CHAR(10), " ")</f>
        <v xml:space="preserve">AWB No. Gateway Port Gateway EGM No. Gateway EGM Date Gateway Site ID Error Code N.A.  INPAV1  132218  2017-07-26 00:00:00.0  INPAV1  S </v>
      </c>
      <c r="Q103" t="s">
        <v>456</v>
      </c>
    </row>
    <row r="104" spans="1:17" x14ac:dyDescent="0.35">
      <c r="A104" t="s">
        <v>8</v>
      </c>
      <c r="B104">
        <v>8241978</v>
      </c>
      <c r="C104" s="2" t="s">
        <v>442</v>
      </c>
      <c r="D104" s="2" t="str">
        <f>LEFT(TRIM(MID(SUBSTITUTE(tblShipments[[#This Row],[Details]],CHAR(10)," "), FIND(CHAR(10),tblShipments[[#This Row],[Details]])+1, 50)), 10)</f>
        <v>AAHCC0755A</v>
      </c>
      <c r="E104" t="s">
        <v>464</v>
      </c>
      <c r="F10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4" t="str">
        <f>IF(tblShipments[[#This Row],[EGM no]]="", "Missing EGM", "EGM Submitted")</f>
        <v>EGM Submitted</v>
      </c>
      <c r="H104" t="str">
        <f>IF(OR(ISNUMBER(SEARCH("Released",tblShipments[[#This Row],[ROSL]])),
      ISNUMBER(SEARCH("Scroll",tblShipments[[#This Row],[ROSL]])),
      ISNUMBER(SEARCH("Y",tblShipments[[#This Row],[ROSL]]))),
   "Released",
   "Not Released")</f>
        <v>Released</v>
      </c>
      <c r="I104" t="str">
        <f>IF(OR(tblShipments[[#This Row],[EGM no]]="", tblShipments[[#This Row],[EGM no]]="N.A."), "Not Submitted", "Submitted")</f>
        <v>Submitted</v>
      </c>
      <c r="J104" t="str">
        <f>IF(LEFT(tblShipments[[#This Row],[Gateway_Extracted]],2)="IN","Valid","Invalid")</f>
        <v>Valid</v>
      </c>
      <c r="K104" t="s">
        <v>427</v>
      </c>
      <c r="L104" t="s">
        <v>460</v>
      </c>
      <c r="M104" t="s">
        <v>465</v>
      </c>
      <c r="N104" t="s">
        <v>466</v>
      </c>
      <c r="O104" t="str">
        <f>IFERROR("IN" &amp; _xlfn.TEXTBEFORE(_xlfn.TEXTAFTER(UPPER(tblShipments[[#This Row],[Gateway_clean]]),"IN")," ",1),"")</f>
        <v>INPAV1</v>
      </c>
      <c r="P104" t="str">
        <f>SUBSTITUTE(tblShipments[[#This Row],[Gateway]], CHAR(10), " ")</f>
        <v xml:space="preserve">AWB No. Gateway Port Gateway EGM No. Gateway EGM Date Gateway Site ID Error Code N.A.  INPAV1  132218  2017-07-26 00:00:00.0  INPAV1  S </v>
      </c>
      <c r="Q104" t="s">
        <v>456</v>
      </c>
    </row>
    <row r="105" spans="1:17" x14ac:dyDescent="0.35">
      <c r="A105" t="s">
        <v>8</v>
      </c>
      <c r="B105">
        <v>8247826</v>
      </c>
      <c r="C105" s="2" t="s">
        <v>467</v>
      </c>
      <c r="D105" s="2" t="str">
        <f>LEFT(TRIM(MID(SUBSTITUTE(tblShipments[[#This Row],[Details]],CHAR(10)," "), FIND(CHAR(10),tblShipments[[#This Row],[Details]])+1, 50)), 10)</f>
        <v>0512081786</v>
      </c>
      <c r="E105" t="s">
        <v>468</v>
      </c>
      <c r="F10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5" t="str">
        <f>IF(tblShipments[[#This Row],[EGM no]]="", "Missing EGM", "EGM Submitted")</f>
        <v>EGM Submitted</v>
      </c>
      <c r="H105" t="str">
        <f>IF(OR(ISNUMBER(SEARCH("Released",tblShipments[[#This Row],[ROSL]])),
      ISNUMBER(SEARCH("Scroll",tblShipments[[#This Row],[ROSL]])),
      ISNUMBER(SEARCH("Y",tblShipments[[#This Row],[ROSL]]))),
   "Released",
   "Not Released")</f>
        <v>Released</v>
      </c>
      <c r="I105" t="str">
        <f>IF(OR(tblShipments[[#This Row],[EGM no]]="", tblShipments[[#This Row],[EGM no]]="N.A."), "Not Submitted", "Submitted")</f>
        <v>Submitted</v>
      </c>
      <c r="J105" t="str">
        <f>IF(LEFT(tblShipments[[#This Row],[Gateway_Extracted]],2)="IN","Valid","Invalid")</f>
        <v>Valid</v>
      </c>
      <c r="K105" t="s">
        <v>427</v>
      </c>
      <c r="L105" t="s">
        <v>469</v>
      </c>
      <c r="M105" t="s">
        <v>13</v>
      </c>
      <c r="N105" t="s">
        <v>470</v>
      </c>
      <c r="O105" t="str">
        <f>IFERROR("IN" &amp; _xlfn.TEXTBEFORE(_xlfn.TEXTAFTER(UPPER(tblShipments[[#This Row],[Gateway_clean]]),"IN")," ",1),"")</f>
        <v>INPAV1</v>
      </c>
      <c r="P105" t="str">
        <f>SUBSTITUTE(tblShipments[[#This Row],[Gateway]], CHAR(10), " ")</f>
        <v xml:space="preserve">AWB No. Gateway Port Gateway EGM No. Gateway EGM Date Gateway Site ID Error Code N.A.  INPAV1  134066  2017-08-28 00:00:00.0  INPAV1  S </v>
      </c>
      <c r="Q105" t="s">
        <v>471</v>
      </c>
    </row>
    <row r="106" spans="1:17" x14ac:dyDescent="0.35">
      <c r="A106" t="s">
        <v>8</v>
      </c>
      <c r="B106">
        <v>8249349</v>
      </c>
      <c r="C106" s="2" t="s">
        <v>467</v>
      </c>
      <c r="D106" s="2" t="str">
        <f>LEFT(TRIM(MID(SUBSTITUTE(tblShipments[[#This Row],[Details]],CHAR(10)," "), FIND(CHAR(10),tblShipments[[#This Row],[Details]])+1, 50)), 10)</f>
        <v>0510056601</v>
      </c>
      <c r="E106" t="s">
        <v>472</v>
      </c>
      <c r="F10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6" t="str">
        <f>IF(tblShipments[[#This Row],[EGM no]]="", "Missing EGM", "EGM Submitted")</f>
        <v>EGM Submitted</v>
      </c>
      <c r="H106" t="str">
        <f>IF(OR(ISNUMBER(SEARCH("Released",tblShipments[[#This Row],[ROSL]])),
      ISNUMBER(SEARCH("Scroll",tblShipments[[#This Row],[ROSL]])),
      ISNUMBER(SEARCH("Y",tblShipments[[#This Row],[ROSL]]))),
   "Released",
   "Not Released")</f>
        <v>Released</v>
      </c>
      <c r="I106" t="str">
        <f>IF(OR(tblShipments[[#This Row],[EGM no]]="", tblShipments[[#This Row],[EGM no]]="N.A."), "Not Submitted", "Submitted")</f>
        <v>Submitted</v>
      </c>
      <c r="J106" t="str">
        <f>IF(LEFT(tblShipments[[#This Row],[Gateway_Extracted]],2)="IN","Valid","Invalid")</f>
        <v>Valid</v>
      </c>
      <c r="K106" t="s">
        <v>473</v>
      </c>
      <c r="L106" t="s">
        <v>474</v>
      </c>
      <c r="M106" t="s">
        <v>13</v>
      </c>
      <c r="N106" t="s">
        <v>475</v>
      </c>
      <c r="O106" t="str">
        <f>IFERROR("IN" &amp; _xlfn.TEXTBEFORE(_xlfn.TEXTAFTER(UPPER(tblShipments[[#This Row],[Gateway_clean]]),"IN")," ",1),"")</f>
        <v>INNSA1</v>
      </c>
      <c r="P106" t="str">
        <f>SUBSTITUTE(tblShipments[[#This Row],[Gateway]], CHAR(10), " ")</f>
        <v xml:space="preserve">AWB No. Gateway Port Gateway EGM No. Gateway EGM Date Gateway Site ID Error Code N.A.  INNSA1  N.A.  N.A.  N.A.  N.A. </v>
      </c>
      <c r="Q106" t="s">
        <v>26</v>
      </c>
    </row>
    <row r="107" spans="1:17" x14ac:dyDescent="0.35">
      <c r="A107" t="s">
        <v>8</v>
      </c>
      <c r="B107">
        <v>8263241</v>
      </c>
      <c r="C107" s="2" t="s">
        <v>467</v>
      </c>
      <c r="D107" s="2" t="str">
        <f>LEFT(TRIM(MID(SUBSTITUTE(tblShipments[[#This Row],[Details]],CHAR(10)," "), FIND(CHAR(10),tblShipments[[#This Row],[Details]])+1, 50)), 10)</f>
        <v>0592023052</v>
      </c>
      <c r="E107" t="s">
        <v>476</v>
      </c>
      <c r="F10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7" t="str">
        <f>IF(tblShipments[[#This Row],[EGM no]]="", "Missing EGM", "EGM Submitted")</f>
        <v>EGM Submitted</v>
      </c>
      <c r="H107" t="str">
        <f>IF(OR(ISNUMBER(SEARCH("Released",tblShipments[[#This Row],[ROSL]])),
      ISNUMBER(SEARCH("Scroll",tblShipments[[#This Row],[ROSL]])),
      ISNUMBER(SEARCH("Y",tblShipments[[#This Row],[ROSL]]))),
   "Released",
   "Not Released")</f>
        <v>Released</v>
      </c>
      <c r="I107" t="str">
        <f>IF(OR(tblShipments[[#This Row],[EGM no]]="", tblShipments[[#This Row],[EGM no]]="N.A."), "Not Submitted", "Submitted")</f>
        <v>Submitted</v>
      </c>
      <c r="J107" t="str">
        <f>IF(LEFT(tblShipments[[#This Row],[Gateway_Extracted]],2)="IN","Valid","Invalid")</f>
        <v>Valid</v>
      </c>
      <c r="K107" t="s">
        <v>473</v>
      </c>
      <c r="L107" t="s">
        <v>477</v>
      </c>
      <c r="M107" t="s">
        <v>13</v>
      </c>
      <c r="N107" t="s">
        <v>478</v>
      </c>
      <c r="O107" t="str">
        <f>IFERROR("IN" &amp; _xlfn.TEXTBEFORE(_xlfn.TEXTAFTER(UPPER(tblShipments[[#This Row],[Gateway_clean]]),"IN")," ",1),"")</f>
        <v>INNSA1</v>
      </c>
      <c r="P107" t="str">
        <f>SUBSTITUTE(tblShipments[[#This Row],[Gateway]], CHAR(10), " ")</f>
        <v xml:space="preserve">AWB No. Gateway Port Gateway EGM No. Gateway EGM Date Gateway Site ID Error Code N.A.  INNSA1  N.A.  N.A.  N.A.  N.A. </v>
      </c>
      <c r="Q107" t="s">
        <v>26</v>
      </c>
    </row>
    <row r="108" spans="1:17" x14ac:dyDescent="0.35">
      <c r="A108" t="s">
        <v>8</v>
      </c>
      <c r="B108">
        <v>8288523</v>
      </c>
      <c r="C108" s="2" t="s">
        <v>479</v>
      </c>
      <c r="D108" s="2" t="str">
        <f>LEFT(TRIM(MID(SUBSTITUTE(tblShipments[[#This Row],[Details]],CHAR(10)," "), FIND(CHAR(10),tblShipments[[#This Row],[Details]])+1, 50)), 10)</f>
        <v>0515069272</v>
      </c>
      <c r="E108" t="s">
        <v>480</v>
      </c>
      <c r="F10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8" t="str">
        <f>IF(tblShipments[[#This Row],[EGM no]]="", "Missing EGM", "EGM Submitted")</f>
        <v>EGM Submitted</v>
      </c>
      <c r="H108" t="str">
        <f>IF(OR(ISNUMBER(SEARCH("Released",tblShipments[[#This Row],[ROSL]])),
      ISNUMBER(SEARCH("Scroll",tblShipments[[#This Row],[ROSL]])),
      ISNUMBER(SEARCH("Y",tblShipments[[#This Row],[ROSL]]))),
   "Released",
   "Not Released")</f>
        <v>Released</v>
      </c>
      <c r="I108" t="str">
        <f>IF(OR(tblShipments[[#This Row],[EGM no]]="", tblShipments[[#This Row],[EGM no]]="N.A."), "Not Submitted", "Submitted")</f>
        <v>Submitted</v>
      </c>
      <c r="J108" t="str">
        <f>IF(LEFT(tblShipments[[#This Row],[Gateway_Extracted]],2)="IN","Valid","Invalid")</f>
        <v>Valid</v>
      </c>
      <c r="K108" t="s">
        <v>473</v>
      </c>
      <c r="L108" t="s">
        <v>481</v>
      </c>
      <c r="M108" t="s">
        <v>482</v>
      </c>
      <c r="N108" t="s">
        <v>483</v>
      </c>
      <c r="O108" t="str">
        <f>IFERROR("IN" &amp; _xlfn.TEXTBEFORE(_xlfn.TEXTAFTER(UPPER(tblShipments[[#This Row],[Gateway_clean]]),"IN")," ",1),"")</f>
        <v>INPAV1</v>
      </c>
      <c r="P108" t="str">
        <f>SUBSTITUTE(tblShipments[[#This Row],[Gateway]], CHAR(10), " ")</f>
        <v xml:space="preserve">AWB No. Gateway Port Gateway EGM No. Gateway EGM Date Gateway Site ID Error Code N.A.  INPAV1  132218  2017-07-26 00:00:00.0  INPAV1  S </v>
      </c>
      <c r="Q108" t="s">
        <v>456</v>
      </c>
    </row>
    <row r="109" spans="1:17" x14ac:dyDescent="0.35">
      <c r="A109" t="s">
        <v>8</v>
      </c>
      <c r="B109">
        <v>8290768</v>
      </c>
      <c r="C109" s="2" t="s">
        <v>479</v>
      </c>
      <c r="D109" s="2" t="str">
        <f>LEFT(TRIM(MID(SUBSTITUTE(tblShipments[[#This Row],[Details]],CHAR(10)," "), FIND(CHAR(10),tblShipments[[#This Row],[Details]])+1, 50)), 10)</f>
        <v>0517513668</v>
      </c>
      <c r="E109" t="s">
        <v>484</v>
      </c>
      <c r="F10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09" t="str">
        <f>IF(tblShipments[[#This Row],[EGM no]]="", "Missing EGM", "EGM Submitted")</f>
        <v>EGM Submitted</v>
      </c>
      <c r="H109" t="str">
        <f>IF(OR(ISNUMBER(SEARCH("Released",tblShipments[[#This Row],[ROSL]])),
      ISNUMBER(SEARCH("Scroll",tblShipments[[#This Row],[ROSL]])),
      ISNUMBER(SEARCH("Y",tblShipments[[#This Row],[ROSL]]))),
   "Released",
   "Not Released")</f>
        <v>Released</v>
      </c>
      <c r="I109" t="str">
        <f>IF(OR(tblShipments[[#This Row],[EGM no]]="", tblShipments[[#This Row],[EGM no]]="N.A."), "Not Submitted", "Submitted")</f>
        <v>Submitted</v>
      </c>
      <c r="J109" t="str">
        <f>IF(LEFT(tblShipments[[#This Row],[Gateway_Extracted]],2)="IN","Valid","Invalid")</f>
        <v>Valid</v>
      </c>
      <c r="K109" t="s">
        <v>473</v>
      </c>
      <c r="L109" t="s">
        <v>485</v>
      </c>
      <c r="M109" t="s">
        <v>486</v>
      </c>
      <c r="N109" t="s">
        <v>487</v>
      </c>
      <c r="O109" t="str">
        <f>IFERROR("IN" &amp; _xlfn.TEXTBEFORE(_xlfn.TEXTAFTER(UPPER(tblShipments[[#This Row],[Gateway_clean]]),"IN")," ",1),"")</f>
        <v>INPAV1</v>
      </c>
      <c r="P109" t="str">
        <f>SUBSTITUTE(tblShipments[[#This Row],[Gateway]], CHAR(10), " ")</f>
        <v xml:space="preserve">AWB No. Gateway Port Gateway EGM No. Gateway EGM Date Gateway Site ID Error Code N.A.  INPAV1  132218  2017-07-26 00:00:00.0  INPAV1  S </v>
      </c>
      <c r="Q109" t="s">
        <v>456</v>
      </c>
    </row>
    <row r="110" spans="1:17" x14ac:dyDescent="0.35">
      <c r="A110" t="s">
        <v>8</v>
      </c>
      <c r="B110">
        <v>8290787</v>
      </c>
      <c r="C110" s="2" t="s">
        <v>479</v>
      </c>
      <c r="D110" s="2" t="str">
        <f>LEFT(TRIM(MID(SUBSTITUTE(tblShipments[[#This Row],[Details]],CHAR(10)," "), FIND(CHAR(10),tblShipments[[#This Row],[Details]])+1, 50)), 10)</f>
        <v>0517513668</v>
      </c>
      <c r="E110" t="s">
        <v>488</v>
      </c>
      <c r="F11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0" t="str">
        <f>IF(tblShipments[[#This Row],[EGM no]]="", "Missing EGM", "EGM Submitted")</f>
        <v>EGM Submitted</v>
      </c>
      <c r="H110" t="str">
        <f>IF(OR(ISNUMBER(SEARCH("Released",tblShipments[[#This Row],[ROSL]])),
      ISNUMBER(SEARCH("Scroll",tblShipments[[#This Row],[ROSL]])),
      ISNUMBER(SEARCH("Y",tblShipments[[#This Row],[ROSL]]))),
   "Released",
   "Not Released")</f>
        <v>Released</v>
      </c>
      <c r="I110" t="str">
        <f>IF(OR(tblShipments[[#This Row],[EGM no]]="", tblShipments[[#This Row],[EGM no]]="N.A."), "Not Submitted", "Submitted")</f>
        <v>Submitted</v>
      </c>
      <c r="J110" t="str">
        <f>IF(LEFT(tblShipments[[#This Row],[Gateway_Extracted]],2)="IN","Valid","Invalid")</f>
        <v>Valid</v>
      </c>
      <c r="K110" t="s">
        <v>473</v>
      </c>
      <c r="L110" t="s">
        <v>485</v>
      </c>
      <c r="M110" t="s">
        <v>486</v>
      </c>
      <c r="N110" t="s">
        <v>487</v>
      </c>
      <c r="O110" t="str">
        <f>IFERROR("IN" &amp; _xlfn.TEXTBEFORE(_xlfn.TEXTAFTER(UPPER(tblShipments[[#This Row],[Gateway_clean]]),"IN")," ",1),"")</f>
        <v>INPAV1</v>
      </c>
      <c r="P110" t="str">
        <f>SUBSTITUTE(tblShipments[[#This Row],[Gateway]], CHAR(10), " ")</f>
        <v xml:space="preserve">AWB No. Gateway Port Gateway EGM No. Gateway EGM Date Gateway Site ID Error Code N.A.  INPAV1  132218  2017-07-26 00:00:00.0  INPAV1  S </v>
      </c>
      <c r="Q110" t="s">
        <v>456</v>
      </c>
    </row>
    <row r="111" spans="1:17" x14ac:dyDescent="0.35">
      <c r="A111" t="s">
        <v>8</v>
      </c>
      <c r="B111">
        <v>8304313</v>
      </c>
      <c r="C111" s="2" t="s">
        <v>489</v>
      </c>
      <c r="D111" s="2" t="str">
        <f>LEFT(TRIM(MID(SUBSTITUTE(tblShipments[[#This Row],[Details]],CHAR(10)," "), FIND(CHAR(10),tblShipments[[#This Row],[Details]])+1, 50)), 10)</f>
        <v>0505088681</v>
      </c>
      <c r="E111" t="s">
        <v>490</v>
      </c>
      <c r="F11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1" t="str">
        <f>IF(tblShipments[[#This Row],[EGM no]]="", "Missing EGM", "EGM Submitted")</f>
        <v>EGM Submitted</v>
      </c>
      <c r="H111" t="str">
        <f>IF(OR(ISNUMBER(SEARCH("Released",tblShipments[[#This Row],[ROSL]])),
      ISNUMBER(SEARCH("Scroll",tblShipments[[#This Row],[ROSL]])),
      ISNUMBER(SEARCH("Y",tblShipments[[#This Row],[ROSL]]))),
   "Released",
   "Not Released")</f>
        <v>Released</v>
      </c>
      <c r="I111" t="str">
        <f>IF(OR(tblShipments[[#This Row],[EGM no]]="", tblShipments[[#This Row],[EGM no]]="N.A."), "Not Submitted", "Submitted")</f>
        <v>Submitted</v>
      </c>
      <c r="J111" t="str">
        <f>IF(LEFT(tblShipments[[#This Row],[Gateway_Extracted]],2)="IN","Valid","Invalid")</f>
        <v>Valid</v>
      </c>
      <c r="K111" t="s">
        <v>382</v>
      </c>
      <c r="L111" t="s">
        <v>491</v>
      </c>
      <c r="M111" t="s">
        <v>13</v>
      </c>
      <c r="N111" t="s">
        <v>492</v>
      </c>
      <c r="O111" t="str">
        <f>IFERROR("IN" &amp; _xlfn.TEXTBEFORE(_xlfn.TEXTAFTER(UPPER(tblShipments[[#This Row],[Gateway_clean]]),"IN")," ",1),"")</f>
        <v>INMUN1</v>
      </c>
      <c r="P111" t="str">
        <f>SUBSTITUTE(tblShipments[[#This Row],[Gateway]], CHAR(10), " ")</f>
        <v xml:space="preserve">AWB No. Gateway Port Gateway EGM No. Gateway EGM Date Gateway Site ID Error Code N.A.  INMUN1  134406  2017-09-01 00:00:00.0  INMUN1  S </v>
      </c>
      <c r="Q111" t="s">
        <v>493</v>
      </c>
    </row>
    <row r="112" spans="1:17" x14ac:dyDescent="0.35">
      <c r="A112" t="s">
        <v>8</v>
      </c>
      <c r="B112">
        <v>8305029</v>
      </c>
      <c r="C112" s="2" t="s">
        <v>489</v>
      </c>
      <c r="D112" s="2" t="str">
        <f>LEFT(TRIM(MID(SUBSTITUTE(tblShipments[[#This Row],[Details]],CHAR(10)," "), FIND(CHAR(10),tblShipments[[#This Row],[Details]])+1, 50)), 10)</f>
        <v>0507062884</v>
      </c>
      <c r="E112" t="s">
        <v>494</v>
      </c>
      <c r="F11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2" t="str">
        <f>IF(tblShipments[[#This Row],[EGM no]]="", "Missing EGM", "EGM Submitted")</f>
        <v>EGM Submitted</v>
      </c>
      <c r="H112" t="str">
        <f>IF(OR(ISNUMBER(SEARCH("Released",tblShipments[[#This Row],[ROSL]])),
      ISNUMBER(SEARCH("Scroll",tblShipments[[#This Row],[ROSL]])),
      ISNUMBER(SEARCH("Y",tblShipments[[#This Row],[ROSL]]))),
   "Released",
   "Not Released")</f>
        <v>Released</v>
      </c>
      <c r="I112" t="str">
        <f>IF(OR(tblShipments[[#This Row],[EGM no]]="", tblShipments[[#This Row],[EGM no]]="N.A."), "Not Submitted", "Submitted")</f>
        <v>Submitted</v>
      </c>
      <c r="J112" t="str">
        <f>IF(LEFT(tblShipments[[#This Row],[Gateway_Extracted]],2)="IN","Valid","Invalid")</f>
        <v>Valid</v>
      </c>
      <c r="K112" t="s">
        <v>394</v>
      </c>
      <c r="L112" t="s">
        <v>495</v>
      </c>
      <c r="M112" t="s">
        <v>13</v>
      </c>
      <c r="N112" t="s">
        <v>496</v>
      </c>
      <c r="O112" t="str">
        <f>IFERROR("IN" &amp; _xlfn.TEXTBEFORE(_xlfn.TEXTAFTER(UPPER(tblShipments[[#This Row],[Gateway_clean]]),"IN")," ",1),"")</f>
        <v>INMUN1</v>
      </c>
      <c r="P112" t="str">
        <f>SUBSTITUTE(tblShipments[[#This Row],[Gateway]], CHAR(10), " ")</f>
        <v xml:space="preserve">AWB No. Gateway Port Gateway EGM No. Gateway EGM Date Gateway Site ID Error Code N.A.  INMUN1  134923  2017-09-12 00:00:00.0  INMUN1  S </v>
      </c>
      <c r="Q112" t="s">
        <v>497</v>
      </c>
    </row>
    <row r="113" spans="1:17" x14ac:dyDescent="0.35">
      <c r="A113" t="s">
        <v>8</v>
      </c>
      <c r="B113">
        <v>8322996</v>
      </c>
      <c r="C113" s="2" t="s">
        <v>498</v>
      </c>
      <c r="D113" s="2" t="str">
        <f>LEFT(TRIM(MID(SUBSTITUTE(tblShipments[[#This Row],[Details]],CHAR(10)," "), FIND(CHAR(10),tblShipments[[#This Row],[Details]])+1, 50)), 10)</f>
        <v>0509003061</v>
      </c>
      <c r="E113" t="s">
        <v>499</v>
      </c>
      <c r="F11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3" t="str">
        <f>IF(tblShipments[[#This Row],[EGM no]]="", "Missing EGM", "EGM Submitted")</f>
        <v>EGM Submitted</v>
      </c>
      <c r="H113" t="str">
        <f>IF(OR(ISNUMBER(SEARCH("Released",tblShipments[[#This Row],[ROSL]])),
      ISNUMBER(SEARCH("Scroll",tblShipments[[#This Row],[ROSL]])),
      ISNUMBER(SEARCH("Y",tblShipments[[#This Row],[ROSL]]))),
   "Released",
   "Not Released")</f>
        <v>Released</v>
      </c>
      <c r="I113" t="str">
        <f>IF(OR(tblShipments[[#This Row],[EGM no]]="", tblShipments[[#This Row],[EGM no]]="N.A."), "Not Submitted", "Submitted")</f>
        <v>Submitted</v>
      </c>
      <c r="J113" t="str">
        <f>IF(LEFT(tblShipments[[#This Row],[Gateway_Extracted]],2)="IN","Valid","Invalid")</f>
        <v>Valid</v>
      </c>
      <c r="K113" t="s">
        <v>394</v>
      </c>
      <c r="L113" t="s">
        <v>500</v>
      </c>
      <c r="M113" t="s">
        <v>13</v>
      </c>
      <c r="N113" t="s">
        <v>501</v>
      </c>
      <c r="O113" t="str">
        <f>IFERROR("IN" &amp; _xlfn.TEXTBEFORE(_xlfn.TEXTAFTER(UPPER(tblShipments[[#This Row],[Gateway_clean]]),"IN")," ",1),"")</f>
        <v>INMUN1</v>
      </c>
      <c r="P113" t="str">
        <f>SUBSTITUTE(tblShipments[[#This Row],[Gateway]], CHAR(10), " ")</f>
        <v xml:space="preserve">AWB No. Gateway Port Gateway EGM No. Gateway EGM Date Gateway Site ID Error Code N.A.  INMUN1  132131  2017-07-25 00:00:00.0  INMUN1  S </v>
      </c>
      <c r="Q113" t="s">
        <v>502</v>
      </c>
    </row>
    <row r="114" spans="1:17" x14ac:dyDescent="0.35">
      <c r="A114" t="s">
        <v>8</v>
      </c>
      <c r="B114">
        <v>8323127</v>
      </c>
      <c r="C114" s="2" t="s">
        <v>498</v>
      </c>
      <c r="D114" s="2" t="str">
        <f>LEFT(TRIM(MID(SUBSTITUTE(tblShipments[[#This Row],[Details]],CHAR(10)," "), FIND(CHAR(10),tblShipments[[#This Row],[Details]])+1, 50)), 10)</f>
        <v>2416910671</v>
      </c>
      <c r="E114" t="s">
        <v>503</v>
      </c>
      <c r="F11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4" t="str">
        <f>IF(tblShipments[[#This Row],[EGM no]]="", "Missing EGM", "EGM Submitted")</f>
        <v>EGM Submitted</v>
      </c>
      <c r="H114" t="str">
        <f>IF(OR(ISNUMBER(SEARCH("Released",tblShipments[[#This Row],[ROSL]])),
      ISNUMBER(SEARCH("Scroll",tblShipments[[#This Row],[ROSL]])),
      ISNUMBER(SEARCH("Y",tblShipments[[#This Row],[ROSL]]))),
   "Released",
   "Not Released")</f>
        <v>Released</v>
      </c>
      <c r="I114" t="str">
        <f>IF(OR(tblShipments[[#This Row],[EGM no]]="", tblShipments[[#This Row],[EGM no]]="N.A."), "Not Submitted", "Submitted")</f>
        <v>Submitted</v>
      </c>
      <c r="J114" t="str">
        <f>IF(LEFT(tblShipments[[#This Row],[Gateway_Extracted]],2)="IN","Valid","Invalid")</f>
        <v>Valid</v>
      </c>
      <c r="K114" t="s">
        <v>504</v>
      </c>
      <c r="L114" t="s">
        <v>505</v>
      </c>
      <c r="M114" t="s">
        <v>31</v>
      </c>
      <c r="N114" t="s">
        <v>506</v>
      </c>
      <c r="O114" t="str">
        <f>IFERROR("IN" &amp; _xlfn.TEXTBEFORE(_xlfn.TEXTAFTER(UPPER(tblShipments[[#This Row],[Gateway_clean]]),"IN")," ",1),"")</f>
        <v>INNSA1</v>
      </c>
      <c r="P114" t="str">
        <f>SUBSTITUTE(tblShipments[[#This Row],[Gateway]], CHAR(10), " ")</f>
        <v xml:space="preserve">AWB No. Gateway Port Gateway EGM No. Gateway EGM Date Gateway Site ID Error Code N.A.  INNSA1  133327  2017-08-16 00:00:00.0  INNSA1  S </v>
      </c>
      <c r="Q114" t="s">
        <v>507</v>
      </c>
    </row>
    <row r="115" spans="1:17" x14ac:dyDescent="0.35">
      <c r="A115" t="s">
        <v>8</v>
      </c>
      <c r="B115">
        <v>8325105</v>
      </c>
      <c r="C115" s="2" t="s">
        <v>498</v>
      </c>
      <c r="D115" s="2" t="str">
        <f>LEFT(TRIM(MID(SUBSTITUTE(tblShipments[[#This Row],[Details]],CHAR(10)," "), FIND(CHAR(10),tblShipments[[#This Row],[Details]])+1, 50)), 10)</f>
        <v>0595021255</v>
      </c>
      <c r="E115" t="s">
        <v>508</v>
      </c>
      <c r="F11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5" t="str">
        <f>IF(tblShipments[[#This Row],[EGM no]]="", "Missing EGM", "EGM Submitted")</f>
        <v>EGM Submitted</v>
      </c>
      <c r="H115" t="str">
        <f>IF(OR(ISNUMBER(SEARCH("Released",tblShipments[[#This Row],[ROSL]])),
      ISNUMBER(SEARCH("Scroll",tblShipments[[#This Row],[ROSL]])),
      ISNUMBER(SEARCH("Y",tblShipments[[#This Row],[ROSL]]))),
   "Released",
   "Not Released")</f>
        <v>Released</v>
      </c>
      <c r="I115" t="str">
        <f>IF(OR(tblShipments[[#This Row],[EGM no]]="", tblShipments[[#This Row],[EGM no]]="N.A."), "Not Submitted", "Submitted")</f>
        <v>Submitted</v>
      </c>
      <c r="J115" t="str">
        <f>IF(LEFT(tblShipments[[#This Row],[Gateway_Extracted]],2)="IN","Valid","Invalid")</f>
        <v>Valid</v>
      </c>
      <c r="K115" t="s">
        <v>509</v>
      </c>
      <c r="L115" t="s">
        <v>510</v>
      </c>
      <c r="M115" t="s">
        <v>13</v>
      </c>
      <c r="N115" t="s">
        <v>511</v>
      </c>
      <c r="O115" t="str">
        <f>IFERROR("IN" &amp; _xlfn.TEXTBEFORE(_xlfn.TEXTAFTER(UPPER(tblShipments[[#This Row],[Gateway_clean]]),"IN")," ",1),"")</f>
        <v>INNSA1</v>
      </c>
      <c r="P115" t="str">
        <f>SUBSTITUTE(tblShipments[[#This Row],[Gateway]], CHAR(10), " ")</f>
        <v xml:space="preserve">AWB No. Gateway Port Gateway EGM No. Gateway EGM Date Gateway Site ID Error Code N.A.  INNSA1  135507  2017-09-21 00:00:00.0  INNSA1  S </v>
      </c>
      <c r="Q115" t="s">
        <v>512</v>
      </c>
    </row>
    <row r="116" spans="1:17" x14ac:dyDescent="0.35">
      <c r="A116" t="s">
        <v>8</v>
      </c>
      <c r="B116">
        <v>8338701</v>
      </c>
      <c r="C116" s="2" t="s">
        <v>498</v>
      </c>
      <c r="D116" s="2" t="str">
        <f>LEFT(TRIM(MID(SUBSTITUTE(tblShipments[[#This Row],[Details]],CHAR(10)," "), FIND(CHAR(10),tblShipments[[#This Row],[Details]])+1, 50)), 10)</f>
        <v>1308012381</v>
      </c>
      <c r="E116" t="s">
        <v>513</v>
      </c>
      <c r="F11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6" t="str">
        <f>IF(tblShipments[[#This Row],[EGM no]]="", "Missing EGM", "EGM Submitted")</f>
        <v>EGM Submitted</v>
      </c>
      <c r="H116" t="str">
        <f>IF(OR(ISNUMBER(SEARCH("Released",tblShipments[[#This Row],[ROSL]])),
      ISNUMBER(SEARCH("Scroll",tblShipments[[#This Row],[ROSL]])),
      ISNUMBER(SEARCH("Y",tblShipments[[#This Row],[ROSL]]))),
   "Released",
   "Not Released")</f>
        <v>Released</v>
      </c>
      <c r="I116" t="str">
        <f>IF(OR(tblShipments[[#This Row],[EGM no]]="", tblShipments[[#This Row],[EGM no]]="N.A."), "Not Submitted", "Submitted")</f>
        <v>Submitted</v>
      </c>
      <c r="J116" t="str">
        <f>IF(LEFT(tblShipments[[#This Row],[Gateway_Extracted]],2)="IN","Valid","Invalid")</f>
        <v>Valid</v>
      </c>
      <c r="K116" t="s">
        <v>382</v>
      </c>
      <c r="L116" t="s">
        <v>514</v>
      </c>
      <c r="M116" t="s">
        <v>13</v>
      </c>
      <c r="N116" t="s">
        <v>515</v>
      </c>
      <c r="O116" t="str">
        <f>IFERROR("IN" &amp; _xlfn.TEXTBEFORE(_xlfn.TEXTAFTER(UPPER(tblShipments[[#This Row],[Gateway_clean]]),"IN")," ",1),"")</f>
        <v>INPAV1</v>
      </c>
      <c r="P116" t="str">
        <f>SUBSTITUTE(tblShipments[[#This Row],[Gateway]], CHAR(10), " ")</f>
        <v xml:space="preserve">AWB No. Gateway Port Gateway EGM No. Gateway EGM Date Gateway Site ID Error Code N.A.  INPAV1  134495  2017-09-04 00:00:00.0  INPAV1  S </v>
      </c>
      <c r="Q116" t="s">
        <v>516</v>
      </c>
    </row>
    <row r="117" spans="1:17" x14ac:dyDescent="0.35">
      <c r="A117" t="s">
        <v>8</v>
      </c>
      <c r="B117">
        <v>8338807</v>
      </c>
      <c r="C117" s="2" t="s">
        <v>498</v>
      </c>
      <c r="D117" s="2" t="str">
        <f>LEFT(TRIM(MID(SUBSTITUTE(tblShipments[[#This Row],[Details]],CHAR(10)," "), FIND(CHAR(10),tblShipments[[#This Row],[Details]])+1, 50)), 10)</f>
        <v>0516954725</v>
      </c>
      <c r="E117" t="s">
        <v>517</v>
      </c>
      <c r="F11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7" t="str">
        <f>IF(tblShipments[[#This Row],[EGM no]]="", "Missing EGM", "EGM Submitted")</f>
        <v>EGM Submitted</v>
      </c>
      <c r="H117" t="str">
        <f>IF(OR(ISNUMBER(SEARCH("Released",tblShipments[[#This Row],[ROSL]])),
      ISNUMBER(SEARCH("Scroll",tblShipments[[#This Row],[ROSL]])),
      ISNUMBER(SEARCH("Y",tblShipments[[#This Row],[ROSL]]))),
   "Released",
   "Not Released")</f>
        <v>Released</v>
      </c>
      <c r="I117" t="str">
        <f>IF(OR(tblShipments[[#This Row],[EGM no]]="", tblShipments[[#This Row],[EGM no]]="N.A."), "Not Submitted", "Submitted")</f>
        <v>Submitted</v>
      </c>
      <c r="J117" t="str">
        <f>IF(LEFT(tblShipments[[#This Row],[Gateway_Extracted]],2)="IN","Valid","Invalid")</f>
        <v>Valid</v>
      </c>
      <c r="K117" t="s">
        <v>518</v>
      </c>
      <c r="L117" t="s">
        <v>519</v>
      </c>
      <c r="M117" t="s">
        <v>31</v>
      </c>
      <c r="N117" t="s">
        <v>520</v>
      </c>
      <c r="O117" t="str">
        <f>IFERROR("IN" &amp; _xlfn.TEXTBEFORE(_xlfn.TEXTAFTER(UPPER(tblShipments[[#This Row],[Gateway_clean]]),"IN")," ",1),"")</f>
        <v>INMUN1</v>
      </c>
      <c r="P117" t="str">
        <f>SUBSTITUTE(tblShipments[[#This Row],[Gateway]], CHAR(10), " ")</f>
        <v xml:space="preserve">AWB No. Gateway Port Gateway EGM No. Gateway EGM Date Gateway Site ID Error Code N.A.  INMUN1  134870  2017-09-11 00:00:00.0  INMUN1  S </v>
      </c>
      <c r="Q117" t="s">
        <v>521</v>
      </c>
    </row>
    <row r="118" spans="1:17" x14ac:dyDescent="0.35">
      <c r="A118" t="s">
        <v>8</v>
      </c>
      <c r="B118">
        <v>8338839</v>
      </c>
      <c r="C118" s="2" t="s">
        <v>498</v>
      </c>
      <c r="D118" s="2" t="str">
        <f>LEFT(TRIM(MID(SUBSTITUTE(tblShipments[[#This Row],[Details]],CHAR(10)," "), FIND(CHAR(10),tblShipments[[#This Row],[Details]])+1, 50)), 10)</f>
        <v>0592023052</v>
      </c>
      <c r="E118" t="s">
        <v>522</v>
      </c>
      <c r="F11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8" t="str">
        <f>IF(tblShipments[[#This Row],[EGM no]]="", "Missing EGM", "EGM Submitted")</f>
        <v>EGM Submitted</v>
      </c>
      <c r="H118" t="str">
        <f>IF(OR(ISNUMBER(SEARCH("Released",tblShipments[[#This Row],[ROSL]])),
      ISNUMBER(SEARCH("Scroll",tblShipments[[#This Row],[ROSL]])),
      ISNUMBER(SEARCH("Y",tblShipments[[#This Row],[ROSL]]))),
   "Released",
   "Not Released")</f>
        <v>Released</v>
      </c>
      <c r="I118" t="str">
        <f>IF(OR(tblShipments[[#This Row],[EGM no]]="", tblShipments[[#This Row],[EGM no]]="N.A."), "Not Submitted", "Submitted")</f>
        <v>Submitted</v>
      </c>
      <c r="J118" t="str">
        <f>IF(LEFT(tblShipments[[#This Row],[Gateway_Extracted]],2)="IN","Valid","Invalid")</f>
        <v>Valid</v>
      </c>
      <c r="K118" t="s">
        <v>523</v>
      </c>
      <c r="L118" t="s">
        <v>524</v>
      </c>
      <c r="M118" t="s">
        <v>13</v>
      </c>
      <c r="N118" t="s">
        <v>525</v>
      </c>
      <c r="O118" t="str">
        <f>IFERROR("IN" &amp; _xlfn.TEXTBEFORE(_xlfn.TEXTAFTER(UPPER(tblShipments[[#This Row],[Gateway_clean]]),"IN")," ",1),"")</f>
        <v>INPAV1</v>
      </c>
      <c r="P118" t="str">
        <f>SUBSTITUTE(tblShipments[[#This Row],[Gateway]], CHAR(10), " ")</f>
        <v xml:space="preserve">AWB No. Gateway Port Gateway EGM No. Gateway EGM Date Gateway Site ID Error Code N.A.  INPAV1  134667  2017-09-07 00:00:00.0  INMAA1  MC </v>
      </c>
      <c r="Q118" t="s">
        <v>526</v>
      </c>
    </row>
    <row r="119" spans="1:17" x14ac:dyDescent="0.35">
      <c r="A119" t="s">
        <v>8</v>
      </c>
      <c r="B119">
        <v>8340706</v>
      </c>
      <c r="C119" s="2" t="s">
        <v>498</v>
      </c>
      <c r="D119" s="2" t="str">
        <f>LEFT(TRIM(MID(SUBSTITUTE(tblShipments[[#This Row],[Details]],CHAR(10)," "), FIND(CHAR(10),tblShipments[[#This Row],[Details]])+1, 50)), 10)</f>
        <v>0507081668</v>
      </c>
      <c r="E119" t="s">
        <v>527</v>
      </c>
      <c r="F11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19" t="str">
        <f>IF(tblShipments[[#This Row],[EGM no]]="", "Missing EGM", "EGM Submitted")</f>
        <v>EGM Submitted</v>
      </c>
      <c r="H119" t="str">
        <f>IF(OR(ISNUMBER(SEARCH("Released",tblShipments[[#This Row],[ROSL]])),
      ISNUMBER(SEARCH("Scroll",tblShipments[[#This Row],[ROSL]])),
      ISNUMBER(SEARCH("Y",tblShipments[[#This Row],[ROSL]]))),
   "Released",
   "Not Released")</f>
        <v>Released</v>
      </c>
      <c r="I119" t="str">
        <f>IF(OR(tblShipments[[#This Row],[EGM no]]="", tblShipments[[#This Row],[EGM no]]="N.A."), "Not Submitted", "Submitted")</f>
        <v>Submitted</v>
      </c>
      <c r="J119" t="str">
        <f>IF(LEFT(tblShipments[[#This Row],[Gateway_Extracted]],2)="IN","Valid","Invalid")</f>
        <v>Valid</v>
      </c>
      <c r="K119" t="s">
        <v>528</v>
      </c>
      <c r="L119" t="s">
        <v>529</v>
      </c>
      <c r="M119" t="s">
        <v>13</v>
      </c>
      <c r="N119" t="s">
        <v>530</v>
      </c>
      <c r="O119" t="str">
        <f>IFERROR("IN" &amp; _xlfn.TEXTBEFORE(_xlfn.TEXTAFTER(UPPER(tblShipments[[#This Row],[Gateway_clean]]),"IN")," ",1),"")</f>
        <v>INNSA1</v>
      </c>
      <c r="P119" t="str">
        <f>SUBSTITUTE(tblShipments[[#This Row],[Gateway]], CHAR(10), " ")</f>
        <v xml:space="preserve">AWB No. Gateway Port Gateway EGM No. Gateway EGM Date Gateway Site ID Error Code N.A.  INNSA1  137304  2017-10-23 00:00:00.0  INNSA1  S </v>
      </c>
      <c r="Q119" t="s">
        <v>531</v>
      </c>
    </row>
    <row r="120" spans="1:17" x14ac:dyDescent="0.35">
      <c r="A120" t="s">
        <v>8</v>
      </c>
      <c r="B120">
        <v>8348694</v>
      </c>
      <c r="C120" s="2" t="s">
        <v>532</v>
      </c>
      <c r="D120" s="2" t="str">
        <f>LEFT(TRIM(MID(SUBSTITUTE(tblShipments[[#This Row],[Details]],CHAR(10)," "), FIND(CHAR(10),tblShipments[[#This Row],[Details]])+1, 50)), 10)</f>
        <v>0595012647</v>
      </c>
      <c r="E120" t="s">
        <v>533</v>
      </c>
      <c r="F12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0" t="str">
        <f>IF(tblShipments[[#This Row],[EGM no]]="", "Missing EGM", "EGM Submitted")</f>
        <v>EGM Submitted</v>
      </c>
      <c r="H120" t="str">
        <f>IF(OR(ISNUMBER(SEARCH("Released",tblShipments[[#This Row],[ROSL]])),
      ISNUMBER(SEARCH("Scroll",tblShipments[[#This Row],[ROSL]])),
      ISNUMBER(SEARCH("Y",tblShipments[[#This Row],[ROSL]]))),
   "Released",
   "Not Released")</f>
        <v>Released</v>
      </c>
      <c r="I120" t="str">
        <f>IF(OR(tblShipments[[#This Row],[EGM no]]="", tblShipments[[#This Row],[EGM no]]="N.A."), "Not Submitted", "Submitted")</f>
        <v>Submitted</v>
      </c>
      <c r="J120" t="str">
        <f>IF(LEFT(tblShipments[[#This Row],[Gateway_Extracted]],2)="IN","Valid","Invalid")</f>
        <v>Valid</v>
      </c>
      <c r="K120" t="s">
        <v>534</v>
      </c>
      <c r="L120" t="s">
        <v>535</v>
      </c>
      <c r="M120" t="s">
        <v>13</v>
      </c>
      <c r="N120" t="s">
        <v>536</v>
      </c>
      <c r="O120" t="str">
        <f>IFERROR("IN" &amp; _xlfn.TEXTBEFORE(_xlfn.TEXTAFTER(UPPER(tblShipments[[#This Row],[Gateway_clean]]),"IN")," ",1),"")</f>
        <v>INMUN1</v>
      </c>
      <c r="P120" t="str">
        <f>SUBSTITUTE(tblShipments[[#This Row],[Gateway]], CHAR(10), " ")</f>
        <v xml:space="preserve">AWB No. Gateway Port Gateway EGM No. Gateway EGM Date Gateway Site ID Error Code N.A.  INMUN1  134209  2017-08-30 00:00:00.0  INMUN1  S </v>
      </c>
      <c r="Q120" t="s">
        <v>385</v>
      </c>
    </row>
    <row r="121" spans="1:17" x14ac:dyDescent="0.35">
      <c r="A121" t="s">
        <v>8</v>
      </c>
      <c r="B121">
        <v>8361009</v>
      </c>
      <c r="C121" s="2" t="s">
        <v>532</v>
      </c>
      <c r="D121" s="2" t="str">
        <f>LEFT(TRIM(MID(SUBSTITUTE(tblShipments[[#This Row],[Details]],CHAR(10)," "), FIND(CHAR(10),tblShipments[[#This Row],[Details]])+1, 50)), 10)</f>
        <v>0500075158</v>
      </c>
      <c r="E121" t="s">
        <v>537</v>
      </c>
      <c r="F12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1" t="str">
        <f>IF(tblShipments[[#This Row],[EGM no]]="", "Missing EGM", "EGM Submitted")</f>
        <v>EGM Submitted</v>
      </c>
      <c r="H121" t="str">
        <f>IF(OR(ISNUMBER(SEARCH("Released",tblShipments[[#This Row],[ROSL]])),
      ISNUMBER(SEARCH("Scroll",tblShipments[[#This Row],[ROSL]])),
      ISNUMBER(SEARCH("Y",tblShipments[[#This Row],[ROSL]]))),
   "Released",
   "Not Released")</f>
        <v>Released</v>
      </c>
      <c r="I121" t="str">
        <f>IF(OR(tblShipments[[#This Row],[EGM no]]="", tblShipments[[#This Row],[EGM no]]="N.A."), "Not Submitted", "Submitted")</f>
        <v>Submitted</v>
      </c>
      <c r="J121" t="str">
        <f>IF(LEFT(tblShipments[[#This Row],[Gateway_Extracted]],2)="IN","Valid","Invalid")</f>
        <v>Valid</v>
      </c>
      <c r="K121" t="s">
        <v>394</v>
      </c>
      <c r="L121" t="s">
        <v>500</v>
      </c>
      <c r="M121" t="s">
        <v>538</v>
      </c>
      <c r="N121" t="s">
        <v>539</v>
      </c>
      <c r="O121" t="str">
        <f>IFERROR("IN" &amp; _xlfn.TEXTBEFORE(_xlfn.TEXTAFTER(UPPER(tblShipments[[#This Row],[Gateway_clean]]),"IN")," ",1),"")</f>
        <v>INMUN1</v>
      </c>
      <c r="P121" t="str">
        <f>SUBSTITUTE(tblShipments[[#This Row],[Gateway]], CHAR(10), " ")</f>
        <v xml:space="preserve">AWB No. Gateway Port Gateway EGM No. Gateway EGM Date Gateway Site ID Error Code N.A.  INMUN1  132131  2017-07-25 00:00:00.0  INMUN1  S </v>
      </c>
      <c r="Q121" t="s">
        <v>502</v>
      </c>
    </row>
    <row r="122" spans="1:17" x14ac:dyDescent="0.35">
      <c r="A122" t="s">
        <v>8</v>
      </c>
      <c r="B122">
        <v>8371290</v>
      </c>
      <c r="C122" s="2" t="s">
        <v>532</v>
      </c>
      <c r="D122" s="2" t="str">
        <f>LEFT(TRIM(MID(SUBSTITUTE(tblShipments[[#This Row],[Details]],CHAR(10)," "), FIND(CHAR(10),tblShipments[[#This Row],[Details]])+1, 50)), 10)</f>
        <v>0508073324</v>
      </c>
      <c r="E122" t="s">
        <v>540</v>
      </c>
      <c r="F12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2" t="str">
        <f>IF(tblShipments[[#This Row],[EGM no]]="", "Missing EGM", "EGM Submitted")</f>
        <v>EGM Submitted</v>
      </c>
      <c r="H122" t="str">
        <f>IF(OR(ISNUMBER(SEARCH("Released",tblShipments[[#This Row],[ROSL]])),
      ISNUMBER(SEARCH("Scroll",tblShipments[[#This Row],[ROSL]])),
      ISNUMBER(SEARCH("Y",tblShipments[[#This Row],[ROSL]]))),
   "Released",
   "Not Released")</f>
        <v>Released</v>
      </c>
      <c r="I122" t="str">
        <f>IF(OR(tblShipments[[#This Row],[EGM no]]="", tblShipments[[#This Row],[EGM no]]="N.A."), "Not Submitted", "Submitted")</f>
        <v>Submitted</v>
      </c>
      <c r="J122" t="str">
        <f>IF(LEFT(tblShipments[[#This Row],[Gateway_Extracted]],2)="IN","Valid","Invalid")</f>
        <v>Valid</v>
      </c>
      <c r="K122" t="s">
        <v>394</v>
      </c>
      <c r="L122" t="s">
        <v>541</v>
      </c>
      <c r="M122" t="s">
        <v>13</v>
      </c>
      <c r="N122" t="s">
        <v>542</v>
      </c>
      <c r="O122" t="str">
        <f>IFERROR("IN" &amp; _xlfn.TEXTBEFORE(_xlfn.TEXTAFTER(UPPER(tblShipments[[#This Row],[Gateway_clean]]),"IN")," ",1),"")</f>
        <v>INNSA1</v>
      </c>
      <c r="P122" t="str">
        <f>SUBSTITUTE(tblShipments[[#This Row],[Gateway]], CHAR(10), " ")</f>
        <v xml:space="preserve">AWB No. Gateway Port Gateway EGM No. Gateway EGM Date Gateway Site ID Error Code N.A.  INNSA1  134500  2017-09-04 00:00:00.0  INNSA1  STC </v>
      </c>
      <c r="Q122" t="s">
        <v>543</v>
      </c>
    </row>
    <row r="123" spans="1:17" x14ac:dyDescent="0.35">
      <c r="A123" t="s">
        <v>8</v>
      </c>
      <c r="B123">
        <v>8375057</v>
      </c>
      <c r="C123" s="2" t="s">
        <v>532</v>
      </c>
      <c r="D123" s="2" t="str">
        <f>LEFT(TRIM(MID(SUBSTITUTE(tblShipments[[#This Row],[Details]],CHAR(10)," "), FIND(CHAR(10),tblShipments[[#This Row],[Details]])+1, 50)), 10)</f>
        <v>0506035182</v>
      </c>
      <c r="E123" t="s">
        <v>544</v>
      </c>
      <c r="F12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3" t="str">
        <f>IF(tblShipments[[#This Row],[EGM no]]="", "Missing EGM", "EGM Submitted")</f>
        <v>EGM Submitted</v>
      </c>
      <c r="H123" t="str">
        <f>IF(OR(ISNUMBER(SEARCH("Released",tblShipments[[#This Row],[ROSL]])),
      ISNUMBER(SEARCH("Scroll",tblShipments[[#This Row],[ROSL]])),
      ISNUMBER(SEARCH("Y",tblShipments[[#This Row],[ROSL]]))),
   "Released",
   "Not Released")</f>
        <v>Released</v>
      </c>
      <c r="I123" t="str">
        <f>IF(OR(tblShipments[[#This Row],[EGM no]]="", tblShipments[[#This Row],[EGM no]]="N.A."), "Not Submitted", "Submitted")</f>
        <v>Submitted</v>
      </c>
      <c r="J123" t="str">
        <f>IF(LEFT(tblShipments[[#This Row],[Gateway_Extracted]],2)="IN","Valid","Invalid")</f>
        <v>Valid</v>
      </c>
      <c r="K123" t="s">
        <v>545</v>
      </c>
      <c r="L123" t="s">
        <v>546</v>
      </c>
      <c r="M123" t="s">
        <v>13</v>
      </c>
      <c r="N123" t="s">
        <v>547</v>
      </c>
      <c r="O123" t="str">
        <f>IFERROR("IN" &amp; _xlfn.TEXTBEFORE(_xlfn.TEXTAFTER(UPPER(tblShipments[[#This Row],[Gateway_clean]]),"IN")," ",1),"")</f>
        <v>INMUN1</v>
      </c>
      <c r="P123" t="str">
        <f>SUBSTITUTE(tblShipments[[#This Row],[Gateway]], CHAR(10), " ")</f>
        <v xml:space="preserve">AWB No. Gateway Port Gateway EGM No. Gateway EGM Date Gateway Site ID Error Code N.A.  INMUN1  N.A.  N.A.  N.A.  N.A. </v>
      </c>
      <c r="Q123" t="s">
        <v>244</v>
      </c>
    </row>
    <row r="124" spans="1:17" x14ac:dyDescent="0.35">
      <c r="A124" t="s">
        <v>8</v>
      </c>
      <c r="B124">
        <v>8395136</v>
      </c>
      <c r="C124" s="2" t="s">
        <v>548</v>
      </c>
      <c r="D124" s="2" t="str">
        <f>LEFT(TRIM(MID(SUBSTITUTE(tblShipments[[#This Row],[Details]],CHAR(10)," "), FIND(CHAR(10),tblShipments[[#This Row],[Details]])+1, 50)), 10)</f>
        <v>0597069948</v>
      </c>
      <c r="E124" t="s">
        <v>549</v>
      </c>
      <c r="F12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4" t="str">
        <f>IF(tblShipments[[#This Row],[EGM no]]="", "Missing EGM", "EGM Submitted")</f>
        <v>EGM Submitted</v>
      </c>
      <c r="H124" t="str">
        <f>IF(OR(ISNUMBER(SEARCH("Released",tblShipments[[#This Row],[ROSL]])),
      ISNUMBER(SEARCH("Scroll",tblShipments[[#This Row],[ROSL]])),
      ISNUMBER(SEARCH("Y",tblShipments[[#This Row],[ROSL]]))),
   "Released",
   "Not Released")</f>
        <v>Released</v>
      </c>
      <c r="I124" t="str">
        <f>IF(OR(tblShipments[[#This Row],[EGM no]]="", tblShipments[[#This Row],[EGM no]]="N.A."), "Not Submitted", "Submitted")</f>
        <v>Submitted</v>
      </c>
      <c r="J124" t="str">
        <f>IF(LEFT(tblShipments[[#This Row],[Gateway_Extracted]],2)="IN","Valid","Invalid")</f>
        <v>Valid</v>
      </c>
      <c r="K124" t="s">
        <v>518</v>
      </c>
      <c r="L124" t="s">
        <v>550</v>
      </c>
      <c r="M124" t="s">
        <v>13</v>
      </c>
      <c r="N124" t="s">
        <v>551</v>
      </c>
      <c r="O124" t="str">
        <f>IFERROR("IN" &amp; _xlfn.TEXTBEFORE(_xlfn.TEXTAFTER(UPPER(tblShipments[[#This Row],[Gateway_clean]]),"IN")," ",1),"")</f>
        <v>INMUN1</v>
      </c>
      <c r="P124" t="str">
        <f>SUBSTITUTE(tblShipments[[#This Row],[Gateway]], CHAR(10), " ")</f>
        <v xml:space="preserve">AWB No. Gateway Port Gateway EGM No. Gateway EGM Date Gateway Site ID Error Code N.A.  INMUN1  133179  2017-08-11 00:00:00.0  INMUN1  S </v>
      </c>
      <c r="Q124" t="s">
        <v>552</v>
      </c>
    </row>
    <row r="125" spans="1:17" x14ac:dyDescent="0.35">
      <c r="A125" t="s">
        <v>8</v>
      </c>
      <c r="B125">
        <v>8395644</v>
      </c>
      <c r="C125" s="2" t="s">
        <v>548</v>
      </c>
      <c r="D125" s="2" t="str">
        <f>LEFT(TRIM(MID(SUBSTITUTE(tblShipments[[#This Row],[Details]],CHAR(10)," "), FIND(CHAR(10),tblShipments[[#This Row],[Details]])+1, 50)), 10)</f>
        <v>1308012381</v>
      </c>
      <c r="E125" t="s">
        <v>553</v>
      </c>
      <c r="F12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5" t="str">
        <f>IF(tblShipments[[#This Row],[EGM no]]="", "Missing EGM", "EGM Submitted")</f>
        <v>EGM Submitted</v>
      </c>
      <c r="H125" t="str">
        <f>IF(OR(ISNUMBER(SEARCH("Released",tblShipments[[#This Row],[ROSL]])),
      ISNUMBER(SEARCH("Scroll",tblShipments[[#This Row],[ROSL]])),
      ISNUMBER(SEARCH("Y",tblShipments[[#This Row],[ROSL]]))),
   "Released",
   "Not Released")</f>
        <v>Released</v>
      </c>
      <c r="I125" t="str">
        <f>IF(OR(tblShipments[[#This Row],[EGM no]]="", tblShipments[[#This Row],[EGM no]]="N.A."), "Not Submitted", "Submitted")</f>
        <v>Submitted</v>
      </c>
      <c r="J125" t="str">
        <f>IF(LEFT(tblShipments[[#This Row],[Gateway_Extracted]],2)="IN","Valid","Invalid")</f>
        <v>Valid</v>
      </c>
      <c r="K125" t="s">
        <v>528</v>
      </c>
      <c r="L125" t="s">
        <v>554</v>
      </c>
      <c r="M125" t="s">
        <v>13</v>
      </c>
      <c r="N125" t="s">
        <v>555</v>
      </c>
      <c r="O125" t="str">
        <f>IFERROR("IN" &amp; _xlfn.TEXTBEFORE(_xlfn.TEXTAFTER(UPPER(tblShipments[[#This Row],[Gateway_clean]]),"IN")," ",1),"")</f>
        <v>INMUN1</v>
      </c>
      <c r="P125" t="str">
        <f>SUBSTITUTE(tblShipments[[#This Row],[Gateway]], CHAR(10), " ")</f>
        <v xml:space="preserve">AWB No. Gateway Port Gateway EGM No. Gateway EGM Date Gateway Site ID Error Code N.A.  INMUN1  137035  2017-10-16 00:00:00.0  INMUN1  S </v>
      </c>
      <c r="Q125" t="s">
        <v>556</v>
      </c>
    </row>
    <row r="126" spans="1:17" x14ac:dyDescent="0.35">
      <c r="A126" t="s">
        <v>8</v>
      </c>
      <c r="B126">
        <v>8398137</v>
      </c>
      <c r="C126" s="2" t="s">
        <v>548</v>
      </c>
      <c r="D126" s="2" t="str">
        <f>LEFT(TRIM(MID(SUBSTITUTE(tblShipments[[#This Row],[Details]],CHAR(10)," "), FIND(CHAR(10),tblShipments[[#This Row],[Details]])+1, 50)), 10)</f>
        <v>0509056105</v>
      </c>
      <c r="E126" t="s">
        <v>557</v>
      </c>
      <c r="F12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6" t="str">
        <f>IF(tblShipments[[#This Row],[EGM no]]="", "Missing EGM", "EGM Submitted")</f>
        <v>EGM Submitted</v>
      </c>
      <c r="H126" t="str">
        <f>IF(OR(ISNUMBER(SEARCH("Released",tblShipments[[#This Row],[ROSL]])),
      ISNUMBER(SEARCH("Scroll",tblShipments[[#This Row],[ROSL]])),
      ISNUMBER(SEARCH("Y",tblShipments[[#This Row],[ROSL]]))),
   "Released",
   "Not Released")</f>
        <v>Released</v>
      </c>
      <c r="I126" t="str">
        <f>IF(OR(tblShipments[[#This Row],[EGM no]]="", tblShipments[[#This Row],[EGM no]]="N.A."), "Not Submitted", "Submitted")</f>
        <v>Submitted</v>
      </c>
      <c r="J126" t="str">
        <f>IF(LEFT(tblShipments[[#This Row],[Gateway_Extracted]],2)="IN","Valid","Invalid")</f>
        <v>Valid</v>
      </c>
      <c r="K126" t="s">
        <v>545</v>
      </c>
      <c r="L126" t="s">
        <v>558</v>
      </c>
      <c r="M126" t="s">
        <v>13</v>
      </c>
      <c r="N126" t="s">
        <v>559</v>
      </c>
      <c r="O126" t="str">
        <f>IFERROR("IN" &amp; _xlfn.TEXTBEFORE(_xlfn.TEXTAFTER(UPPER(tblShipments[[#This Row],[Gateway_clean]]),"IN")," ",1),"")</f>
        <v>INNSA1</v>
      </c>
      <c r="P126" t="str">
        <f>SUBSTITUTE(tblShipments[[#This Row],[Gateway]], CHAR(10), " ")</f>
        <v xml:space="preserve">AWB No. Gateway Port Gateway EGM No. Gateway EGM Date Gateway Site ID Error Code N.A.  INNSA1  N.A.  N.A.  N.A.  N.A. </v>
      </c>
      <c r="Q126" t="s">
        <v>26</v>
      </c>
    </row>
    <row r="127" spans="1:17" x14ac:dyDescent="0.35">
      <c r="A127" t="s">
        <v>8</v>
      </c>
      <c r="B127">
        <v>8411392</v>
      </c>
      <c r="C127" s="2" t="s">
        <v>560</v>
      </c>
      <c r="D127" s="2" t="str">
        <f>LEFT(TRIM(MID(SUBSTITUTE(tblShipments[[#This Row],[Details]],CHAR(10)," "), FIND(CHAR(10),tblShipments[[#This Row],[Details]])+1, 50)), 10)</f>
        <v>0512072388</v>
      </c>
      <c r="E127" t="s">
        <v>561</v>
      </c>
      <c r="F12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7" t="str">
        <f>IF(tblShipments[[#This Row],[EGM no]]="", "Missing EGM", "EGM Submitted")</f>
        <v>EGM Submitted</v>
      </c>
      <c r="H127" t="str">
        <f>IF(OR(ISNUMBER(SEARCH("Released",tblShipments[[#This Row],[ROSL]])),
      ISNUMBER(SEARCH("Scroll",tblShipments[[#This Row],[ROSL]])),
      ISNUMBER(SEARCH("Y",tblShipments[[#This Row],[ROSL]]))),
   "Released",
   "Not Released")</f>
        <v>Released</v>
      </c>
      <c r="I127" t="str">
        <f>IF(OR(tblShipments[[#This Row],[EGM no]]="", tblShipments[[#This Row],[EGM no]]="N.A."), "Not Submitted", "Submitted")</f>
        <v>Submitted</v>
      </c>
      <c r="J127" t="str">
        <f>IF(LEFT(tblShipments[[#This Row],[Gateway_Extracted]],2)="IN","Valid","Invalid")</f>
        <v>Valid</v>
      </c>
      <c r="K127" t="s">
        <v>562</v>
      </c>
      <c r="L127" t="s">
        <v>563</v>
      </c>
      <c r="M127" t="s">
        <v>31</v>
      </c>
      <c r="N127" t="s">
        <v>564</v>
      </c>
      <c r="O127" t="str">
        <f>IFERROR("IN" &amp; _xlfn.TEXTBEFORE(_xlfn.TEXTAFTER(UPPER(tblShipments[[#This Row],[Gateway_clean]]),"IN")," ",1),"")</f>
        <v>INNSA1</v>
      </c>
      <c r="P127" t="str">
        <f>SUBSTITUTE(tblShipments[[#This Row],[Gateway]], CHAR(10), " ")</f>
        <v xml:space="preserve">AWB No. Gateway Port Gateway EGM No. Gateway EGM Date Gateway Site ID Error Code N.A.  INNSA1  N.A.  N.A.  N.A.  N.A. </v>
      </c>
      <c r="Q127" t="s">
        <v>26</v>
      </c>
    </row>
    <row r="128" spans="1:17" x14ac:dyDescent="0.35">
      <c r="A128" t="s">
        <v>8</v>
      </c>
      <c r="B128">
        <v>8424214</v>
      </c>
      <c r="C128" s="2" t="s">
        <v>565</v>
      </c>
      <c r="D128" s="2" t="str">
        <f>LEFT(TRIM(MID(SUBSTITUTE(tblShipments[[#This Row],[Details]],CHAR(10)," "), FIND(CHAR(10),tblShipments[[#This Row],[Details]])+1, 50)), 10)</f>
        <v>0311014879</v>
      </c>
      <c r="E128" t="s">
        <v>566</v>
      </c>
      <c r="F12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8" t="str">
        <f>IF(tblShipments[[#This Row],[EGM no]]="", "Missing EGM", "EGM Submitted")</f>
        <v>EGM Submitted</v>
      </c>
      <c r="H128" t="str">
        <f>IF(OR(ISNUMBER(SEARCH("Released",tblShipments[[#This Row],[ROSL]])),
      ISNUMBER(SEARCH("Scroll",tblShipments[[#This Row],[ROSL]])),
      ISNUMBER(SEARCH("Y",tblShipments[[#This Row],[ROSL]]))),
   "Released",
   "Not Released")</f>
        <v>Released</v>
      </c>
      <c r="I128" t="str">
        <f>IF(OR(tblShipments[[#This Row],[EGM no]]="", tblShipments[[#This Row],[EGM no]]="N.A."), "Not Submitted", "Submitted")</f>
        <v>Submitted</v>
      </c>
      <c r="J128" t="str">
        <f>IF(LEFT(tblShipments[[#This Row],[Gateway_Extracted]],2)="IN","Valid","Invalid")</f>
        <v>Valid</v>
      </c>
      <c r="K128" t="s">
        <v>518</v>
      </c>
      <c r="L128" t="s">
        <v>567</v>
      </c>
      <c r="M128" t="s">
        <v>31</v>
      </c>
      <c r="N128" t="s">
        <v>568</v>
      </c>
      <c r="O128" t="str">
        <f>IFERROR("IN" &amp; _xlfn.TEXTBEFORE(_xlfn.TEXTAFTER(UPPER(tblShipments[[#This Row],[Gateway_clean]]),"IN")," ",1),"")</f>
        <v>INMUN1</v>
      </c>
      <c r="P128" t="str">
        <f>SUBSTITUTE(tblShipments[[#This Row],[Gateway]], CHAR(10), " ")</f>
        <v xml:space="preserve">AWB No. Gateway Port Gateway EGM No. Gateway EGM Date Gateway Site ID Error Code N.A.  INMUN1  134793  2017-09-08 00:00:00.0  INMUN1  C </v>
      </c>
      <c r="Q128" t="s">
        <v>569</v>
      </c>
    </row>
    <row r="129" spans="1:17" x14ac:dyDescent="0.35">
      <c r="A129" t="s">
        <v>8</v>
      </c>
      <c r="B129">
        <v>8424711</v>
      </c>
      <c r="C129" s="2" t="s">
        <v>565</v>
      </c>
      <c r="D129" s="2" t="str">
        <f>LEFT(TRIM(MID(SUBSTITUTE(tblShipments[[#This Row],[Details]],CHAR(10)," "), FIND(CHAR(10),tblShipments[[#This Row],[Details]])+1, 50)), 10)</f>
        <v>0505000873</v>
      </c>
      <c r="E129" t="s">
        <v>570</v>
      </c>
      <c r="F12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29" t="str">
        <f>IF(tblShipments[[#This Row],[EGM no]]="", "Missing EGM", "EGM Submitted")</f>
        <v>EGM Submitted</v>
      </c>
      <c r="H129" t="str">
        <f>IF(OR(ISNUMBER(SEARCH("Released",tblShipments[[#This Row],[ROSL]])),
      ISNUMBER(SEARCH("Scroll",tblShipments[[#This Row],[ROSL]])),
      ISNUMBER(SEARCH("Y",tblShipments[[#This Row],[ROSL]]))),
   "Released",
   "Not Released")</f>
        <v>Released</v>
      </c>
      <c r="I129" t="str">
        <f>IF(OR(tblShipments[[#This Row],[EGM no]]="", tblShipments[[#This Row],[EGM no]]="N.A."), "Not Submitted", "Submitted")</f>
        <v>Submitted</v>
      </c>
      <c r="J129" t="str">
        <f>IF(LEFT(tblShipments[[#This Row],[Gateway_Extracted]],2)="IN","Valid","Invalid")</f>
        <v>Valid</v>
      </c>
      <c r="K129" t="s">
        <v>523</v>
      </c>
      <c r="L129" t="s">
        <v>571</v>
      </c>
      <c r="M129" t="s">
        <v>13</v>
      </c>
      <c r="N129" t="s">
        <v>572</v>
      </c>
      <c r="O129" t="str">
        <f>IFERROR("IN" &amp; _xlfn.TEXTBEFORE(_xlfn.TEXTAFTER(UPPER(tblShipments[[#This Row],[Gateway_clean]]),"IN")," ",1),"")</f>
        <v>INNSA1</v>
      </c>
      <c r="P129" t="str">
        <f>SUBSTITUTE(tblShipments[[#This Row],[Gateway]], CHAR(10), " ")</f>
        <v xml:space="preserve">AWB No. Gateway Port Gateway EGM No. Gateway EGM Date Gateway Site ID Error Code N.A.  INNSA1  134260  2017-08-31 00:00:00.0  INNSA1  S </v>
      </c>
      <c r="Q129" t="s">
        <v>573</v>
      </c>
    </row>
    <row r="130" spans="1:17" x14ac:dyDescent="0.35">
      <c r="A130" t="s">
        <v>8</v>
      </c>
      <c r="B130">
        <v>8425293</v>
      </c>
      <c r="C130" s="2" t="s">
        <v>565</v>
      </c>
      <c r="D130" s="2" t="str">
        <f>LEFT(TRIM(MID(SUBSTITUTE(tblShipments[[#This Row],[Details]],CHAR(10)," "), FIND(CHAR(10),tblShipments[[#This Row],[Details]])+1, 50)), 10)</f>
        <v>0516900692</v>
      </c>
      <c r="E130" t="s">
        <v>574</v>
      </c>
      <c r="F13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0" t="str">
        <f>IF(tblShipments[[#This Row],[EGM no]]="", "Missing EGM", "EGM Submitted")</f>
        <v>EGM Submitted</v>
      </c>
      <c r="H130" t="str">
        <f>IF(OR(ISNUMBER(SEARCH("Released",tblShipments[[#This Row],[ROSL]])),
      ISNUMBER(SEARCH("Scroll",tblShipments[[#This Row],[ROSL]])),
      ISNUMBER(SEARCH("Y",tblShipments[[#This Row],[ROSL]]))),
   "Released",
   "Not Released")</f>
        <v>Released</v>
      </c>
      <c r="I130" t="str">
        <f>IF(OR(tblShipments[[#This Row],[EGM no]]="", tblShipments[[#This Row],[EGM no]]="N.A."), "Not Submitted", "Submitted")</f>
        <v>Submitted</v>
      </c>
      <c r="J130" t="str">
        <f>IF(LEFT(tblShipments[[#This Row],[Gateway_Extracted]],2)="IN","Valid","Invalid")</f>
        <v>Valid</v>
      </c>
      <c r="K130" t="s">
        <v>575</v>
      </c>
      <c r="L130" t="s">
        <v>576</v>
      </c>
      <c r="M130" t="s">
        <v>13</v>
      </c>
      <c r="N130" t="s">
        <v>577</v>
      </c>
      <c r="O130" t="str">
        <f>IFERROR("IN" &amp; _xlfn.TEXTBEFORE(_xlfn.TEXTAFTER(UPPER(tblShipments[[#This Row],[Gateway_clean]]),"IN")," ",1),"")</f>
        <v>INMUN1</v>
      </c>
      <c r="P130" t="str">
        <f>SUBSTITUTE(tblShipments[[#This Row],[Gateway]], CHAR(10), " ")</f>
        <v xml:space="preserve">AWB No. Gateway Port Gateway EGM No. Gateway EGM Date Gateway Site ID Error Code N.A.  INMUN1  135448  2017-09-20 00:00:00.0  INMUN1  S </v>
      </c>
      <c r="Q130" t="s">
        <v>578</v>
      </c>
    </row>
    <row r="131" spans="1:17" x14ac:dyDescent="0.35">
      <c r="A131" t="s">
        <v>8</v>
      </c>
      <c r="B131">
        <v>8439375</v>
      </c>
      <c r="C131" s="2" t="s">
        <v>565</v>
      </c>
      <c r="D131" s="2" t="str">
        <f>LEFT(TRIM(MID(SUBSTITUTE(tblShipments[[#This Row],[Details]],CHAR(10)," "), FIND(CHAR(10),tblShipments[[#This Row],[Details]])+1, 50)), 10)</f>
        <v>AAHCC0755A</v>
      </c>
      <c r="E131" t="s">
        <v>579</v>
      </c>
      <c r="F13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1" t="str">
        <f>IF(tblShipments[[#This Row],[EGM no]]="", "Missing EGM", "EGM Submitted")</f>
        <v>EGM Submitted</v>
      </c>
      <c r="H131" t="str">
        <f>IF(OR(ISNUMBER(SEARCH("Released",tblShipments[[#This Row],[ROSL]])),
      ISNUMBER(SEARCH("Scroll",tblShipments[[#This Row],[ROSL]])),
      ISNUMBER(SEARCH("Y",tblShipments[[#This Row],[ROSL]]))),
   "Released",
   "Not Released")</f>
        <v>Released</v>
      </c>
      <c r="I131" t="str">
        <f>IF(OR(tblShipments[[#This Row],[EGM no]]="", tblShipments[[#This Row],[EGM no]]="N.A."), "Not Submitted", "Submitted")</f>
        <v>Submitted</v>
      </c>
      <c r="J131" t="str">
        <f>IF(LEFT(tblShipments[[#This Row],[Gateway_Extracted]],2)="IN","Valid","Invalid")</f>
        <v>Valid</v>
      </c>
      <c r="K131" t="s">
        <v>528</v>
      </c>
      <c r="L131" t="s">
        <v>580</v>
      </c>
      <c r="M131" t="s">
        <v>581</v>
      </c>
      <c r="N131" t="s">
        <v>582</v>
      </c>
      <c r="O131" t="str">
        <f>IFERROR("IN" &amp; _xlfn.TEXTBEFORE(_xlfn.TEXTAFTER(UPPER(tblShipments[[#This Row],[Gateway_clean]]),"IN")," ",1),"")</f>
        <v>INPAV1</v>
      </c>
      <c r="P131" t="str">
        <f>SUBSTITUTE(tblShipments[[#This Row],[Gateway]], CHAR(10), " ")</f>
        <v xml:space="preserve">AWB No. Gateway Port Gateway EGM No. Gateway EGM Date Gateway Site ID Error Code N.A.  INPAV1  134057  2017-08-28 00:00:00.0  INPAV1  S </v>
      </c>
      <c r="Q131" t="s">
        <v>583</v>
      </c>
    </row>
    <row r="132" spans="1:17" x14ac:dyDescent="0.35">
      <c r="A132" t="s">
        <v>8</v>
      </c>
      <c r="B132">
        <v>8439383</v>
      </c>
      <c r="C132" s="2" t="s">
        <v>565</v>
      </c>
      <c r="D132" s="2" t="str">
        <f>LEFT(TRIM(MID(SUBSTITUTE(tblShipments[[#This Row],[Details]],CHAR(10)," "), FIND(CHAR(10),tblShipments[[#This Row],[Details]])+1, 50)), 10)</f>
        <v>AAHCC0755A</v>
      </c>
      <c r="E132" t="s">
        <v>584</v>
      </c>
      <c r="F13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2" t="str">
        <f>IF(tblShipments[[#This Row],[EGM no]]="", "Missing EGM", "EGM Submitted")</f>
        <v>EGM Submitted</v>
      </c>
      <c r="H132" t="str">
        <f>IF(OR(ISNUMBER(SEARCH("Released",tblShipments[[#This Row],[ROSL]])),
      ISNUMBER(SEARCH("Scroll",tblShipments[[#This Row],[ROSL]])),
      ISNUMBER(SEARCH("Y",tblShipments[[#This Row],[ROSL]]))),
   "Released",
   "Not Released")</f>
        <v>Released</v>
      </c>
      <c r="I132" t="str">
        <f>IF(OR(tblShipments[[#This Row],[EGM no]]="", tblShipments[[#This Row],[EGM no]]="N.A."), "Not Submitted", "Submitted")</f>
        <v>Submitted</v>
      </c>
      <c r="J132" t="str">
        <f>IF(LEFT(tblShipments[[#This Row],[Gateway_Extracted]],2)="IN","Valid","Invalid")</f>
        <v>Valid</v>
      </c>
      <c r="K132" t="s">
        <v>528</v>
      </c>
      <c r="L132" t="s">
        <v>585</v>
      </c>
      <c r="M132" t="s">
        <v>581</v>
      </c>
      <c r="N132" t="s">
        <v>582</v>
      </c>
      <c r="O132" t="str">
        <f>IFERROR("IN" &amp; _xlfn.TEXTBEFORE(_xlfn.TEXTAFTER(UPPER(tblShipments[[#This Row],[Gateway_clean]]),"IN")," ",1),"")</f>
        <v>INPAV1</v>
      </c>
      <c r="P132" t="str">
        <f>SUBSTITUTE(tblShipments[[#This Row],[Gateway]], CHAR(10), " ")</f>
        <v xml:space="preserve">AWB No. Gateway Port Gateway EGM No. Gateway EGM Date Gateway Site ID Error Code N.A.  INPAV1  134057  2017-08-28 00:00:00.0  INPAV1  S </v>
      </c>
      <c r="Q132" t="s">
        <v>583</v>
      </c>
    </row>
    <row r="133" spans="1:17" x14ac:dyDescent="0.35">
      <c r="A133" t="s">
        <v>8</v>
      </c>
      <c r="B133">
        <v>8439422</v>
      </c>
      <c r="C133" s="2" t="s">
        <v>565</v>
      </c>
      <c r="D133" s="2" t="str">
        <f>LEFT(TRIM(MID(SUBSTITUTE(tblShipments[[#This Row],[Details]],CHAR(10)," "), FIND(CHAR(10),tblShipments[[#This Row],[Details]])+1, 50)), 10)</f>
        <v>AABCZ1026D</v>
      </c>
      <c r="E133" t="s">
        <v>586</v>
      </c>
      <c r="F13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3" t="str">
        <f>IF(tblShipments[[#This Row],[EGM no]]="", "Missing EGM", "EGM Submitted")</f>
        <v>EGM Submitted</v>
      </c>
      <c r="H133" t="str">
        <f>IF(OR(ISNUMBER(SEARCH("Released",tblShipments[[#This Row],[ROSL]])),
      ISNUMBER(SEARCH("Scroll",tblShipments[[#This Row],[ROSL]])),
      ISNUMBER(SEARCH("Y",tblShipments[[#This Row],[ROSL]]))),
   "Released",
   "Not Released")</f>
        <v>Released</v>
      </c>
      <c r="I133" t="str">
        <f>IF(OR(tblShipments[[#This Row],[EGM no]]="", tblShipments[[#This Row],[EGM no]]="N.A."), "Not Submitted", "Submitted")</f>
        <v>Submitted</v>
      </c>
      <c r="J133" t="str">
        <f>IF(LEFT(tblShipments[[#This Row],[Gateway_Extracted]],2)="IN","Valid","Invalid")</f>
        <v>Valid</v>
      </c>
      <c r="K133" t="s">
        <v>523</v>
      </c>
      <c r="L133" t="s">
        <v>587</v>
      </c>
      <c r="M133" t="s">
        <v>588</v>
      </c>
      <c r="N133" t="s">
        <v>589</v>
      </c>
      <c r="O133" t="str">
        <f>IFERROR("IN" &amp; _xlfn.TEXTBEFORE(_xlfn.TEXTAFTER(UPPER(tblShipments[[#This Row],[Gateway_clean]]),"IN")," ",1),"")</f>
        <v>INPAV1</v>
      </c>
      <c r="P133" t="str">
        <f>SUBSTITUTE(tblShipments[[#This Row],[Gateway]], CHAR(10), " ")</f>
        <v xml:space="preserve">AWB No. Gateway Port Gateway EGM No. Gateway EGM Date Gateway Site ID Error Code N.A.  INPAV1  134057  2017-08-28 00:00:00.0  INPAV1  S </v>
      </c>
      <c r="Q133" t="s">
        <v>583</v>
      </c>
    </row>
    <row r="134" spans="1:17" x14ac:dyDescent="0.35">
      <c r="A134" t="s">
        <v>8</v>
      </c>
      <c r="B134">
        <v>8452436</v>
      </c>
      <c r="C134" s="2" t="s">
        <v>590</v>
      </c>
      <c r="D134" s="2" t="str">
        <f>LEFT(TRIM(MID(SUBSTITUTE(tblShipments[[#This Row],[Details]],CHAR(10)," "), FIND(CHAR(10),tblShipments[[#This Row],[Details]])+1, 50)), 10)</f>
        <v>0616907401</v>
      </c>
      <c r="E134" t="s">
        <v>591</v>
      </c>
      <c r="F13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4" t="str">
        <f>IF(tblShipments[[#This Row],[EGM no]]="", "Missing EGM", "EGM Submitted")</f>
        <v>EGM Submitted</v>
      </c>
      <c r="H134" t="str">
        <f>IF(OR(ISNUMBER(SEARCH("Released",tblShipments[[#This Row],[ROSL]])),
      ISNUMBER(SEARCH("Scroll",tblShipments[[#This Row],[ROSL]])),
      ISNUMBER(SEARCH("Y",tblShipments[[#This Row],[ROSL]]))),
   "Released",
   "Not Released")</f>
        <v>Released</v>
      </c>
      <c r="I134" t="str">
        <f>IF(OR(tblShipments[[#This Row],[EGM no]]="", tblShipments[[#This Row],[EGM no]]="N.A."), "Not Submitted", "Submitted")</f>
        <v>Submitted</v>
      </c>
      <c r="J134" t="str">
        <f>IF(LEFT(tblShipments[[#This Row],[Gateway_Extracted]],2)="IN","Valid","Invalid")</f>
        <v>Valid</v>
      </c>
      <c r="K134" t="s">
        <v>592</v>
      </c>
      <c r="L134" t="s">
        <v>593</v>
      </c>
      <c r="M134" t="s">
        <v>13</v>
      </c>
      <c r="N134" t="s">
        <v>594</v>
      </c>
      <c r="O134" t="str">
        <f>IFERROR("IN" &amp; _xlfn.TEXTBEFORE(_xlfn.TEXTAFTER(UPPER(tblShipments[[#This Row],[Gateway_clean]]),"IN")," ",1),"")</f>
        <v>INNSA1</v>
      </c>
      <c r="P134" t="str">
        <f>SUBSTITUTE(tblShipments[[#This Row],[Gateway]], CHAR(10), " ")</f>
        <v xml:space="preserve">AWB No. Gateway Port Gateway EGM No. Gateway EGM Date Gateway Site ID Error Code N.A.  INNSA1  135068  2017-09-14 00:00:00.0  INNSA1  S </v>
      </c>
      <c r="Q134" t="s">
        <v>595</v>
      </c>
    </row>
    <row r="135" spans="1:17" x14ac:dyDescent="0.35">
      <c r="A135" t="s">
        <v>8</v>
      </c>
      <c r="B135">
        <v>8457825</v>
      </c>
      <c r="C135" s="2" t="s">
        <v>590</v>
      </c>
      <c r="D135" s="2" t="str">
        <f>LEFT(TRIM(MID(SUBSTITUTE(tblShipments[[#This Row],[Details]],CHAR(10)," "), FIND(CHAR(10),tblShipments[[#This Row],[Details]])+1, 50)), 10)</f>
        <v>0516517431</v>
      </c>
      <c r="E135" t="s">
        <v>596</v>
      </c>
      <c r="F13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5" t="str">
        <f>IF(tblShipments[[#This Row],[EGM no]]="", "Missing EGM", "EGM Submitted")</f>
        <v>EGM Submitted</v>
      </c>
      <c r="H135" t="str">
        <f>IF(OR(ISNUMBER(SEARCH("Released",tblShipments[[#This Row],[ROSL]])),
      ISNUMBER(SEARCH("Scroll",tblShipments[[#This Row],[ROSL]])),
      ISNUMBER(SEARCH("Y",tblShipments[[#This Row],[ROSL]]))),
   "Released",
   "Not Released")</f>
        <v>Released</v>
      </c>
      <c r="I135" t="str">
        <f>IF(OR(tblShipments[[#This Row],[EGM no]]="", tblShipments[[#This Row],[EGM no]]="N.A."), "Not Submitted", "Submitted")</f>
        <v>Submitted</v>
      </c>
      <c r="J135" t="str">
        <f>IF(LEFT(tblShipments[[#This Row],[Gateway_Extracted]],2)="IN","Valid","Invalid")</f>
        <v>Valid</v>
      </c>
      <c r="K135" t="s">
        <v>534</v>
      </c>
      <c r="L135" t="s">
        <v>597</v>
      </c>
      <c r="M135" t="s">
        <v>13</v>
      </c>
      <c r="N135" t="s">
        <v>598</v>
      </c>
      <c r="O135" t="str">
        <f>IFERROR("IN" &amp; _xlfn.TEXTBEFORE(_xlfn.TEXTAFTER(UPPER(tblShipments[[#This Row],[Gateway_clean]]),"IN")," ",1),"")</f>
        <v>INNSA1</v>
      </c>
      <c r="P135" t="str">
        <f>SUBSTITUTE(tblShipments[[#This Row],[Gateway]], CHAR(10), " ")</f>
        <v xml:space="preserve">AWB No. Gateway Port Gateway EGM No. Gateway EGM Date Gateway Site ID Error Code N.A.  INNSA1  N.A.  N.A.  N.A.  N.A. </v>
      </c>
      <c r="Q135" t="s">
        <v>26</v>
      </c>
    </row>
    <row r="136" spans="1:17" x14ac:dyDescent="0.35">
      <c r="A136" t="s">
        <v>8</v>
      </c>
      <c r="B136">
        <v>8462659</v>
      </c>
      <c r="C136" s="2" t="s">
        <v>590</v>
      </c>
      <c r="D136" s="2" t="str">
        <f>LEFT(TRIM(MID(SUBSTITUTE(tblShipments[[#This Row],[Details]],CHAR(10)," "), FIND(CHAR(10),tblShipments[[#This Row],[Details]])+1, 50)), 10)</f>
        <v>0507023722</v>
      </c>
      <c r="E136" t="s">
        <v>599</v>
      </c>
      <c r="F13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6" t="str">
        <f>IF(tblShipments[[#This Row],[EGM no]]="", "Missing EGM", "EGM Submitted")</f>
        <v>EGM Submitted</v>
      </c>
      <c r="H136" t="str">
        <f>IF(OR(ISNUMBER(SEARCH("Released",tblShipments[[#This Row],[ROSL]])),
      ISNUMBER(SEARCH("Scroll",tblShipments[[#This Row],[ROSL]])),
      ISNUMBER(SEARCH("Y",tblShipments[[#This Row],[ROSL]]))),
   "Released",
   "Not Released")</f>
        <v>Released</v>
      </c>
      <c r="I136" t="str">
        <f>IF(OR(tblShipments[[#This Row],[EGM no]]="", tblShipments[[#This Row],[EGM no]]="N.A."), "Not Submitted", "Submitted")</f>
        <v>Submitted</v>
      </c>
      <c r="J136" t="str">
        <f>IF(LEFT(tblShipments[[#This Row],[Gateway_Extracted]],2)="IN","Valid","Invalid")</f>
        <v>Valid</v>
      </c>
      <c r="K136" t="s">
        <v>600</v>
      </c>
      <c r="L136" t="s">
        <v>601</v>
      </c>
      <c r="M136" t="s">
        <v>31</v>
      </c>
      <c r="N136" t="s">
        <v>602</v>
      </c>
      <c r="O136" t="str">
        <f>IFERROR("IN" &amp; _xlfn.TEXTBEFORE(_xlfn.TEXTAFTER(UPPER(tblShipments[[#This Row],[Gateway_clean]]),"IN")," ",1),"")</f>
        <v>INNSA1</v>
      </c>
      <c r="P136" t="str">
        <f>SUBSTITUTE(tblShipments[[#This Row],[Gateway]], CHAR(10), " ")</f>
        <v xml:space="preserve">AWB No. Gateway Port Gateway EGM No. Gateway EGM Date Gateway Site ID Error Code N.A.  INNSA1  134462  2017-09-04 00:00:00.0  INNSA1  S </v>
      </c>
      <c r="Q136" t="s">
        <v>372</v>
      </c>
    </row>
    <row r="137" spans="1:17" x14ac:dyDescent="0.35">
      <c r="A137" t="s">
        <v>8</v>
      </c>
      <c r="B137">
        <v>8466834</v>
      </c>
      <c r="C137" s="2" t="s">
        <v>590</v>
      </c>
      <c r="D137" s="2" t="str">
        <f>LEFT(TRIM(MID(SUBSTITUTE(tblShipments[[#This Row],[Details]],CHAR(10)," "), FIND(CHAR(10),tblShipments[[#This Row],[Details]])+1, 50)), 10)</f>
        <v>0592023052</v>
      </c>
      <c r="E137" t="s">
        <v>603</v>
      </c>
      <c r="F13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7" t="str">
        <f>IF(tblShipments[[#This Row],[EGM no]]="", "Missing EGM", "EGM Submitted")</f>
        <v>EGM Submitted</v>
      </c>
      <c r="H137" t="str">
        <f>IF(OR(ISNUMBER(SEARCH("Released",tblShipments[[#This Row],[ROSL]])),
      ISNUMBER(SEARCH("Scroll",tblShipments[[#This Row],[ROSL]])),
      ISNUMBER(SEARCH("Y",tblShipments[[#This Row],[ROSL]]))),
   "Released",
   "Not Released")</f>
        <v>Released</v>
      </c>
      <c r="I137" t="str">
        <f>IF(OR(tblShipments[[#This Row],[EGM no]]="", tblShipments[[#This Row],[EGM no]]="N.A."), "Not Submitted", "Submitted")</f>
        <v>Submitted</v>
      </c>
      <c r="J137" t="str">
        <f>IF(LEFT(tblShipments[[#This Row],[Gateway_Extracted]],2)="IN","Valid","Invalid")</f>
        <v>Valid</v>
      </c>
      <c r="K137" t="s">
        <v>528</v>
      </c>
      <c r="L137" t="s">
        <v>604</v>
      </c>
      <c r="M137" t="s">
        <v>13</v>
      </c>
      <c r="N137" t="s">
        <v>605</v>
      </c>
      <c r="O137" t="str">
        <f>IFERROR("IN" &amp; _xlfn.TEXTBEFORE(_xlfn.TEXTAFTER(UPPER(tblShipments[[#This Row],[Gateway_clean]]),"IN")," ",1),"")</f>
        <v>INNSA1</v>
      </c>
      <c r="P137" t="str">
        <f>SUBSTITUTE(tblShipments[[#This Row],[Gateway]], CHAR(10), " ")</f>
        <v xml:space="preserve">AWB No. Gateway Port Gateway EGM No. Gateway EGM Date Gateway Site ID Error Code N.A.  INNSA1  134474  2017-09-04 00:00:00.0  INNSA1  S </v>
      </c>
      <c r="Q137" t="s">
        <v>606</v>
      </c>
    </row>
    <row r="138" spans="1:17" x14ac:dyDescent="0.35">
      <c r="A138" t="s">
        <v>8</v>
      </c>
      <c r="B138">
        <v>8469058</v>
      </c>
      <c r="C138" s="2" t="s">
        <v>590</v>
      </c>
      <c r="D138" s="2" t="str">
        <f>LEFT(TRIM(MID(SUBSTITUTE(tblShipments[[#This Row],[Details]],CHAR(10)," "), FIND(CHAR(10),tblShipments[[#This Row],[Details]])+1, 50)), 10)</f>
        <v>0594004373</v>
      </c>
      <c r="E138" t="s">
        <v>607</v>
      </c>
      <c r="F13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8" t="str">
        <f>IF(tblShipments[[#This Row],[EGM no]]="", "Missing EGM", "EGM Submitted")</f>
        <v>EGM Submitted</v>
      </c>
      <c r="H138" t="str">
        <f>IF(OR(ISNUMBER(SEARCH("Released",tblShipments[[#This Row],[ROSL]])),
      ISNUMBER(SEARCH("Scroll",tblShipments[[#This Row],[ROSL]])),
      ISNUMBER(SEARCH("Y",tblShipments[[#This Row],[ROSL]]))),
   "Released",
   "Not Released")</f>
        <v>Released</v>
      </c>
      <c r="I138" t="str">
        <f>IF(OR(tblShipments[[#This Row],[EGM no]]="", tblShipments[[#This Row],[EGM no]]="N.A."), "Not Submitted", "Submitted")</f>
        <v>Submitted</v>
      </c>
      <c r="J138" t="str">
        <f>IF(LEFT(tblShipments[[#This Row],[Gateway_Extracted]],2)="IN","Valid","Invalid")</f>
        <v>Valid</v>
      </c>
      <c r="K138" t="s">
        <v>534</v>
      </c>
      <c r="L138" t="s">
        <v>608</v>
      </c>
      <c r="M138" t="s">
        <v>13</v>
      </c>
      <c r="N138" t="s">
        <v>609</v>
      </c>
      <c r="O138" t="str">
        <f>IFERROR("IN" &amp; _xlfn.TEXTBEFORE(_xlfn.TEXTAFTER(UPPER(tblShipments[[#This Row],[Gateway_clean]]),"IN")," ",1),"")</f>
        <v>INMUN1</v>
      </c>
      <c r="P138" t="str">
        <f>SUBSTITUTE(tblShipments[[#This Row],[Gateway]], CHAR(10), " ")</f>
        <v xml:space="preserve">AWB No. Gateway Port Gateway EGM No. Gateway EGM Date Gateway Site ID Error Code N.A.  INMUN1  135390  2017-09-19 00:00:00.0  INMUN1  S </v>
      </c>
      <c r="Q138" t="s">
        <v>610</v>
      </c>
    </row>
    <row r="139" spans="1:17" x14ac:dyDescent="0.35">
      <c r="A139" t="s">
        <v>8</v>
      </c>
      <c r="B139">
        <v>8471397</v>
      </c>
      <c r="C139" s="2" t="s">
        <v>590</v>
      </c>
      <c r="D139" s="2" t="str">
        <f>LEFT(TRIM(MID(SUBSTITUTE(tblShipments[[#This Row],[Details]],CHAR(10)," "), FIND(CHAR(10),tblShipments[[#This Row],[Details]])+1, 50)), 10)</f>
        <v>0504016865</v>
      </c>
      <c r="E139" t="s">
        <v>611</v>
      </c>
      <c r="F13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39" t="str">
        <f>IF(tblShipments[[#This Row],[EGM no]]="", "Missing EGM", "EGM Submitted")</f>
        <v>EGM Submitted</v>
      </c>
      <c r="H139" t="str">
        <f>IF(OR(ISNUMBER(SEARCH("Released",tblShipments[[#This Row],[ROSL]])),
      ISNUMBER(SEARCH("Scroll",tblShipments[[#This Row],[ROSL]])),
      ISNUMBER(SEARCH("Y",tblShipments[[#This Row],[ROSL]]))),
   "Released",
   "Not Released")</f>
        <v>Released</v>
      </c>
      <c r="I139" t="str">
        <f>IF(OR(tblShipments[[#This Row],[EGM no]]="", tblShipments[[#This Row],[EGM no]]="N.A."), "Not Submitted", "Submitted")</f>
        <v>Submitted</v>
      </c>
      <c r="J139" t="str">
        <f>IF(LEFT(tblShipments[[#This Row],[Gateway_Extracted]],2)="IN","Valid","Invalid")</f>
        <v>Valid</v>
      </c>
      <c r="K139" t="s">
        <v>612</v>
      </c>
      <c r="L139" t="s">
        <v>613</v>
      </c>
      <c r="M139" t="s">
        <v>31</v>
      </c>
      <c r="N139" t="s">
        <v>614</v>
      </c>
      <c r="O139" t="str">
        <f>IFERROR("IN" &amp; _xlfn.TEXTBEFORE(_xlfn.TEXTAFTER(UPPER(tblShipments[[#This Row],[Gateway_clean]]),"IN")," ",1),"")</f>
        <v>INMUN1</v>
      </c>
      <c r="P139" t="str">
        <f>SUBSTITUTE(tblShipments[[#This Row],[Gateway]], CHAR(10), " ")</f>
        <v xml:space="preserve">AWB No. Gateway Port Gateway EGM No. Gateway EGM Date Gateway Site ID Error Code N.A.  INMUN1  135378  2017-09-19 00:00:00.0  INMUN1  S </v>
      </c>
      <c r="Q139" t="s">
        <v>425</v>
      </c>
    </row>
    <row r="140" spans="1:17" x14ac:dyDescent="0.35">
      <c r="A140" t="s">
        <v>8</v>
      </c>
      <c r="B140">
        <v>8483178</v>
      </c>
      <c r="C140" s="2" t="s">
        <v>615</v>
      </c>
      <c r="D140" s="2" t="str">
        <f>LEFT(TRIM(MID(SUBSTITUTE(tblShipments[[#This Row],[Details]],CHAR(10)," "), FIND(CHAR(10),tblShipments[[#This Row],[Details]])+1, 50)), 10)</f>
        <v>0504064754</v>
      </c>
      <c r="E140" t="s">
        <v>616</v>
      </c>
      <c r="F14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0" t="str">
        <f>IF(tblShipments[[#This Row],[EGM no]]="", "Missing EGM", "EGM Submitted")</f>
        <v>EGM Submitted</v>
      </c>
      <c r="H140" t="str">
        <f>IF(OR(ISNUMBER(SEARCH("Released",tblShipments[[#This Row],[ROSL]])),
      ISNUMBER(SEARCH("Scroll",tblShipments[[#This Row],[ROSL]])),
      ISNUMBER(SEARCH("Y",tblShipments[[#This Row],[ROSL]]))),
   "Released",
   "Not Released")</f>
        <v>Released</v>
      </c>
      <c r="I140" t="str">
        <f>IF(OR(tblShipments[[#This Row],[EGM no]]="", tblShipments[[#This Row],[EGM no]]="N.A."), "Not Submitted", "Submitted")</f>
        <v>Submitted</v>
      </c>
      <c r="J140" t="str">
        <f>IF(LEFT(tblShipments[[#This Row],[Gateway_Extracted]],2)="IN","Valid","Invalid")</f>
        <v>Valid</v>
      </c>
      <c r="K140" t="s">
        <v>534</v>
      </c>
      <c r="L140" t="s">
        <v>617</v>
      </c>
      <c r="M140" t="s">
        <v>13</v>
      </c>
      <c r="N140" t="s">
        <v>618</v>
      </c>
      <c r="O140" t="str">
        <f>IFERROR("IN" &amp; _xlfn.TEXTBEFORE(_xlfn.TEXTAFTER(UPPER(tblShipments[[#This Row],[Gateway_clean]]),"IN")," ",1),"")</f>
        <v>INNSA1</v>
      </c>
      <c r="P140" t="str">
        <f>SUBSTITUTE(tblShipments[[#This Row],[Gateway]], CHAR(10), " ")</f>
        <v xml:space="preserve">AWB No. Gateway Port Gateway EGM No. Gateway EGM Date Gateway Site ID Error Code N.A.  INNSA1  134875  2017-09-11 00:00:00.0  INNSA1  S </v>
      </c>
      <c r="Q140" t="s">
        <v>619</v>
      </c>
    </row>
    <row r="141" spans="1:17" x14ac:dyDescent="0.35">
      <c r="A141" t="s">
        <v>8</v>
      </c>
      <c r="B141">
        <v>8486246</v>
      </c>
      <c r="C141" s="2" t="s">
        <v>615</v>
      </c>
      <c r="D141" s="2" t="str">
        <f>LEFT(TRIM(MID(SUBSTITUTE(tblShipments[[#This Row],[Details]],CHAR(10)," "), FIND(CHAR(10),tblShipments[[#This Row],[Details]])+1, 50)), 10)</f>
        <v>0507062884</v>
      </c>
      <c r="E141" t="s">
        <v>620</v>
      </c>
      <c r="F14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1" t="str">
        <f>IF(tblShipments[[#This Row],[EGM no]]="", "Missing EGM", "EGM Submitted")</f>
        <v>EGM Submitted</v>
      </c>
      <c r="H141" t="str">
        <f>IF(OR(ISNUMBER(SEARCH("Released",tblShipments[[#This Row],[ROSL]])),
      ISNUMBER(SEARCH("Scroll",tblShipments[[#This Row],[ROSL]])),
      ISNUMBER(SEARCH("Y",tblShipments[[#This Row],[ROSL]]))),
   "Released",
   "Not Released")</f>
        <v>Released</v>
      </c>
      <c r="I141" t="str">
        <f>IF(OR(tblShipments[[#This Row],[EGM no]]="", tblShipments[[#This Row],[EGM no]]="N.A."), "Not Submitted", "Submitted")</f>
        <v>Submitted</v>
      </c>
      <c r="J141" t="str">
        <f>IF(LEFT(tblShipments[[#This Row],[Gateway_Extracted]],2)="IN","Valid","Invalid")</f>
        <v>Valid</v>
      </c>
      <c r="K141" t="s">
        <v>545</v>
      </c>
      <c r="L141" t="s">
        <v>621</v>
      </c>
      <c r="M141" t="s">
        <v>13</v>
      </c>
      <c r="N141" t="s">
        <v>622</v>
      </c>
      <c r="O141" t="str">
        <f>IFERROR("IN" &amp; _xlfn.TEXTBEFORE(_xlfn.TEXTAFTER(UPPER(tblShipments[[#This Row],[Gateway_clean]]),"IN")," ",1),"")</f>
        <v>INMUN1</v>
      </c>
      <c r="P141" t="str">
        <f>SUBSTITUTE(tblShipments[[#This Row],[Gateway]], CHAR(10), " ")</f>
        <v xml:space="preserve">AWB No. Gateway Port Gateway EGM No. Gateway EGM Date Gateway Site ID Error Code N.A.  INMUN1  134923  2017-09-12 00:00:00.0  INMUN1  S </v>
      </c>
      <c r="Q141" t="s">
        <v>497</v>
      </c>
    </row>
    <row r="142" spans="1:17" x14ac:dyDescent="0.35">
      <c r="A142" t="s">
        <v>8</v>
      </c>
      <c r="B142">
        <v>8488643</v>
      </c>
      <c r="C142" s="2" t="s">
        <v>615</v>
      </c>
      <c r="D142" s="2" t="str">
        <f>LEFT(TRIM(MID(SUBSTITUTE(tblShipments[[#This Row],[Details]],CHAR(10)," "), FIND(CHAR(10),tblShipments[[#This Row],[Details]])+1, 50)), 10)</f>
        <v>0516502832</v>
      </c>
      <c r="E142" t="s">
        <v>623</v>
      </c>
      <c r="F14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2" t="str">
        <f>IF(tblShipments[[#This Row],[EGM no]]="", "Missing EGM", "EGM Submitted")</f>
        <v>EGM Submitted</v>
      </c>
      <c r="H142" t="str">
        <f>IF(OR(ISNUMBER(SEARCH("Released",tblShipments[[#This Row],[ROSL]])),
      ISNUMBER(SEARCH("Scroll",tblShipments[[#This Row],[ROSL]])),
      ISNUMBER(SEARCH("Y",tblShipments[[#This Row],[ROSL]]))),
   "Released",
   "Not Released")</f>
        <v>Released</v>
      </c>
      <c r="I142" t="str">
        <f>IF(OR(tblShipments[[#This Row],[EGM no]]="", tblShipments[[#This Row],[EGM no]]="N.A."), "Not Submitted", "Submitted")</f>
        <v>Submitted</v>
      </c>
      <c r="J142" t="str">
        <f>IF(LEFT(tblShipments[[#This Row],[Gateway_Extracted]],2)="IN","Valid","Invalid")</f>
        <v>Valid</v>
      </c>
      <c r="K142" t="s">
        <v>624</v>
      </c>
      <c r="L142" t="s">
        <v>625</v>
      </c>
      <c r="M142" t="s">
        <v>626</v>
      </c>
      <c r="N142" t="s">
        <v>627</v>
      </c>
      <c r="O142" t="str">
        <f>IFERROR("IN" &amp; _xlfn.TEXTBEFORE(_xlfn.TEXTAFTER(UPPER(tblShipments[[#This Row],[Gateway_clean]]),"IN")," ",1),"")</f>
        <v>INNSA1</v>
      </c>
      <c r="P142" t="str">
        <f>SUBSTITUTE(tblShipments[[#This Row],[Gateway]], CHAR(10), " ")</f>
        <v xml:space="preserve">AWB No. Gateway Port Gateway EGM No. Gateway EGM Date Gateway Site ID Error Code N.A.  INNSA1  134549  2017-09-05 00:00:00.0  INNSA1  S </v>
      </c>
      <c r="Q142" t="s">
        <v>628</v>
      </c>
    </row>
    <row r="143" spans="1:17" x14ac:dyDescent="0.35">
      <c r="A143" t="s">
        <v>8</v>
      </c>
      <c r="B143">
        <v>8493626</v>
      </c>
      <c r="C143" s="2" t="s">
        <v>615</v>
      </c>
      <c r="D143" s="2" t="str">
        <f>LEFT(TRIM(MID(SUBSTITUTE(tblShipments[[#This Row],[Details]],CHAR(10)," "), FIND(CHAR(10),tblShipments[[#This Row],[Details]])+1, 50)), 10)</f>
        <v>3311006062</v>
      </c>
      <c r="E143" t="s">
        <v>629</v>
      </c>
      <c r="F14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3" t="str">
        <f>IF(tblShipments[[#This Row],[EGM no]]="", "Missing EGM", "EGM Submitted")</f>
        <v>EGM Submitted</v>
      </c>
      <c r="H143" t="str">
        <f>IF(OR(ISNUMBER(SEARCH("Released",tblShipments[[#This Row],[ROSL]])),
      ISNUMBER(SEARCH("Scroll",tblShipments[[#This Row],[ROSL]])),
      ISNUMBER(SEARCH("Y",tblShipments[[#This Row],[ROSL]]))),
   "Released",
   "Not Released")</f>
        <v>Released</v>
      </c>
      <c r="I143" t="str">
        <f>IF(OR(tblShipments[[#This Row],[EGM no]]="", tblShipments[[#This Row],[EGM no]]="N.A."), "Not Submitted", "Submitted")</f>
        <v>Submitted</v>
      </c>
      <c r="J143" t="str">
        <f>IF(LEFT(tblShipments[[#This Row],[Gateway_Extracted]],2)="IN","Valid","Invalid")</f>
        <v>Valid</v>
      </c>
      <c r="K143" t="s">
        <v>612</v>
      </c>
      <c r="L143" t="s">
        <v>630</v>
      </c>
      <c r="M143" t="s">
        <v>31</v>
      </c>
      <c r="N143" t="s">
        <v>631</v>
      </c>
      <c r="O143" t="str">
        <f>IFERROR("IN" &amp; _xlfn.TEXTBEFORE(_xlfn.TEXTAFTER(UPPER(tblShipments[[#This Row],[Gateway_clean]]),"IN")," ",1),"")</f>
        <v>INNSA1</v>
      </c>
      <c r="P143" t="str">
        <f>SUBSTITUTE(tblShipments[[#This Row],[Gateway]], CHAR(10), " ")</f>
        <v xml:space="preserve">AWB No. Gateway Port Gateway EGM No. Gateway EGM Date Gateway Site ID Error Code N.A.  INNSA1  135239  2017-09-18 00:00:00.0  INNSA1  S </v>
      </c>
      <c r="Q143" t="s">
        <v>632</v>
      </c>
    </row>
    <row r="144" spans="1:17" ht="58" x14ac:dyDescent="0.35">
      <c r="A144" t="s">
        <v>8</v>
      </c>
      <c r="B144">
        <v>8502112</v>
      </c>
      <c r="C144" s="2" t="s">
        <v>633</v>
      </c>
      <c r="D144" s="2" t="str">
        <f>LEFT(TRIM(MID(SUBSTITUTE(tblShipments[[#This Row],[Details]],CHAR(10)," "), FIND(CHAR(10),tblShipments[[#This Row],[Details]])+1, 50)), 10)</f>
        <v>0512059152</v>
      </c>
      <c r="E144" s="1" t="s">
        <v>634</v>
      </c>
      <c r="F144" s="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4" s="1" t="str">
        <f>IF(tblShipments[[#This Row],[EGM no]]="", "Missing EGM", "EGM Submitted")</f>
        <v>EGM Submitted</v>
      </c>
      <c r="H144" s="1" t="str">
        <f>IF(OR(ISNUMBER(SEARCH("Released",tblShipments[[#This Row],[ROSL]])),
      ISNUMBER(SEARCH("Scroll",tblShipments[[#This Row],[ROSL]])),
      ISNUMBER(SEARCH("Y",tblShipments[[#This Row],[ROSL]]))),
   "Released",
   "Not Released")</f>
        <v>Released</v>
      </c>
      <c r="I144" s="1" t="str">
        <f>IF(OR(tblShipments[[#This Row],[EGM no]]="", tblShipments[[#This Row],[EGM no]]="N.A."), "Not Submitted", "Submitted")</f>
        <v>Submitted</v>
      </c>
      <c r="J144" s="1" t="str">
        <f>IF(LEFT(tblShipments[[#This Row],[Gateway_Extracted]],2)="IN","Valid","Invalid")</f>
        <v>Valid</v>
      </c>
      <c r="K144" t="s">
        <v>635</v>
      </c>
      <c r="L144" t="s">
        <v>636</v>
      </c>
      <c r="M144" t="s">
        <v>13</v>
      </c>
      <c r="N144" t="s">
        <v>637</v>
      </c>
      <c r="O144" t="str">
        <f>IFERROR("IN" &amp; _xlfn.TEXTBEFORE(_xlfn.TEXTAFTER(UPPER(tblShipments[[#This Row],[Gateway_clean]]),"IN")," ",1),"")</f>
        <v>INMUN1</v>
      </c>
      <c r="P144" t="str">
        <f>SUBSTITUTE(tblShipments[[#This Row],[Gateway]], CHAR(10), " ")</f>
        <v xml:space="preserve">AWB No. Gateway Port Gateway EGM No. Gateway EGM Date Gateway Site ID Error Code N.A.  INMUN1  N.A.  N.A.  N.A.  N.A. </v>
      </c>
      <c r="Q144" t="s">
        <v>244</v>
      </c>
    </row>
    <row r="145" spans="1:17" x14ac:dyDescent="0.35">
      <c r="A145" t="s">
        <v>8</v>
      </c>
      <c r="B145">
        <v>8513208</v>
      </c>
      <c r="C145" s="2" t="s">
        <v>633</v>
      </c>
      <c r="D145" s="2" t="str">
        <f>LEFT(TRIM(MID(SUBSTITUTE(tblShipments[[#This Row],[Details]],CHAR(10)," "), FIND(CHAR(10),tblShipments[[#This Row],[Details]])+1, 50)), 10)</f>
        <v>0505032473</v>
      </c>
      <c r="E145" t="s">
        <v>638</v>
      </c>
      <c r="F14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5" t="str">
        <f>IF(tblShipments[[#This Row],[EGM no]]="", "Missing EGM", "EGM Submitted")</f>
        <v>EGM Submitted</v>
      </c>
      <c r="H145" t="str">
        <f>IF(OR(ISNUMBER(SEARCH("Released",tblShipments[[#This Row],[ROSL]])),
      ISNUMBER(SEARCH("Scroll",tblShipments[[#This Row],[ROSL]])),
      ISNUMBER(SEARCH("Y",tblShipments[[#This Row],[ROSL]]))),
   "Released",
   "Not Released")</f>
        <v>Released</v>
      </c>
      <c r="I145" t="str">
        <f>IF(OR(tblShipments[[#This Row],[EGM no]]="", tblShipments[[#This Row],[EGM no]]="N.A."), "Not Submitted", "Submitted")</f>
        <v>Submitted</v>
      </c>
      <c r="J145" t="str">
        <f>IF(LEFT(tblShipments[[#This Row],[Gateway_Extracted]],2)="IN","Valid","Invalid")</f>
        <v>Valid</v>
      </c>
      <c r="K145" t="s">
        <v>639</v>
      </c>
      <c r="L145" t="s">
        <v>640</v>
      </c>
      <c r="M145" t="s">
        <v>13</v>
      </c>
      <c r="N145" t="s">
        <v>641</v>
      </c>
      <c r="O145" t="str">
        <f>IFERROR("IN" &amp; _xlfn.TEXTBEFORE(_xlfn.TEXTAFTER(UPPER(tblShipments[[#This Row],[Gateway_clean]]),"IN")," ",1),"")</f>
        <v>INMUN1</v>
      </c>
      <c r="P145" t="str">
        <f>SUBSTITUTE(tblShipments[[#This Row],[Gateway]], CHAR(10), " ")</f>
        <v xml:space="preserve">AWB No. Gateway Port Gateway EGM No. Gateway EGM Date Gateway Site ID Error Code N.A.  INMUN1  135462  2017-09-20 00:00:00.0  INMUN1  S </v>
      </c>
      <c r="Q145" t="s">
        <v>642</v>
      </c>
    </row>
    <row r="146" spans="1:17" x14ac:dyDescent="0.35">
      <c r="A146" t="s">
        <v>8</v>
      </c>
      <c r="B146">
        <v>8528718</v>
      </c>
      <c r="C146" s="2" t="s">
        <v>643</v>
      </c>
      <c r="D146" s="2" t="str">
        <f>LEFT(TRIM(MID(SUBSTITUTE(tblShipments[[#This Row],[Details]],CHAR(10)," "), FIND(CHAR(10),tblShipments[[#This Row],[Details]])+1, 50)), 10)</f>
        <v>AAKFD0331P</v>
      </c>
      <c r="E146" t="s">
        <v>644</v>
      </c>
      <c r="F14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6" t="str">
        <f>IF(tblShipments[[#This Row],[EGM no]]="", "Missing EGM", "EGM Submitted")</f>
        <v>EGM Submitted</v>
      </c>
      <c r="H146" t="str">
        <f>IF(OR(ISNUMBER(SEARCH("Released",tblShipments[[#This Row],[ROSL]])),
      ISNUMBER(SEARCH("Scroll",tblShipments[[#This Row],[ROSL]])),
      ISNUMBER(SEARCH("Y",tblShipments[[#This Row],[ROSL]]))),
   "Released",
   "Not Released")</f>
        <v>Released</v>
      </c>
      <c r="I146" t="str">
        <f>IF(OR(tblShipments[[#This Row],[EGM no]]="", tblShipments[[#This Row],[EGM no]]="N.A."), "Not Submitted", "Submitted")</f>
        <v>Submitted</v>
      </c>
      <c r="J146" t="str">
        <f>IF(LEFT(tblShipments[[#This Row],[Gateway_Extracted]],2)="IN","Valid","Invalid")</f>
        <v>Valid</v>
      </c>
      <c r="K146" t="s">
        <v>645</v>
      </c>
      <c r="L146" t="s">
        <v>646</v>
      </c>
      <c r="M146" t="s">
        <v>31</v>
      </c>
      <c r="N146" t="s">
        <v>647</v>
      </c>
      <c r="O146" t="str">
        <f>IFERROR("IN" &amp; _xlfn.TEXTBEFORE(_xlfn.TEXTAFTER(UPPER(tblShipments[[#This Row],[Gateway_clean]]),"IN")," ",1),"")</f>
        <v>INMUN1</v>
      </c>
      <c r="P146" t="str">
        <f>SUBSTITUTE(tblShipments[[#This Row],[Gateway]], CHAR(10), " ")</f>
        <v xml:space="preserve">AWB No. Gateway Port Gateway EGM No. Gateway EGM Date Gateway Site ID Error Code N.A.  INMUN1  135378  2017-09-19 00:00:00.0  INMUN1  S </v>
      </c>
      <c r="Q146" t="s">
        <v>425</v>
      </c>
    </row>
    <row r="147" spans="1:17" x14ac:dyDescent="0.35">
      <c r="A147" t="s">
        <v>8</v>
      </c>
      <c r="B147">
        <v>8533887</v>
      </c>
      <c r="C147" s="2" t="s">
        <v>643</v>
      </c>
      <c r="D147" s="2" t="str">
        <f>LEFT(TRIM(MID(SUBSTITUTE(tblShipments[[#This Row],[Details]],CHAR(10)," "), FIND(CHAR(10),tblShipments[[#This Row],[Details]])+1, 50)), 10)</f>
        <v>0512067872</v>
      </c>
      <c r="E147" t="s">
        <v>648</v>
      </c>
      <c r="F14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7" t="str">
        <f>IF(tblShipments[[#This Row],[EGM no]]="", "Missing EGM", "EGM Submitted")</f>
        <v>EGM Submitted</v>
      </c>
      <c r="H147" t="str">
        <f>IF(OR(ISNUMBER(SEARCH("Released",tblShipments[[#This Row],[ROSL]])),
      ISNUMBER(SEARCH("Scroll",tblShipments[[#This Row],[ROSL]])),
      ISNUMBER(SEARCH("Y",tblShipments[[#This Row],[ROSL]]))),
   "Released",
   "Not Released")</f>
        <v>Released</v>
      </c>
      <c r="I147" t="str">
        <f>IF(OR(tblShipments[[#This Row],[EGM no]]="", tblShipments[[#This Row],[EGM no]]="N.A."), "Not Submitted", "Submitted")</f>
        <v>Submitted</v>
      </c>
      <c r="J147" t="str">
        <f>IF(LEFT(tblShipments[[#This Row],[Gateway_Extracted]],2)="IN","Valid","Invalid")</f>
        <v>Valid</v>
      </c>
      <c r="K147" t="s">
        <v>635</v>
      </c>
      <c r="L147" t="s">
        <v>649</v>
      </c>
      <c r="M147" t="s">
        <v>13</v>
      </c>
      <c r="N147" t="s">
        <v>650</v>
      </c>
      <c r="O147" t="str">
        <f>IFERROR("IN" &amp; _xlfn.TEXTBEFORE(_xlfn.TEXTAFTER(UPPER(tblShipments[[#This Row],[Gateway_clean]]),"IN")," ",1),"")</f>
        <v>INNSA1</v>
      </c>
      <c r="P147" t="str">
        <f>SUBSTITUTE(tblShipments[[#This Row],[Gateway]], CHAR(10), " ")</f>
        <v xml:space="preserve">AWB No. Gateway Port Gateway EGM No. Gateway EGM Date Gateway Site ID Error Code N.A.  INNSA1  134930  2017-09-12 00:00:00.0  INNSA1  C </v>
      </c>
      <c r="Q147" t="s">
        <v>651</v>
      </c>
    </row>
    <row r="148" spans="1:17" x14ac:dyDescent="0.35">
      <c r="A148" t="s">
        <v>8</v>
      </c>
      <c r="B148">
        <v>8551635</v>
      </c>
      <c r="C148" s="2" t="s">
        <v>652</v>
      </c>
      <c r="D148" s="2" t="str">
        <f>LEFT(TRIM(MID(SUBSTITUTE(tblShipments[[#This Row],[Details]],CHAR(10)," "), FIND(CHAR(10),tblShipments[[#This Row],[Details]])+1, 50)), 10)</f>
        <v>0511087098</v>
      </c>
      <c r="E148" t="s">
        <v>653</v>
      </c>
      <c r="F14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8" t="str">
        <f>IF(tblShipments[[#This Row],[EGM no]]="", "Missing EGM", "EGM Submitted")</f>
        <v>EGM Submitted</v>
      </c>
      <c r="H148" t="str">
        <f>IF(OR(ISNUMBER(SEARCH("Released",tblShipments[[#This Row],[ROSL]])),
      ISNUMBER(SEARCH("Scroll",tblShipments[[#This Row],[ROSL]])),
      ISNUMBER(SEARCH("Y",tblShipments[[#This Row],[ROSL]]))),
   "Released",
   "Not Released")</f>
        <v>Released</v>
      </c>
      <c r="I148" t="str">
        <f>IF(OR(tblShipments[[#This Row],[EGM no]]="", tblShipments[[#This Row],[EGM no]]="N.A."), "Not Submitted", "Submitted")</f>
        <v>Submitted</v>
      </c>
      <c r="J148" t="str">
        <f>IF(LEFT(tblShipments[[#This Row],[Gateway_Extracted]],2)="IN","Valid","Invalid")</f>
        <v>Valid</v>
      </c>
      <c r="K148" t="s">
        <v>654</v>
      </c>
      <c r="L148" t="s">
        <v>655</v>
      </c>
      <c r="M148" t="s">
        <v>31</v>
      </c>
      <c r="N148" t="s">
        <v>656</v>
      </c>
      <c r="O148" t="str">
        <f>IFERROR("IN" &amp; _xlfn.TEXTBEFORE(_xlfn.TEXTAFTER(UPPER(tblShipments[[#This Row],[Gateway_clean]]),"IN")," ",1),"")</f>
        <v>INNSA1</v>
      </c>
      <c r="P148" t="str">
        <f>SUBSTITUTE(tblShipments[[#This Row],[Gateway]], CHAR(10), " ")</f>
        <v xml:space="preserve">AWB No. Gateway Port Gateway EGM No. Gateway EGM Date Gateway Site ID Error Code N.A.  INNSA1  N.A.  N.A.  N.A.  N.A. </v>
      </c>
      <c r="Q148" t="s">
        <v>26</v>
      </c>
    </row>
    <row r="149" spans="1:17" x14ac:dyDescent="0.35">
      <c r="A149" t="s">
        <v>8</v>
      </c>
      <c r="B149">
        <v>8576060</v>
      </c>
      <c r="C149" s="2" t="s">
        <v>657</v>
      </c>
      <c r="D149" s="2" t="str">
        <f>LEFT(TRIM(MID(SUBSTITUTE(tblShipments[[#This Row],[Details]],CHAR(10)," "), FIND(CHAR(10),tblShipments[[#This Row],[Details]])+1, 50)), 10)</f>
        <v>3104003254</v>
      </c>
      <c r="E149" t="s">
        <v>658</v>
      </c>
      <c r="F14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49" t="str">
        <f>IF(tblShipments[[#This Row],[EGM no]]="", "Missing EGM", "EGM Submitted")</f>
        <v>EGM Submitted</v>
      </c>
      <c r="H149" t="str">
        <f>IF(OR(ISNUMBER(SEARCH("Released",tblShipments[[#This Row],[ROSL]])),
      ISNUMBER(SEARCH("Scroll",tblShipments[[#This Row],[ROSL]])),
      ISNUMBER(SEARCH("Y",tblShipments[[#This Row],[ROSL]]))),
   "Released",
   "Not Released")</f>
        <v>Released</v>
      </c>
      <c r="I149" t="str">
        <f>IF(OR(tblShipments[[#This Row],[EGM no]]="", tblShipments[[#This Row],[EGM no]]="N.A."), "Not Submitted", "Submitted")</f>
        <v>Submitted</v>
      </c>
      <c r="J149" t="str">
        <f>IF(LEFT(tblShipments[[#This Row],[Gateway_Extracted]],2)="IN","Valid","Invalid")</f>
        <v>Valid</v>
      </c>
      <c r="K149" t="s">
        <v>659</v>
      </c>
      <c r="L149" t="s">
        <v>660</v>
      </c>
      <c r="M149" t="s">
        <v>13</v>
      </c>
      <c r="N149" t="s">
        <v>661</v>
      </c>
      <c r="O149" t="str">
        <f>IFERROR("IN" &amp; _xlfn.TEXTBEFORE(_xlfn.TEXTAFTER(UPPER(tblShipments[[#This Row],[Gateway_clean]]),"IN")," ",1),"")</f>
        <v>INMUN1</v>
      </c>
      <c r="P149" t="str">
        <f>SUBSTITUTE(tblShipments[[#This Row],[Gateway]], CHAR(10), " ")</f>
        <v xml:space="preserve">AWB No. Gateway Port Gateway EGM No. Gateway EGM Date Gateway Site ID Error Code N.A.  INMUN1  135461  2017-09-20 00:00:00.0  INMUN1  S </v>
      </c>
      <c r="Q149" t="s">
        <v>662</v>
      </c>
    </row>
    <row r="150" spans="1:17" x14ac:dyDescent="0.35">
      <c r="A150" t="s">
        <v>8</v>
      </c>
      <c r="B150">
        <v>8579468</v>
      </c>
      <c r="C150" s="2" t="s">
        <v>657</v>
      </c>
      <c r="D150" s="2" t="str">
        <f>LEFT(TRIM(MID(SUBSTITUTE(tblShipments[[#This Row],[Details]],CHAR(10)," "), FIND(CHAR(10),tblShipments[[#This Row],[Details]])+1, 50)), 10)</f>
        <v>0589053850</v>
      </c>
      <c r="E150" t="s">
        <v>663</v>
      </c>
      <c r="F15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0" t="str">
        <f>IF(tblShipments[[#This Row],[EGM no]]="", "Missing EGM", "EGM Submitted")</f>
        <v>EGM Submitted</v>
      </c>
      <c r="H150" t="str">
        <f>IF(OR(ISNUMBER(SEARCH("Released",tblShipments[[#This Row],[ROSL]])),
      ISNUMBER(SEARCH("Scroll",tblShipments[[#This Row],[ROSL]])),
      ISNUMBER(SEARCH("Y",tblShipments[[#This Row],[ROSL]]))),
   "Released",
   "Not Released")</f>
        <v>Released</v>
      </c>
      <c r="I150" t="str">
        <f>IF(OR(tblShipments[[#This Row],[EGM no]]="", tblShipments[[#This Row],[EGM no]]="N.A."), "Not Submitted", "Submitted")</f>
        <v>Submitted</v>
      </c>
      <c r="J150" t="str">
        <f>IF(LEFT(tblShipments[[#This Row],[Gateway_Extracted]],2)="IN","Valid","Invalid")</f>
        <v>Valid</v>
      </c>
      <c r="K150" t="s">
        <v>664</v>
      </c>
      <c r="L150" t="s">
        <v>665</v>
      </c>
      <c r="M150" t="s">
        <v>13</v>
      </c>
      <c r="N150" t="s">
        <v>666</v>
      </c>
      <c r="O150" t="str">
        <f>IFERROR("IN" &amp; _xlfn.TEXTBEFORE(_xlfn.TEXTAFTER(UPPER(tblShipments[[#This Row],[Gateway_clean]]),"IN")," ",1),"")</f>
        <v>INNSA1</v>
      </c>
      <c r="P150" t="str">
        <f>SUBSTITUTE(tblShipments[[#This Row],[Gateway]], CHAR(10), " ")</f>
        <v xml:space="preserve">AWB No. Gateway Port Gateway EGM No. Gateway EGM Date Gateway Site ID Error Code N.A.  INNSA1  134711  2017-09-07 00:00:00.0  INNSA1  ST </v>
      </c>
      <c r="Q150" t="s">
        <v>667</v>
      </c>
    </row>
    <row r="151" spans="1:17" x14ac:dyDescent="0.35">
      <c r="A151" t="s">
        <v>8</v>
      </c>
      <c r="B151">
        <v>8581999</v>
      </c>
      <c r="C151" s="2" t="s">
        <v>657</v>
      </c>
      <c r="D151" s="2" t="str">
        <f>LEFT(TRIM(MID(SUBSTITUTE(tblShipments[[#This Row],[Details]],CHAR(10)," "), FIND(CHAR(10),tblShipments[[#This Row],[Details]])+1, 50)), 10)</f>
        <v>0515060291</v>
      </c>
      <c r="E151" t="s">
        <v>668</v>
      </c>
      <c r="F15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1" t="str">
        <f>IF(tblShipments[[#This Row],[EGM no]]="", "Missing EGM", "EGM Submitted")</f>
        <v>EGM Submitted</v>
      </c>
      <c r="H151" t="str">
        <f>IF(OR(ISNUMBER(SEARCH("Released",tblShipments[[#This Row],[ROSL]])),
      ISNUMBER(SEARCH("Scroll",tblShipments[[#This Row],[ROSL]])),
      ISNUMBER(SEARCH("Y",tblShipments[[#This Row],[ROSL]]))),
   "Released",
   "Not Released")</f>
        <v>Released</v>
      </c>
      <c r="I151" t="str">
        <f>IF(OR(tblShipments[[#This Row],[EGM no]]="", tblShipments[[#This Row],[EGM no]]="N.A."), "Not Submitted", "Submitted")</f>
        <v>Submitted</v>
      </c>
      <c r="J151" t="str">
        <f>IF(LEFT(tblShipments[[#This Row],[Gateway_Extracted]],2)="IN","Valid","Invalid")</f>
        <v>Valid</v>
      </c>
      <c r="K151" t="s">
        <v>669</v>
      </c>
      <c r="L151" t="s">
        <v>670</v>
      </c>
      <c r="M151" t="s">
        <v>13</v>
      </c>
      <c r="N151" t="s">
        <v>671</v>
      </c>
      <c r="O151" t="str">
        <f>IFERROR("IN" &amp; _xlfn.TEXTBEFORE(_xlfn.TEXTAFTER(UPPER(tblShipments[[#This Row],[Gateway_clean]]),"IN")," ",1),"")</f>
        <v>INNSA1</v>
      </c>
      <c r="P151" t="str">
        <f>SUBSTITUTE(tblShipments[[#This Row],[Gateway]], CHAR(10), " ")</f>
        <v xml:space="preserve">AWB No. Gateway Port Gateway EGM No. Gateway EGM Date Gateway Site ID Error Code N.A.  INNSA1  135192  2017-09-15 00:00:00.0  INNSA1  S </v>
      </c>
      <c r="Q151" t="s">
        <v>672</v>
      </c>
    </row>
    <row r="152" spans="1:17" x14ac:dyDescent="0.35">
      <c r="A152" t="s">
        <v>8</v>
      </c>
      <c r="B152">
        <v>8584007</v>
      </c>
      <c r="C152" s="2" t="s">
        <v>657</v>
      </c>
      <c r="D152" s="2" t="str">
        <f>LEFT(TRIM(MID(SUBSTITUTE(tblShipments[[#This Row],[Details]],CHAR(10)," "), FIND(CHAR(10),tblShipments[[#This Row],[Details]])+1, 50)), 10)</f>
        <v>0507051360</v>
      </c>
      <c r="E152" t="s">
        <v>673</v>
      </c>
      <c r="F15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2" t="str">
        <f>IF(tblShipments[[#This Row],[EGM no]]="", "Missing EGM", "EGM Submitted")</f>
        <v>EGM Submitted</v>
      </c>
      <c r="H152" t="str">
        <f>IF(OR(ISNUMBER(SEARCH("Released",tblShipments[[#This Row],[ROSL]])),
      ISNUMBER(SEARCH("Scroll",tblShipments[[#This Row],[ROSL]])),
      ISNUMBER(SEARCH("Y",tblShipments[[#This Row],[ROSL]]))),
   "Released",
   "Not Released")</f>
        <v>Released</v>
      </c>
      <c r="I152" t="str">
        <f>IF(OR(tblShipments[[#This Row],[EGM no]]="", tblShipments[[#This Row],[EGM no]]="N.A."), "Not Submitted", "Submitted")</f>
        <v>Submitted</v>
      </c>
      <c r="J152" t="str">
        <f>IF(LEFT(tblShipments[[#This Row],[Gateway_Extracted]],2)="IN","Valid","Invalid")</f>
        <v>Valid</v>
      </c>
      <c r="K152" t="s">
        <v>674</v>
      </c>
      <c r="L152" t="s">
        <v>655</v>
      </c>
      <c r="M152" t="s">
        <v>13</v>
      </c>
      <c r="N152" t="s">
        <v>675</v>
      </c>
      <c r="O152" t="str">
        <f>IFERROR("IN" &amp; _xlfn.TEXTBEFORE(_xlfn.TEXTAFTER(UPPER(tblShipments[[#This Row],[Gateway_clean]]),"IN")," ",1),"")</f>
        <v>INNSA1</v>
      </c>
      <c r="P152" t="str">
        <f>SUBSTITUTE(tblShipments[[#This Row],[Gateway]], CHAR(10), " ")</f>
        <v xml:space="preserve">AWB No. Gateway Port Gateway EGM No. Gateway EGM Date Gateway Site ID Error Code N.A.  INNSA1  135086  2017-09-14 00:00:00.0  INNSA1  S </v>
      </c>
      <c r="Q152" t="s">
        <v>676</v>
      </c>
    </row>
    <row r="153" spans="1:17" x14ac:dyDescent="0.35">
      <c r="A153" t="s">
        <v>8</v>
      </c>
      <c r="B153">
        <v>8584704</v>
      </c>
      <c r="C153" s="2" t="s">
        <v>657</v>
      </c>
      <c r="D153" s="2" t="str">
        <f>LEFT(TRIM(MID(SUBSTITUTE(tblShipments[[#This Row],[Details]],CHAR(10)," "), FIND(CHAR(10),tblShipments[[#This Row],[Details]])+1, 50)), 10)</f>
        <v>0507023722</v>
      </c>
      <c r="E153" t="s">
        <v>677</v>
      </c>
      <c r="F15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3" t="str">
        <f>IF(tblShipments[[#This Row],[EGM no]]="", "Missing EGM", "EGM Submitted")</f>
        <v>EGM Submitted</v>
      </c>
      <c r="H153" t="str">
        <f>IF(OR(ISNUMBER(SEARCH("Released",tblShipments[[#This Row],[ROSL]])),
      ISNUMBER(SEARCH("Scroll",tblShipments[[#This Row],[ROSL]])),
      ISNUMBER(SEARCH("Y",tblShipments[[#This Row],[ROSL]]))),
   "Released",
   "Not Released")</f>
        <v>Released</v>
      </c>
      <c r="I153" t="str">
        <f>IF(OR(tblShipments[[#This Row],[EGM no]]="", tblShipments[[#This Row],[EGM no]]="N.A."), "Not Submitted", "Submitted")</f>
        <v>Submitted</v>
      </c>
      <c r="J153" t="str">
        <f>IF(LEFT(tblShipments[[#This Row],[Gateway_Extracted]],2)="IN","Valid","Invalid")</f>
        <v>Valid</v>
      </c>
      <c r="K153" t="s">
        <v>562</v>
      </c>
      <c r="L153" t="s">
        <v>678</v>
      </c>
      <c r="M153" t="s">
        <v>31</v>
      </c>
      <c r="N153" t="s">
        <v>679</v>
      </c>
      <c r="O153" t="str">
        <f>IFERROR("IN" &amp; _xlfn.TEXTBEFORE(_xlfn.TEXTAFTER(UPPER(tblShipments[[#This Row],[Gateway_clean]]),"IN")," ",1),"")</f>
        <v>INNSA1</v>
      </c>
      <c r="P153" t="str">
        <f>SUBSTITUTE(tblShipments[[#This Row],[Gateway]], CHAR(10), " ")</f>
        <v xml:space="preserve">AWB No. Gateway Port Gateway EGM No. Gateway EGM Date Gateway Site ID Error Code N.A.  INNSA1  134938  2017-09-12 00:00:00.0  INNSA1  S </v>
      </c>
      <c r="Q153" t="s">
        <v>680</v>
      </c>
    </row>
    <row r="154" spans="1:17" x14ac:dyDescent="0.35">
      <c r="A154" t="s">
        <v>8</v>
      </c>
      <c r="B154">
        <v>8600398</v>
      </c>
      <c r="C154" s="2" t="s">
        <v>681</v>
      </c>
      <c r="D154" s="2" t="str">
        <f>LEFT(TRIM(MID(SUBSTITUTE(tblShipments[[#This Row],[Details]],CHAR(10)," "), FIND(CHAR(10),tblShipments[[#This Row],[Details]])+1, 50)), 10)</f>
        <v>0506004830</v>
      </c>
      <c r="E154" t="s">
        <v>682</v>
      </c>
      <c r="F15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4" t="str">
        <f>IF(tblShipments[[#This Row],[EGM no]]="", "Missing EGM", "EGM Submitted")</f>
        <v>EGM Submitted</v>
      </c>
      <c r="H154" t="str">
        <f>IF(OR(ISNUMBER(SEARCH("Released",tblShipments[[#This Row],[ROSL]])),
      ISNUMBER(SEARCH("Scroll",tblShipments[[#This Row],[ROSL]])),
      ISNUMBER(SEARCH("Y",tblShipments[[#This Row],[ROSL]]))),
   "Released",
   "Not Released")</f>
        <v>Released</v>
      </c>
      <c r="I154" t="str">
        <f>IF(OR(tblShipments[[#This Row],[EGM no]]="", tblShipments[[#This Row],[EGM no]]="N.A."), "Not Submitted", "Submitted")</f>
        <v>Submitted</v>
      </c>
      <c r="J154" t="str">
        <f>IF(LEFT(tblShipments[[#This Row],[Gateway_Extracted]],2)="IN","Valid","Invalid")</f>
        <v>Valid</v>
      </c>
      <c r="K154" t="s">
        <v>659</v>
      </c>
      <c r="L154" t="s">
        <v>655</v>
      </c>
      <c r="M154" t="s">
        <v>13</v>
      </c>
      <c r="N154" t="s">
        <v>683</v>
      </c>
      <c r="O154" t="str">
        <f>IFERROR("IN" &amp; _xlfn.TEXTBEFORE(_xlfn.TEXTAFTER(UPPER(tblShipments[[#This Row],[Gateway_clean]]),"IN")," ",1),"")</f>
        <v>INNSA1</v>
      </c>
      <c r="P154" t="str">
        <f>SUBSTITUTE(tblShipments[[#This Row],[Gateway]], CHAR(10), " ")</f>
        <v xml:space="preserve">AWB No. Gateway Port Gateway EGM No. Gateway EGM Date Gateway Site ID Error Code N.A.  INNSA1  N.A.  N.A.  N.A.  N.A. </v>
      </c>
      <c r="Q154" t="s">
        <v>26</v>
      </c>
    </row>
    <row r="155" spans="1:17" x14ac:dyDescent="0.35">
      <c r="A155" t="s">
        <v>8</v>
      </c>
      <c r="B155">
        <v>8602587</v>
      </c>
      <c r="C155" s="2" t="s">
        <v>681</v>
      </c>
      <c r="D155" s="2" t="str">
        <f>LEFT(TRIM(MID(SUBSTITUTE(tblShipments[[#This Row],[Details]],CHAR(10)," "), FIND(CHAR(10),tblShipments[[#This Row],[Details]])+1, 50)), 10)</f>
        <v>1314000233</v>
      </c>
      <c r="E155" t="s">
        <v>684</v>
      </c>
      <c r="F15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5" t="str">
        <f>IF(tblShipments[[#This Row],[EGM no]]="", "Missing EGM", "EGM Submitted")</f>
        <v>EGM Submitted</v>
      </c>
      <c r="H155" t="str">
        <f>IF(OR(ISNUMBER(SEARCH("Released",tblShipments[[#This Row],[ROSL]])),
      ISNUMBER(SEARCH("Scroll",tblShipments[[#This Row],[ROSL]])),
      ISNUMBER(SEARCH("Y",tblShipments[[#This Row],[ROSL]]))),
   "Released",
   "Not Released")</f>
        <v>Released</v>
      </c>
      <c r="I155" t="str">
        <f>IF(OR(tblShipments[[#This Row],[EGM no]]="", tblShipments[[#This Row],[EGM no]]="N.A."), "Not Submitted", "Submitted")</f>
        <v>Submitted</v>
      </c>
      <c r="J155" t="str">
        <f>IF(LEFT(tblShipments[[#This Row],[Gateway_Extracted]],2)="IN","Valid","Invalid")</f>
        <v>Valid</v>
      </c>
      <c r="K155" t="s">
        <v>685</v>
      </c>
      <c r="L155" t="s">
        <v>686</v>
      </c>
      <c r="M155" t="s">
        <v>13</v>
      </c>
      <c r="N155" t="s">
        <v>687</v>
      </c>
      <c r="O155" t="str">
        <f>IFERROR("IN" &amp; _xlfn.TEXTBEFORE(_xlfn.TEXTAFTER(UPPER(tblShipments[[#This Row],[Gateway_clean]]),"IN")," ",1),"")</f>
        <v>INNSA1</v>
      </c>
      <c r="P155" t="str">
        <f>SUBSTITUTE(tblShipments[[#This Row],[Gateway]], CHAR(10), " ")</f>
        <v xml:space="preserve">AWB No. Gateway Port Gateway EGM No. Gateway EGM Date Gateway Site ID Error Code N.A.  INNSA1  134766  2017-09-08 00:00:00.0  INNSA1  S </v>
      </c>
      <c r="Q155" t="s">
        <v>688</v>
      </c>
    </row>
    <row r="156" spans="1:17" x14ac:dyDescent="0.35">
      <c r="A156" t="s">
        <v>8</v>
      </c>
      <c r="B156">
        <v>8605254</v>
      </c>
      <c r="C156" s="2" t="s">
        <v>681</v>
      </c>
      <c r="D156" s="2" t="str">
        <f>LEFT(TRIM(MID(SUBSTITUTE(tblShipments[[#This Row],[Details]],CHAR(10)," "), FIND(CHAR(10),tblShipments[[#This Row],[Details]])+1, 50)), 10)</f>
        <v>0515920274</v>
      </c>
      <c r="E156" t="s">
        <v>689</v>
      </c>
      <c r="F15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6" t="str">
        <f>IF(tblShipments[[#This Row],[EGM no]]="", "Missing EGM", "EGM Submitted")</f>
        <v>EGM Submitted</v>
      </c>
      <c r="H156" t="str">
        <f>IF(OR(ISNUMBER(SEARCH("Released",tblShipments[[#This Row],[ROSL]])),
      ISNUMBER(SEARCH("Scroll",tblShipments[[#This Row],[ROSL]])),
      ISNUMBER(SEARCH("Y",tblShipments[[#This Row],[ROSL]]))),
   "Released",
   "Not Released")</f>
        <v>Released</v>
      </c>
      <c r="I156" t="str">
        <f>IF(OR(tblShipments[[#This Row],[EGM no]]="", tblShipments[[#This Row],[EGM no]]="N.A."), "Not Submitted", "Submitted")</f>
        <v>Submitted</v>
      </c>
      <c r="J156" t="str">
        <f>IF(LEFT(tblShipments[[#This Row],[Gateway_Extracted]],2)="IN","Valid","Invalid")</f>
        <v>Valid</v>
      </c>
      <c r="K156" t="s">
        <v>645</v>
      </c>
      <c r="L156" t="s">
        <v>690</v>
      </c>
      <c r="M156" t="s">
        <v>31</v>
      </c>
      <c r="N156" t="s">
        <v>691</v>
      </c>
      <c r="O156" t="str">
        <f>IFERROR("IN" &amp; _xlfn.TEXTBEFORE(_xlfn.TEXTAFTER(UPPER(tblShipments[[#This Row],[Gateway_clean]]),"IN")," ",1),"")</f>
        <v>INNSA1</v>
      </c>
      <c r="P156" t="str">
        <f>SUBSTITUTE(tblShipments[[#This Row],[Gateway]], CHAR(10), " ")</f>
        <v xml:space="preserve">AWB No. Gateway Port Gateway EGM No. Gateway EGM Date Gateway Site ID Error Code N.A.  INNSA1  135065  2017-09-14 00:00:00.0  INNSA1  S </v>
      </c>
      <c r="Q156" t="s">
        <v>692</v>
      </c>
    </row>
    <row r="157" spans="1:17" x14ac:dyDescent="0.35">
      <c r="A157" t="s">
        <v>8</v>
      </c>
      <c r="B157">
        <v>8607213</v>
      </c>
      <c r="C157" s="2" t="s">
        <v>681</v>
      </c>
      <c r="D157" s="2" t="str">
        <f>LEFT(TRIM(MID(SUBSTITUTE(tblShipments[[#This Row],[Details]],CHAR(10)," "), FIND(CHAR(10),tblShipments[[#This Row],[Details]])+1, 50)), 10)</f>
        <v>0513013261</v>
      </c>
      <c r="E157" t="s">
        <v>693</v>
      </c>
      <c r="F15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7" t="str">
        <f>IF(tblShipments[[#This Row],[EGM no]]="", "Missing EGM", "EGM Submitted")</f>
        <v>EGM Submitted</v>
      </c>
      <c r="H157" t="str">
        <f>IF(OR(ISNUMBER(SEARCH("Released",tblShipments[[#This Row],[ROSL]])),
      ISNUMBER(SEARCH("Scroll",tblShipments[[#This Row],[ROSL]])),
      ISNUMBER(SEARCH("Y",tblShipments[[#This Row],[ROSL]]))),
   "Released",
   "Not Released")</f>
        <v>Released</v>
      </c>
      <c r="I157" t="str">
        <f>IF(OR(tblShipments[[#This Row],[EGM no]]="", tblShipments[[#This Row],[EGM no]]="N.A."), "Not Submitted", "Submitted")</f>
        <v>Submitted</v>
      </c>
      <c r="J157" t="str">
        <f>IF(LEFT(tblShipments[[#This Row],[Gateway_Extracted]],2)="IN","Valid","Invalid")</f>
        <v>Valid</v>
      </c>
      <c r="K157" t="s">
        <v>694</v>
      </c>
      <c r="L157" t="s">
        <v>695</v>
      </c>
      <c r="M157" t="s">
        <v>13</v>
      </c>
      <c r="N157" t="s">
        <v>696</v>
      </c>
      <c r="O157" t="str">
        <f>IFERROR("IN" &amp; _xlfn.TEXTBEFORE(_xlfn.TEXTAFTER(UPPER(tblShipments[[#This Row],[Gateway_clean]]),"IN")," ",1),"")</f>
        <v>INMUN1</v>
      </c>
      <c r="P157" t="str">
        <f>SUBSTITUTE(tblShipments[[#This Row],[Gateway]], CHAR(10), " ")</f>
        <v xml:space="preserve">AWB No. Gateway Port Gateway EGM No. Gateway EGM Date Gateway Site ID Error Code N.A.  INMUN1  135995  2017-09-28 00:00:00.0  INMUN1  S </v>
      </c>
      <c r="Q157" t="s">
        <v>697</v>
      </c>
    </row>
    <row r="158" spans="1:17" x14ac:dyDescent="0.35">
      <c r="A158" t="s">
        <v>8</v>
      </c>
      <c r="B158">
        <v>8607674</v>
      </c>
      <c r="C158" s="2" t="s">
        <v>681</v>
      </c>
      <c r="D158" s="2" t="str">
        <f>LEFT(TRIM(MID(SUBSTITUTE(tblShipments[[#This Row],[Details]],CHAR(10)," "), FIND(CHAR(10),tblShipments[[#This Row],[Details]])+1, 50)), 10)</f>
        <v>0709012331</v>
      </c>
      <c r="E158" t="s">
        <v>698</v>
      </c>
      <c r="F15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8" t="str">
        <f>IF(tblShipments[[#This Row],[EGM no]]="", "Missing EGM", "EGM Submitted")</f>
        <v>EGM Submitted</v>
      </c>
      <c r="H158" t="str">
        <f>IF(OR(ISNUMBER(SEARCH("Released",tblShipments[[#This Row],[ROSL]])),
      ISNUMBER(SEARCH("Scroll",tblShipments[[#This Row],[ROSL]])),
      ISNUMBER(SEARCH("Y",tblShipments[[#This Row],[ROSL]]))),
   "Released",
   "Not Released")</f>
        <v>Released</v>
      </c>
      <c r="I158" t="str">
        <f>IF(OR(tblShipments[[#This Row],[EGM no]]="", tblShipments[[#This Row],[EGM no]]="N.A."), "Not Submitted", "Submitted")</f>
        <v>Submitted</v>
      </c>
      <c r="J158" t="str">
        <f>IF(LEFT(tblShipments[[#This Row],[Gateway_Extracted]],2)="IN","Valid","Invalid")</f>
        <v>Valid</v>
      </c>
      <c r="K158" t="s">
        <v>699</v>
      </c>
      <c r="L158" t="s">
        <v>700</v>
      </c>
      <c r="M158" t="s">
        <v>13</v>
      </c>
      <c r="N158" t="s">
        <v>701</v>
      </c>
      <c r="O158" t="str">
        <f>IFERROR("IN" &amp; _xlfn.TEXTBEFORE(_xlfn.TEXTAFTER(UPPER(tblShipments[[#This Row],[Gateway_clean]]),"IN")," ",1),"")</f>
        <v>INNSA1</v>
      </c>
      <c r="P158" t="str">
        <f>SUBSTITUTE(tblShipments[[#This Row],[Gateway]], CHAR(10), " ")</f>
        <v xml:space="preserve">AWB No. Gateway Port Gateway EGM No. Gateway EGM Date Gateway Site ID Error Code N.A.  INNSA1  N.A.  N.A.  N.A.  N.A. </v>
      </c>
      <c r="Q158" t="s">
        <v>26</v>
      </c>
    </row>
    <row r="159" spans="1:17" x14ac:dyDescent="0.35">
      <c r="A159" t="s">
        <v>8</v>
      </c>
      <c r="B159">
        <v>8608392</v>
      </c>
      <c r="C159" s="2" t="s">
        <v>681</v>
      </c>
      <c r="D159" s="2" t="str">
        <f>LEFT(TRIM(MID(SUBSTITUTE(tblShipments[[#This Row],[Details]],CHAR(10)," "), FIND(CHAR(10),tblShipments[[#This Row],[Details]])+1, 50)), 10)</f>
        <v>AAECE6932C</v>
      </c>
      <c r="E159" t="s">
        <v>702</v>
      </c>
      <c r="F15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59" t="str">
        <f>IF(tblShipments[[#This Row],[EGM no]]="", "Missing EGM", "EGM Submitted")</f>
        <v>EGM Submitted</v>
      </c>
      <c r="H159" t="str">
        <f>IF(OR(ISNUMBER(SEARCH("Released",tblShipments[[#This Row],[ROSL]])),
      ISNUMBER(SEARCH("Scroll",tblShipments[[#This Row],[ROSL]])),
      ISNUMBER(SEARCH("Y",tblShipments[[#This Row],[ROSL]]))),
   "Released",
   "Not Released")</f>
        <v>Released</v>
      </c>
      <c r="I159" t="str">
        <f>IF(OR(tblShipments[[#This Row],[EGM no]]="", tblShipments[[#This Row],[EGM no]]="N.A."), "Not Submitted", "Submitted")</f>
        <v>Submitted</v>
      </c>
      <c r="J159" t="str">
        <f>IF(LEFT(tblShipments[[#This Row],[Gateway_Extracted]],2)="IN","Valid","Invalid")</f>
        <v>Valid</v>
      </c>
      <c r="K159" t="s">
        <v>664</v>
      </c>
      <c r="L159" t="s">
        <v>703</v>
      </c>
      <c r="M159" t="s">
        <v>704</v>
      </c>
      <c r="N159" t="s">
        <v>705</v>
      </c>
      <c r="O159" t="str">
        <f>IFERROR("IN" &amp; _xlfn.TEXTBEFORE(_xlfn.TEXTAFTER(UPPER(tblShipments[[#This Row],[Gateway_clean]]),"IN")," ",1),"")</f>
        <v>INPAV1</v>
      </c>
      <c r="P159" t="str">
        <f>SUBSTITUTE(tblShipments[[#This Row],[Gateway]], CHAR(10), " ")</f>
        <v xml:space="preserve">AWB No. Gateway Port Gateway EGM No. Gateway EGM Date Gateway Site ID Error Code N.A.  INPAV1  134063  2017-08-28 00:00:00.0  INPAV1  S </v>
      </c>
      <c r="Q159" t="s">
        <v>706</v>
      </c>
    </row>
    <row r="160" spans="1:17" x14ac:dyDescent="0.35">
      <c r="A160" t="s">
        <v>8</v>
      </c>
      <c r="B160">
        <v>8608445</v>
      </c>
      <c r="C160" s="2" t="s">
        <v>681</v>
      </c>
      <c r="D160" s="2" t="str">
        <f>LEFT(TRIM(MID(SUBSTITUTE(tblShipments[[#This Row],[Details]],CHAR(10)," "), FIND(CHAR(10),tblShipments[[#This Row],[Details]])+1, 50)), 10)</f>
        <v>AAECE6932C</v>
      </c>
      <c r="E160" t="s">
        <v>707</v>
      </c>
      <c r="F16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0" t="str">
        <f>IF(tblShipments[[#This Row],[EGM no]]="", "Missing EGM", "EGM Submitted")</f>
        <v>EGM Submitted</v>
      </c>
      <c r="H160" t="str">
        <f>IF(OR(ISNUMBER(SEARCH("Released",tblShipments[[#This Row],[ROSL]])),
      ISNUMBER(SEARCH("Scroll",tblShipments[[#This Row],[ROSL]])),
      ISNUMBER(SEARCH("Y",tblShipments[[#This Row],[ROSL]]))),
   "Released",
   "Not Released")</f>
        <v>Released</v>
      </c>
      <c r="I160" t="str">
        <f>IF(OR(tblShipments[[#This Row],[EGM no]]="", tblShipments[[#This Row],[EGM no]]="N.A."), "Not Submitted", "Submitted")</f>
        <v>Submitted</v>
      </c>
      <c r="J160" t="str">
        <f>IF(LEFT(tblShipments[[#This Row],[Gateway_Extracted]],2)="IN","Valid","Invalid")</f>
        <v>Valid</v>
      </c>
      <c r="K160" t="s">
        <v>664</v>
      </c>
      <c r="L160" t="s">
        <v>708</v>
      </c>
      <c r="M160" t="s">
        <v>709</v>
      </c>
      <c r="N160" t="s">
        <v>710</v>
      </c>
      <c r="O160" t="str">
        <f>IFERROR("IN" &amp; _xlfn.TEXTBEFORE(_xlfn.TEXTAFTER(UPPER(tblShipments[[#This Row],[Gateway_clean]]),"IN")," ",1),"")</f>
        <v>INPAV1</v>
      </c>
      <c r="P160" t="str">
        <f>SUBSTITUTE(tblShipments[[#This Row],[Gateway]], CHAR(10), " ")</f>
        <v xml:space="preserve">AWB No. Gateway Port Gateway EGM No. Gateway EGM Date Gateway Site ID Error Code N.A.  INPAV1  134063  2017-08-28 00:00:00.0  INPAV1  S </v>
      </c>
      <c r="Q160" t="s">
        <v>706</v>
      </c>
    </row>
    <row r="161" spans="1:17" x14ac:dyDescent="0.35">
      <c r="A161" t="s">
        <v>8</v>
      </c>
      <c r="B161">
        <v>8608455</v>
      </c>
      <c r="C161" s="2" t="s">
        <v>681</v>
      </c>
      <c r="D161" s="2" t="str">
        <f>LEFT(TRIM(MID(SUBSTITUTE(tblShipments[[#This Row],[Details]],CHAR(10)," "), FIND(CHAR(10),tblShipments[[#This Row],[Details]])+1, 50)), 10)</f>
        <v>AAECE6932C</v>
      </c>
      <c r="E161" t="s">
        <v>711</v>
      </c>
      <c r="F16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1" t="str">
        <f>IF(tblShipments[[#This Row],[EGM no]]="", "Missing EGM", "EGM Submitted")</f>
        <v>EGM Submitted</v>
      </c>
      <c r="H161" t="str">
        <f>IF(OR(ISNUMBER(SEARCH("Released",tblShipments[[#This Row],[ROSL]])),
      ISNUMBER(SEARCH("Scroll",tblShipments[[#This Row],[ROSL]])),
      ISNUMBER(SEARCH("Y",tblShipments[[#This Row],[ROSL]]))),
   "Released",
   "Not Released")</f>
        <v>Released</v>
      </c>
      <c r="I161" t="str">
        <f>IF(OR(tblShipments[[#This Row],[EGM no]]="", tblShipments[[#This Row],[EGM no]]="N.A."), "Not Submitted", "Submitted")</f>
        <v>Submitted</v>
      </c>
      <c r="J161" t="str">
        <f>IF(LEFT(tblShipments[[#This Row],[Gateway_Extracted]],2)="IN","Valid","Invalid")</f>
        <v>Valid</v>
      </c>
      <c r="K161" t="s">
        <v>664</v>
      </c>
      <c r="L161" t="s">
        <v>703</v>
      </c>
      <c r="M161" t="s">
        <v>704</v>
      </c>
      <c r="N161" t="s">
        <v>705</v>
      </c>
      <c r="O161" t="str">
        <f>IFERROR("IN" &amp; _xlfn.TEXTBEFORE(_xlfn.TEXTAFTER(UPPER(tblShipments[[#This Row],[Gateway_clean]]),"IN")," ",1),"")</f>
        <v>INPAV1</v>
      </c>
      <c r="P161" t="str">
        <f>SUBSTITUTE(tblShipments[[#This Row],[Gateway]], CHAR(10), " ")</f>
        <v xml:space="preserve">AWB No. Gateway Port Gateway EGM No. Gateway EGM Date Gateway Site ID Error Code N.A.  INPAV1  134063  2017-08-28 00:00:00.0  INPAV1  S </v>
      </c>
      <c r="Q161" t="s">
        <v>706</v>
      </c>
    </row>
    <row r="162" spans="1:17" x14ac:dyDescent="0.35">
      <c r="A162" t="s">
        <v>8</v>
      </c>
      <c r="B162">
        <v>8608463</v>
      </c>
      <c r="C162" s="2" t="s">
        <v>681</v>
      </c>
      <c r="D162" s="2" t="str">
        <f>LEFT(TRIM(MID(SUBSTITUTE(tblShipments[[#This Row],[Details]],CHAR(10)," "), FIND(CHAR(10),tblShipments[[#This Row],[Details]])+1, 50)), 10)</f>
        <v>AAECE6932C</v>
      </c>
      <c r="E162" t="s">
        <v>712</v>
      </c>
      <c r="F16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2" t="str">
        <f>IF(tblShipments[[#This Row],[EGM no]]="", "Missing EGM", "EGM Submitted")</f>
        <v>EGM Submitted</v>
      </c>
      <c r="H162" t="str">
        <f>IF(OR(ISNUMBER(SEARCH("Released",tblShipments[[#This Row],[ROSL]])),
      ISNUMBER(SEARCH("Scroll",tblShipments[[#This Row],[ROSL]])),
      ISNUMBER(SEARCH("Y",tblShipments[[#This Row],[ROSL]]))),
   "Released",
   "Not Released")</f>
        <v>Released</v>
      </c>
      <c r="I162" t="str">
        <f>IF(OR(tblShipments[[#This Row],[EGM no]]="", tblShipments[[#This Row],[EGM no]]="N.A."), "Not Submitted", "Submitted")</f>
        <v>Submitted</v>
      </c>
      <c r="J162" t="str">
        <f>IF(LEFT(tblShipments[[#This Row],[Gateway_Extracted]],2)="IN","Valid","Invalid")</f>
        <v>Valid</v>
      </c>
      <c r="K162" t="s">
        <v>664</v>
      </c>
      <c r="L162" t="s">
        <v>708</v>
      </c>
      <c r="M162" t="s">
        <v>709</v>
      </c>
      <c r="N162" t="s">
        <v>710</v>
      </c>
      <c r="O162" t="str">
        <f>IFERROR("IN" &amp; _xlfn.TEXTBEFORE(_xlfn.TEXTAFTER(UPPER(tblShipments[[#This Row],[Gateway_clean]]),"IN")," ",1),"")</f>
        <v>INPAV1</v>
      </c>
      <c r="P162" t="str">
        <f>SUBSTITUTE(tblShipments[[#This Row],[Gateway]], CHAR(10), " ")</f>
        <v xml:space="preserve">AWB No. Gateway Port Gateway EGM No. Gateway EGM Date Gateway Site ID Error Code N.A.  INPAV1  134063  2017-08-28 00:00:00.0  INPAV1  S </v>
      </c>
      <c r="Q162" t="s">
        <v>706</v>
      </c>
    </row>
    <row r="163" spans="1:17" x14ac:dyDescent="0.35">
      <c r="A163" t="s">
        <v>8</v>
      </c>
      <c r="B163">
        <v>8608521</v>
      </c>
      <c r="C163" s="2" t="s">
        <v>681</v>
      </c>
      <c r="D163" s="2" t="str">
        <f>LEFT(TRIM(MID(SUBSTITUTE(tblShipments[[#This Row],[Details]],CHAR(10)," "), FIND(CHAR(10),tblShipments[[#This Row],[Details]])+1, 50)), 10)</f>
        <v>AAECE6932C</v>
      </c>
      <c r="E163" t="s">
        <v>713</v>
      </c>
      <c r="F16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3" t="str">
        <f>IF(tblShipments[[#This Row],[EGM no]]="", "Missing EGM", "EGM Submitted")</f>
        <v>EGM Submitted</v>
      </c>
      <c r="H163" t="str">
        <f>IF(OR(ISNUMBER(SEARCH("Released",tblShipments[[#This Row],[ROSL]])),
      ISNUMBER(SEARCH("Scroll",tblShipments[[#This Row],[ROSL]])),
      ISNUMBER(SEARCH("Y",tblShipments[[#This Row],[ROSL]]))),
   "Released",
   "Not Released")</f>
        <v>Released</v>
      </c>
      <c r="I163" t="str">
        <f>IF(OR(tblShipments[[#This Row],[EGM no]]="", tblShipments[[#This Row],[EGM no]]="N.A."), "Not Submitted", "Submitted")</f>
        <v>Submitted</v>
      </c>
      <c r="J163" t="str">
        <f>IF(LEFT(tblShipments[[#This Row],[Gateway_Extracted]],2)="IN","Valid","Invalid")</f>
        <v>Valid</v>
      </c>
      <c r="K163" t="s">
        <v>664</v>
      </c>
      <c r="L163" t="s">
        <v>708</v>
      </c>
      <c r="M163" t="s">
        <v>704</v>
      </c>
      <c r="N163" t="s">
        <v>705</v>
      </c>
      <c r="O163" t="str">
        <f>IFERROR("IN" &amp; _xlfn.TEXTBEFORE(_xlfn.TEXTAFTER(UPPER(tblShipments[[#This Row],[Gateway_clean]]),"IN")," ",1),"")</f>
        <v>INPAV1</v>
      </c>
      <c r="P163" t="str">
        <f>SUBSTITUTE(tblShipments[[#This Row],[Gateway]], CHAR(10), " ")</f>
        <v xml:space="preserve">AWB No. Gateway Port Gateway EGM No. Gateway EGM Date Gateway Site ID Error Code N.A.  INPAV1  134063  2017-08-28 00:00:00.0  INPAV1  S </v>
      </c>
      <c r="Q163" t="s">
        <v>706</v>
      </c>
    </row>
    <row r="164" spans="1:17" x14ac:dyDescent="0.35">
      <c r="A164" t="s">
        <v>8</v>
      </c>
      <c r="B164">
        <v>8610604</v>
      </c>
      <c r="C164" s="2" t="s">
        <v>681</v>
      </c>
      <c r="D164" s="2" t="str">
        <f>LEFT(TRIM(MID(SUBSTITUTE(tblShipments[[#This Row],[Details]],CHAR(10)," "), FIND(CHAR(10),tblShipments[[#This Row],[Details]])+1, 50)), 10)</f>
        <v>0595012647</v>
      </c>
      <c r="E164" t="s">
        <v>714</v>
      </c>
      <c r="F16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4" t="str">
        <f>IF(tblShipments[[#This Row],[EGM no]]="", "Missing EGM", "EGM Submitted")</f>
        <v>EGM Submitted</v>
      </c>
      <c r="H164" t="str">
        <f>IF(OR(ISNUMBER(SEARCH("Released",tblShipments[[#This Row],[ROSL]])),
      ISNUMBER(SEARCH("Scroll",tblShipments[[#This Row],[ROSL]])),
      ISNUMBER(SEARCH("Y",tblShipments[[#This Row],[ROSL]]))),
   "Released",
   "Not Released")</f>
        <v>Released</v>
      </c>
      <c r="I164" t="str">
        <f>IF(OR(tblShipments[[#This Row],[EGM no]]="", tblShipments[[#This Row],[EGM no]]="N.A."), "Not Submitted", "Submitted")</f>
        <v>Submitted</v>
      </c>
      <c r="J164" t="str">
        <f>IF(LEFT(tblShipments[[#This Row],[Gateway_Extracted]],2)="IN","Valid","Invalid")</f>
        <v>Valid</v>
      </c>
      <c r="K164" t="s">
        <v>715</v>
      </c>
      <c r="L164" t="s">
        <v>716</v>
      </c>
      <c r="M164" t="s">
        <v>13</v>
      </c>
      <c r="N164" t="s">
        <v>717</v>
      </c>
      <c r="O164" t="str">
        <f>IFERROR("IN" &amp; _xlfn.TEXTBEFORE(_xlfn.TEXTAFTER(UPPER(tblShipments[[#This Row],[Gateway_clean]]),"IN")," ",1),"")</f>
        <v>INMUN1</v>
      </c>
      <c r="P164" t="str">
        <f>SUBSTITUTE(tblShipments[[#This Row],[Gateway]], CHAR(10), " ")</f>
        <v xml:space="preserve">AWB No. Gateway Port Gateway EGM No. Gateway EGM Date Gateway Site ID Error Code N.A.  INMUN1  134211  2017-08-30 00:00:00.0  INMUN1  S </v>
      </c>
      <c r="Q164" t="s">
        <v>718</v>
      </c>
    </row>
    <row r="165" spans="1:17" x14ac:dyDescent="0.35">
      <c r="A165" t="s">
        <v>8</v>
      </c>
      <c r="B165">
        <v>8612296</v>
      </c>
      <c r="C165" s="2" t="s">
        <v>681</v>
      </c>
      <c r="D165" s="2" t="str">
        <f>LEFT(TRIM(MID(SUBSTITUTE(tblShipments[[#This Row],[Details]],CHAR(10)," "), FIND(CHAR(10),tblShipments[[#This Row],[Details]])+1, 50)), 10)</f>
        <v>0511063865</v>
      </c>
      <c r="E165" t="s">
        <v>719</v>
      </c>
      <c r="F16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5" t="str">
        <f>IF(tblShipments[[#This Row],[EGM no]]="", "Missing EGM", "EGM Submitted")</f>
        <v>EGM Submitted</v>
      </c>
      <c r="H165" t="str">
        <f>IF(OR(ISNUMBER(SEARCH("Released",tblShipments[[#This Row],[ROSL]])),
      ISNUMBER(SEARCH("Scroll",tblShipments[[#This Row],[ROSL]])),
      ISNUMBER(SEARCH("Y",tblShipments[[#This Row],[ROSL]]))),
   "Released",
   "Not Released")</f>
        <v>Released</v>
      </c>
      <c r="I165" t="str">
        <f>IF(OR(tblShipments[[#This Row],[EGM no]]="", tblShipments[[#This Row],[EGM no]]="N.A."), "Not Submitted", "Submitted")</f>
        <v>Submitted</v>
      </c>
      <c r="J165" t="str">
        <f>IF(LEFT(tblShipments[[#This Row],[Gateway_Extracted]],2)="IN","Valid","Invalid")</f>
        <v>Valid</v>
      </c>
      <c r="K165" t="s">
        <v>645</v>
      </c>
      <c r="L165" t="s">
        <v>720</v>
      </c>
      <c r="M165" t="s">
        <v>31</v>
      </c>
      <c r="N165" t="s">
        <v>721</v>
      </c>
      <c r="O165" t="str">
        <f>IFERROR("IN" &amp; _xlfn.TEXTBEFORE(_xlfn.TEXTAFTER(UPPER(tblShipments[[#This Row],[Gateway_clean]]),"IN")," ",1),"")</f>
        <v>INNSA1</v>
      </c>
      <c r="P165" t="str">
        <f>SUBSTITUTE(tblShipments[[#This Row],[Gateway]], CHAR(10), " ")</f>
        <v xml:space="preserve">AWB No. Gateway Port Gateway EGM No. Gateway EGM Date Gateway Site ID Error Code N.A.  INNSA1  135086  2017-09-14 00:00:00.0  INNSA1  S </v>
      </c>
      <c r="Q165" t="s">
        <v>676</v>
      </c>
    </row>
    <row r="166" spans="1:17" x14ac:dyDescent="0.35">
      <c r="A166" t="s">
        <v>8</v>
      </c>
      <c r="B166">
        <v>8615986</v>
      </c>
      <c r="C166" s="2" t="s">
        <v>681</v>
      </c>
      <c r="D166" s="2" t="str">
        <f>LEFT(TRIM(MID(SUBSTITUTE(tblShipments[[#This Row],[Details]],CHAR(10)," "), FIND(CHAR(10),tblShipments[[#This Row],[Details]])+1, 50)), 10)</f>
        <v>0598059113</v>
      </c>
      <c r="E166" t="s">
        <v>722</v>
      </c>
      <c r="F16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6" t="str">
        <f>IF(tblShipments[[#This Row],[EGM no]]="", "Missing EGM", "EGM Submitted")</f>
        <v>EGM Submitted</v>
      </c>
      <c r="H166" t="str">
        <f>IF(OR(ISNUMBER(SEARCH("Released",tblShipments[[#This Row],[ROSL]])),
      ISNUMBER(SEARCH("Scroll",tblShipments[[#This Row],[ROSL]])),
      ISNUMBER(SEARCH("Y",tblShipments[[#This Row],[ROSL]]))),
   "Released",
   "Not Released")</f>
        <v>Released</v>
      </c>
      <c r="I166" t="str">
        <f>IF(OR(tblShipments[[#This Row],[EGM no]]="", tblShipments[[#This Row],[EGM no]]="N.A."), "Not Submitted", "Submitted")</f>
        <v>Submitted</v>
      </c>
      <c r="J166" t="str">
        <f>IF(LEFT(tblShipments[[#This Row],[Gateway_Extracted]],2)="IN","Valid","Invalid")</f>
        <v>Valid</v>
      </c>
      <c r="K166" t="s">
        <v>723</v>
      </c>
      <c r="L166" t="s">
        <v>724</v>
      </c>
      <c r="M166" t="s">
        <v>13</v>
      </c>
      <c r="N166" t="s">
        <v>725</v>
      </c>
      <c r="O166" t="str">
        <f>IFERROR("IN" &amp; _xlfn.TEXTBEFORE(_xlfn.TEXTAFTER(UPPER(tblShipments[[#This Row],[Gateway_clean]]),"IN")," ",1),"")</f>
        <v>INMUN1</v>
      </c>
      <c r="P166" t="str">
        <f>SUBSTITUTE(tblShipments[[#This Row],[Gateway]], CHAR(10), " ")</f>
        <v xml:space="preserve">AWB No. Gateway Port Gateway EGM No. Gateway EGM Date Gateway Site ID Error Code N.A.  INMUN1  134919  2017-09-12 00:00:00.0  INMUN1  S </v>
      </c>
      <c r="Q166" t="s">
        <v>726</v>
      </c>
    </row>
    <row r="167" spans="1:17" x14ac:dyDescent="0.35">
      <c r="A167" t="s">
        <v>8</v>
      </c>
      <c r="B167">
        <v>8620347</v>
      </c>
      <c r="C167" s="2" t="s">
        <v>727</v>
      </c>
      <c r="D167" s="2" t="str">
        <f>LEFT(TRIM(MID(SUBSTITUTE(tblShipments[[#This Row],[Details]],CHAR(10)," "), FIND(CHAR(10),tblShipments[[#This Row],[Details]])+1, 50)), 10)</f>
        <v>0514025026</v>
      </c>
      <c r="E167" t="s">
        <v>728</v>
      </c>
      <c r="F16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7" t="str">
        <f>IF(tblShipments[[#This Row],[EGM no]]="", "Missing EGM", "EGM Submitted")</f>
        <v>EGM Submitted</v>
      </c>
      <c r="H167" t="str">
        <f>IF(OR(ISNUMBER(SEARCH("Released",tblShipments[[#This Row],[ROSL]])),
      ISNUMBER(SEARCH("Scroll",tblShipments[[#This Row],[ROSL]])),
      ISNUMBER(SEARCH("Y",tblShipments[[#This Row],[ROSL]]))),
   "Released",
   "Not Released")</f>
        <v>Released</v>
      </c>
      <c r="I167" t="str">
        <f>IF(OR(tblShipments[[#This Row],[EGM no]]="", tblShipments[[#This Row],[EGM no]]="N.A."), "Not Submitted", "Submitted")</f>
        <v>Submitted</v>
      </c>
      <c r="J167" t="str">
        <f>IF(LEFT(tblShipments[[#This Row],[Gateway_Extracted]],2)="IN","Valid","Invalid")</f>
        <v>Valid</v>
      </c>
      <c r="K167" t="s">
        <v>669</v>
      </c>
      <c r="L167" t="s">
        <v>678</v>
      </c>
      <c r="M167" t="s">
        <v>13</v>
      </c>
      <c r="N167" t="s">
        <v>729</v>
      </c>
      <c r="O167" t="str">
        <f>IFERROR("IN" &amp; _xlfn.TEXTBEFORE(_xlfn.TEXTAFTER(UPPER(tblShipments[[#This Row],[Gateway_clean]]),"IN")," ",1),"")</f>
        <v>INNSA1</v>
      </c>
      <c r="P167" t="str">
        <f>SUBSTITUTE(tblShipments[[#This Row],[Gateway]], CHAR(10), " ")</f>
        <v xml:space="preserve">AWB No. Gateway Port Gateway EGM No. Gateway EGM Date Gateway Site ID Error Code N.A.  INNSA1  134938  2017-09-12 00:00:00.0  INNSA1  S </v>
      </c>
      <c r="Q167" t="s">
        <v>680</v>
      </c>
    </row>
    <row r="168" spans="1:17" x14ac:dyDescent="0.35">
      <c r="A168" t="s">
        <v>8</v>
      </c>
      <c r="B168">
        <v>8660236</v>
      </c>
      <c r="C168" s="2" t="s">
        <v>730</v>
      </c>
      <c r="D168" s="2" t="str">
        <f>LEFT(TRIM(MID(SUBSTITUTE(tblShipments[[#This Row],[Details]],CHAR(10)," "), FIND(CHAR(10),tblShipments[[#This Row],[Details]])+1, 50)), 10)</f>
        <v>0506062538</v>
      </c>
      <c r="E168" t="s">
        <v>731</v>
      </c>
      <c r="F16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8" t="str">
        <f>IF(tblShipments[[#This Row],[EGM no]]="", "Missing EGM", "EGM Submitted")</f>
        <v>EGM Submitted</v>
      </c>
      <c r="H168" t="str">
        <f>IF(OR(ISNUMBER(SEARCH("Released",tblShipments[[#This Row],[ROSL]])),
      ISNUMBER(SEARCH("Scroll",tblShipments[[#This Row],[ROSL]])),
      ISNUMBER(SEARCH("Y",tblShipments[[#This Row],[ROSL]]))),
   "Released",
   "Not Released")</f>
        <v>Released</v>
      </c>
      <c r="I168" t="str">
        <f>IF(OR(tblShipments[[#This Row],[EGM no]]="", tblShipments[[#This Row],[EGM no]]="N.A."), "Not Submitted", "Submitted")</f>
        <v>Submitted</v>
      </c>
      <c r="J168" t="str">
        <f>IF(LEFT(tblShipments[[#This Row],[Gateway_Extracted]],2)="IN","Valid","Invalid")</f>
        <v>Valid</v>
      </c>
      <c r="K168" t="s">
        <v>732</v>
      </c>
      <c r="L168" t="s">
        <v>733</v>
      </c>
      <c r="M168" t="s">
        <v>13</v>
      </c>
      <c r="N168" t="s">
        <v>734</v>
      </c>
      <c r="O168" t="str">
        <f>IFERROR("IN" &amp; _xlfn.TEXTBEFORE(_xlfn.TEXTAFTER(UPPER(tblShipments[[#This Row],[Gateway_clean]]),"IN")," ",1),"")</f>
        <v>INNSA1</v>
      </c>
      <c r="P168" t="str">
        <f>SUBSTITUTE(tblShipments[[#This Row],[Gateway]], CHAR(10), " ")</f>
        <v xml:space="preserve">AWB No. Gateway Port Gateway EGM No. Gateway EGM Date Gateway Site ID Error Code N.A.  INNSA1  135503  2017-09-21 00:00:00.0  INNSA1  C </v>
      </c>
      <c r="Q168" t="s">
        <v>735</v>
      </c>
    </row>
    <row r="169" spans="1:17" x14ac:dyDescent="0.35">
      <c r="A169" t="s">
        <v>8</v>
      </c>
      <c r="B169">
        <v>8661641</v>
      </c>
      <c r="C169" s="2" t="s">
        <v>730</v>
      </c>
      <c r="D169" s="2" t="str">
        <f>LEFT(TRIM(MID(SUBSTITUTE(tblShipments[[#This Row],[Details]],CHAR(10)," "), FIND(CHAR(10),tblShipments[[#This Row],[Details]])+1, 50)), 10)</f>
        <v>0508075416</v>
      </c>
      <c r="E169" t="s">
        <v>736</v>
      </c>
      <c r="F16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69" t="str">
        <f>IF(tblShipments[[#This Row],[EGM no]]="", "Missing EGM", "EGM Submitted")</f>
        <v>EGM Submitted</v>
      </c>
      <c r="H169" t="str">
        <f>IF(OR(ISNUMBER(SEARCH("Released",tblShipments[[#This Row],[ROSL]])),
      ISNUMBER(SEARCH("Scroll",tblShipments[[#This Row],[ROSL]])),
      ISNUMBER(SEARCH("Y",tblShipments[[#This Row],[ROSL]]))),
   "Released",
   "Not Released")</f>
        <v>Released</v>
      </c>
      <c r="I169" t="str">
        <f>IF(OR(tblShipments[[#This Row],[EGM no]]="", tblShipments[[#This Row],[EGM no]]="N.A."), "Not Submitted", "Submitted")</f>
        <v>Submitted</v>
      </c>
      <c r="J169" t="str">
        <f>IF(LEFT(tblShipments[[#This Row],[Gateway_Extracted]],2)="IN","Valid","Invalid")</f>
        <v>Valid</v>
      </c>
      <c r="K169" t="s">
        <v>737</v>
      </c>
      <c r="L169" t="s">
        <v>738</v>
      </c>
      <c r="M169" t="s">
        <v>31</v>
      </c>
      <c r="N169" t="s">
        <v>739</v>
      </c>
      <c r="O169" t="str">
        <f>IFERROR("IN" &amp; _xlfn.TEXTBEFORE(_xlfn.TEXTAFTER(UPPER(tblShipments[[#This Row],[Gateway_clean]]),"IN")," ",1),"")</f>
        <v>INNSA1</v>
      </c>
      <c r="P169" t="str">
        <f>SUBSTITUTE(tblShipments[[#This Row],[Gateway]], CHAR(10), " ")</f>
        <v xml:space="preserve">AWB No. Gateway Port Gateway EGM No. Gateway EGM Date Gateway Site ID Error Code N.A.  INNSA1  135603  2017-09-22 00:00:00.0  INNSA1  S </v>
      </c>
      <c r="Q169" t="s">
        <v>740</v>
      </c>
    </row>
    <row r="170" spans="1:17" x14ac:dyDescent="0.35">
      <c r="A170" t="s">
        <v>8</v>
      </c>
      <c r="B170">
        <v>8687607</v>
      </c>
      <c r="C170" s="2" t="s">
        <v>741</v>
      </c>
      <c r="D170" s="2" t="str">
        <f>LEFT(TRIM(MID(SUBSTITUTE(tblShipments[[#This Row],[Details]],CHAR(10)," "), FIND(CHAR(10),tblShipments[[#This Row],[Details]])+1, 50)), 10)</f>
        <v>0504064011</v>
      </c>
      <c r="E170" t="s">
        <v>742</v>
      </c>
      <c r="F17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0" t="str">
        <f>IF(tblShipments[[#This Row],[EGM no]]="", "Missing EGM", "EGM Submitted")</f>
        <v>EGM Submitted</v>
      </c>
      <c r="H170" t="str">
        <f>IF(OR(ISNUMBER(SEARCH("Released",tblShipments[[#This Row],[ROSL]])),
      ISNUMBER(SEARCH("Scroll",tblShipments[[#This Row],[ROSL]])),
      ISNUMBER(SEARCH("Y",tblShipments[[#This Row],[ROSL]]))),
   "Released",
   "Not Released")</f>
        <v>Released</v>
      </c>
      <c r="I170" t="str">
        <f>IF(OR(tblShipments[[#This Row],[EGM no]]="", tblShipments[[#This Row],[EGM no]]="N.A."), "Not Submitted", "Submitted")</f>
        <v>Submitted</v>
      </c>
      <c r="J170" t="str">
        <f>IF(LEFT(tblShipments[[#This Row],[Gateway_Extracted]],2)="IN","Valid","Invalid")</f>
        <v>Valid</v>
      </c>
      <c r="K170" t="s">
        <v>743</v>
      </c>
      <c r="L170" t="s">
        <v>744</v>
      </c>
      <c r="M170" t="s">
        <v>13</v>
      </c>
      <c r="N170" t="s">
        <v>745</v>
      </c>
      <c r="O170" t="str">
        <f>IFERROR("IN" &amp; _xlfn.TEXTBEFORE(_xlfn.TEXTAFTER(UPPER(tblShipments[[#This Row],[Gateway_clean]]),"IN")," ",1),"")</f>
        <v>INMUN1</v>
      </c>
      <c r="P170" t="str">
        <f>SUBSTITUTE(tblShipments[[#This Row],[Gateway]], CHAR(10), " ")</f>
        <v xml:space="preserve">AWB No. Gateway Port Gateway EGM No. Gateway EGM Date Gateway Site ID Error Code N.A.  INMUN1  148326  2018-04-13 00:00:00.0  INMUN1  S </v>
      </c>
      <c r="Q170" t="s">
        <v>746</v>
      </c>
    </row>
    <row r="171" spans="1:17" x14ac:dyDescent="0.35">
      <c r="A171" t="s">
        <v>8</v>
      </c>
      <c r="B171">
        <v>8697591</v>
      </c>
      <c r="C171" s="2" t="s">
        <v>747</v>
      </c>
      <c r="D171" s="2" t="str">
        <f>LEFT(TRIM(MID(SUBSTITUTE(tblShipments[[#This Row],[Details]],CHAR(10)," "), FIND(CHAR(10),tblShipments[[#This Row],[Details]])+1, 50)), 10)</f>
        <v>0503013749</v>
      </c>
      <c r="E171" t="s">
        <v>748</v>
      </c>
      <c r="F17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1" t="str">
        <f>IF(tblShipments[[#This Row],[EGM no]]="", "Missing EGM", "EGM Submitted")</f>
        <v>EGM Submitted</v>
      </c>
      <c r="H171" t="str">
        <f>IF(OR(ISNUMBER(SEARCH("Released",tblShipments[[#This Row],[ROSL]])),
      ISNUMBER(SEARCH("Scroll",tblShipments[[#This Row],[ROSL]])),
      ISNUMBER(SEARCH("Y",tblShipments[[#This Row],[ROSL]]))),
   "Released",
   "Not Released")</f>
        <v>Released</v>
      </c>
      <c r="I171" t="str">
        <f>IF(OR(tblShipments[[#This Row],[EGM no]]="", tblShipments[[#This Row],[EGM no]]="N.A."), "Not Submitted", "Submitted")</f>
        <v>Submitted</v>
      </c>
      <c r="J171" t="str">
        <f>IF(LEFT(tblShipments[[#This Row],[Gateway_Extracted]],2)="IN","Valid","Invalid")</f>
        <v>Valid</v>
      </c>
      <c r="K171" t="s">
        <v>749</v>
      </c>
      <c r="L171" t="s">
        <v>750</v>
      </c>
      <c r="M171" t="s">
        <v>31</v>
      </c>
      <c r="N171" t="s">
        <v>751</v>
      </c>
      <c r="O171" t="str">
        <f>IFERROR("IN" &amp; _xlfn.TEXTBEFORE(_xlfn.TEXTAFTER(UPPER(tblShipments[[#This Row],[Gateway_clean]]),"IN")," ",1),"")</f>
        <v>INMUN1</v>
      </c>
      <c r="P171" t="str">
        <f>SUBSTITUTE(tblShipments[[#This Row],[Gateway]], CHAR(10), " ")</f>
        <v xml:space="preserve">AWB No. Gateway Port Gateway EGM No. Gateway EGM Date Gateway Site ID Error Code N.A.  INMUN1  N.A.  N.A.  N.A.  N.A. </v>
      </c>
      <c r="Q171" t="s">
        <v>244</v>
      </c>
    </row>
    <row r="172" spans="1:17" x14ac:dyDescent="0.35">
      <c r="A172" t="s">
        <v>8</v>
      </c>
      <c r="B172">
        <v>8708114</v>
      </c>
      <c r="C172" s="2" t="s">
        <v>747</v>
      </c>
      <c r="D172" s="2" t="str">
        <f>LEFT(TRIM(MID(SUBSTITUTE(tblShipments[[#This Row],[Details]],CHAR(10)," "), FIND(CHAR(10),tblShipments[[#This Row],[Details]])+1, 50)), 10)</f>
        <v>0511035675</v>
      </c>
      <c r="E172" t="s">
        <v>752</v>
      </c>
      <c r="F17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2" t="str">
        <f>IF(tblShipments[[#This Row],[EGM no]]="", "Missing EGM", "EGM Submitted")</f>
        <v>EGM Submitted</v>
      </c>
      <c r="H172" t="str">
        <f>IF(OR(ISNUMBER(SEARCH("Released",tblShipments[[#This Row],[ROSL]])),
      ISNUMBER(SEARCH("Scroll",tblShipments[[#This Row],[ROSL]])),
      ISNUMBER(SEARCH("Y",tblShipments[[#This Row],[ROSL]]))),
   "Released",
   "Not Released")</f>
        <v>Released</v>
      </c>
      <c r="I172" t="str">
        <f>IF(OR(tblShipments[[#This Row],[EGM no]]="", tblShipments[[#This Row],[EGM no]]="N.A."), "Not Submitted", "Submitted")</f>
        <v>Submitted</v>
      </c>
      <c r="J172" t="str">
        <f>IF(LEFT(tblShipments[[#This Row],[Gateway_Extracted]],2)="IN","Valid","Invalid")</f>
        <v>Valid</v>
      </c>
      <c r="K172" t="s">
        <v>753</v>
      </c>
      <c r="L172" t="s">
        <v>754</v>
      </c>
      <c r="M172" t="s">
        <v>31</v>
      </c>
      <c r="N172" t="s">
        <v>755</v>
      </c>
      <c r="O172" t="str">
        <f>IFERROR("IN" &amp; _xlfn.TEXTBEFORE(_xlfn.TEXTAFTER(UPPER(tblShipments[[#This Row],[Gateway_clean]]),"IN")," ",1),"")</f>
        <v>INNSA1</v>
      </c>
      <c r="P172" t="str">
        <f>SUBSTITUTE(tblShipments[[#This Row],[Gateway]], CHAR(10), " ")</f>
        <v xml:space="preserve">AWB No. Gateway Port Gateway EGM No. Gateway EGM Date Gateway Site ID Error Code N.A.  INNSA1  135349  2017-09-19 00:00:00.0  INNSA1  C </v>
      </c>
      <c r="Q172" t="s">
        <v>756</v>
      </c>
    </row>
    <row r="173" spans="1:17" x14ac:dyDescent="0.35">
      <c r="A173" t="s">
        <v>8</v>
      </c>
      <c r="B173">
        <v>8709897</v>
      </c>
      <c r="C173" s="2" t="s">
        <v>747</v>
      </c>
      <c r="D173" s="2" t="str">
        <f>LEFT(TRIM(MID(SUBSTITUTE(tblShipments[[#This Row],[Details]],CHAR(10)," "), FIND(CHAR(10),tblShipments[[#This Row],[Details]])+1, 50)), 10)</f>
        <v>0514036265</v>
      </c>
      <c r="E173" t="s">
        <v>757</v>
      </c>
      <c r="F17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3" t="str">
        <f>IF(tblShipments[[#This Row],[EGM no]]="", "Missing EGM", "EGM Submitted")</f>
        <v>EGM Submitted</v>
      </c>
      <c r="H173" t="str">
        <f>IF(OR(ISNUMBER(SEARCH("Released",tblShipments[[#This Row],[ROSL]])),
      ISNUMBER(SEARCH("Scroll",tblShipments[[#This Row],[ROSL]])),
      ISNUMBER(SEARCH("Y",tblShipments[[#This Row],[ROSL]]))),
   "Released",
   "Not Released")</f>
        <v>Released</v>
      </c>
      <c r="I173" t="str">
        <f>IF(OR(tblShipments[[#This Row],[EGM no]]="", tblShipments[[#This Row],[EGM no]]="N.A."), "Not Submitted", "Submitted")</f>
        <v>Submitted</v>
      </c>
      <c r="J173" t="str">
        <f>IF(LEFT(tblShipments[[#This Row],[Gateway_Extracted]],2)="IN","Valid","Invalid")</f>
        <v>Valid</v>
      </c>
      <c r="K173" t="s">
        <v>758</v>
      </c>
      <c r="L173" t="s">
        <v>759</v>
      </c>
      <c r="M173" t="s">
        <v>13</v>
      </c>
      <c r="N173" t="s">
        <v>760</v>
      </c>
      <c r="O173" t="str">
        <f>IFERROR("IN" &amp; _xlfn.TEXTBEFORE(_xlfn.TEXTAFTER(UPPER(tblShipments[[#This Row],[Gateway_clean]]),"IN")," ",1),"")</f>
        <v>INMUN1</v>
      </c>
      <c r="P173" t="str">
        <f>SUBSTITUTE(tblShipments[[#This Row],[Gateway]], CHAR(10), " ")</f>
        <v xml:space="preserve">AWB No. Gateway Port Gateway EGM No. Gateway EGM Date Gateway Site ID Error Code N.A.  INMUN1  135887  2017-09-27 00:00:00.0  INMUN1  S </v>
      </c>
      <c r="Q173" t="s">
        <v>761</v>
      </c>
    </row>
    <row r="174" spans="1:17" x14ac:dyDescent="0.35">
      <c r="A174" t="s">
        <v>8</v>
      </c>
      <c r="B174">
        <v>8749638</v>
      </c>
      <c r="C174" s="2" t="s">
        <v>762</v>
      </c>
      <c r="D174" s="2" t="str">
        <f>LEFT(TRIM(MID(SUBSTITUTE(tblShipments[[#This Row],[Details]],CHAR(10)," "), FIND(CHAR(10),tblShipments[[#This Row],[Details]])+1, 50)), 10)</f>
        <v>0593067517</v>
      </c>
      <c r="E174" t="s">
        <v>763</v>
      </c>
      <c r="F17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4" t="str">
        <f>IF(tblShipments[[#This Row],[EGM no]]="", "Missing EGM", "EGM Submitted")</f>
        <v>EGM Submitted</v>
      </c>
      <c r="H174" t="str">
        <f>IF(OR(ISNUMBER(SEARCH("Released",tblShipments[[#This Row],[ROSL]])),
      ISNUMBER(SEARCH("Scroll",tblShipments[[#This Row],[ROSL]])),
      ISNUMBER(SEARCH("Y",tblShipments[[#This Row],[ROSL]]))),
   "Released",
   "Not Released")</f>
        <v>Released</v>
      </c>
      <c r="I174" t="str">
        <f>IF(OR(tblShipments[[#This Row],[EGM no]]="", tblShipments[[#This Row],[EGM no]]="N.A."), "Not Submitted", "Submitted")</f>
        <v>Submitted</v>
      </c>
      <c r="J174" t="str">
        <f>IF(LEFT(tblShipments[[#This Row],[Gateway_Extracted]],2)="IN","Valid","Invalid")</f>
        <v>Valid</v>
      </c>
      <c r="K174" t="s">
        <v>764</v>
      </c>
      <c r="L174" t="s">
        <v>765</v>
      </c>
      <c r="M174" t="s">
        <v>13</v>
      </c>
      <c r="N174" t="s">
        <v>766</v>
      </c>
      <c r="O174" t="str">
        <f>IFERROR("IN" &amp; _xlfn.TEXTBEFORE(_xlfn.TEXTAFTER(UPPER(tblShipments[[#This Row],[Gateway_clean]]),"IN")," ",1),"")</f>
        <v>INMUN1</v>
      </c>
      <c r="P174" t="str">
        <f>SUBSTITUTE(tblShipments[[#This Row],[Gateway]], CHAR(10), " ")</f>
        <v xml:space="preserve">AWB No. Gateway Port Gateway EGM No. Gateway EGM Date Gateway Site ID Error Code N.A.  INMUN1  136169  2017-10-03 00:00:00.0  INMUN1  S </v>
      </c>
      <c r="Q174" t="s">
        <v>767</v>
      </c>
    </row>
    <row r="175" spans="1:17" x14ac:dyDescent="0.35">
      <c r="A175" t="s">
        <v>8</v>
      </c>
      <c r="B175">
        <v>8751355</v>
      </c>
      <c r="C175" s="2" t="s">
        <v>762</v>
      </c>
      <c r="D175" s="2" t="str">
        <f>LEFT(TRIM(MID(SUBSTITUTE(tblShipments[[#This Row],[Details]],CHAR(10)," "), FIND(CHAR(10),tblShipments[[#This Row],[Details]])+1, 50)), 10)</f>
        <v>0515076741</v>
      </c>
      <c r="E175" t="s">
        <v>768</v>
      </c>
      <c r="F17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5" t="str">
        <f>IF(tblShipments[[#This Row],[EGM no]]="", "Missing EGM", "EGM Submitted")</f>
        <v>EGM Submitted</v>
      </c>
      <c r="H175" t="str">
        <f>IF(OR(ISNUMBER(SEARCH("Released",tblShipments[[#This Row],[ROSL]])),
      ISNUMBER(SEARCH("Scroll",tblShipments[[#This Row],[ROSL]])),
      ISNUMBER(SEARCH("Y",tblShipments[[#This Row],[ROSL]]))),
   "Released",
   "Not Released")</f>
        <v>Released</v>
      </c>
      <c r="I175" t="str">
        <f>IF(OR(tblShipments[[#This Row],[EGM no]]="", tblShipments[[#This Row],[EGM no]]="N.A."), "Not Submitted", "Submitted")</f>
        <v>Submitted</v>
      </c>
      <c r="J175" t="str">
        <f>IF(LEFT(tblShipments[[#This Row],[Gateway_Extracted]],2)="IN","Valid","Invalid")</f>
        <v>Valid</v>
      </c>
      <c r="K175" t="s">
        <v>769</v>
      </c>
      <c r="L175" t="s">
        <v>770</v>
      </c>
      <c r="M175" t="s">
        <v>771</v>
      </c>
      <c r="N175" t="s">
        <v>772</v>
      </c>
      <c r="O175" t="str">
        <f>IFERROR("IN" &amp; _xlfn.TEXTBEFORE(_xlfn.TEXTAFTER(UPPER(tblShipments[[#This Row],[Gateway_clean]]),"IN")," ",1),"")</f>
        <v>INNSA1</v>
      </c>
      <c r="P175" t="str">
        <f>SUBSTITUTE(tblShipments[[#This Row],[Gateway]], CHAR(10), " ")</f>
        <v xml:space="preserve">AWB No. Gateway Port Gateway EGM No. Gateway EGM Date Gateway Site ID Error Code N.A.  INNSA1  134741  2017-09-08 00:00:00.0  INNSA1  S </v>
      </c>
      <c r="Q175" t="s">
        <v>773</v>
      </c>
    </row>
    <row r="176" spans="1:17" x14ac:dyDescent="0.35">
      <c r="A176" t="s">
        <v>8</v>
      </c>
      <c r="B176">
        <v>8752612</v>
      </c>
      <c r="C176" s="2" t="s">
        <v>762</v>
      </c>
      <c r="D176" s="2" t="str">
        <f>LEFT(TRIM(MID(SUBSTITUTE(tblShipments[[#This Row],[Details]],CHAR(10)," "), FIND(CHAR(10),tblShipments[[#This Row],[Details]])+1, 50)), 10)</f>
        <v>0307055078</v>
      </c>
      <c r="E176" t="s">
        <v>774</v>
      </c>
      <c r="F17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6" t="str">
        <f>IF(tblShipments[[#This Row],[EGM no]]="", "Missing EGM", "EGM Submitted")</f>
        <v>EGM Submitted</v>
      </c>
      <c r="H176" t="str">
        <f>IF(OR(ISNUMBER(SEARCH("Released",tblShipments[[#This Row],[ROSL]])),
      ISNUMBER(SEARCH("Scroll",tblShipments[[#This Row],[ROSL]])),
      ISNUMBER(SEARCH("Y",tblShipments[[#This Row],[ROSL]]))),
   "Released",
   "Not Released")</f>
        <v>Released</v>
      </c>
      <c r="I176" t="str">
        <f>IF(OR(tblShipments[[#This Row],[EGM no]]="", tblShipments[[#This Row],[EGM no]]="N.A."), "Not Submitted", "Submitted")</f>
        <v>Submitted</v>
      </c>
      <c r="J176" t="str">
        <f>IF(LEFT(tblShipments[[#This Row],[Gateway_Extracted]],2)="IN","Valid","Invalid")</f>
        <v>Valid</v>
      </c>
      <c r="K176" t="s">
        <v>775</v>
      </c>
      <c r="L176" t="s">
        <v>776</v>
      </c>
      <c r="M176" t="s">
        <v>13</v>
      </c>
      <c r="N176" t="s">
        <v>777</v>
      </c>
      <c r="O176" t="str">
        <f>IFERROR("IN" &amp; _xlfn.TEXTBEFORE(_xlfn.TEXTAFTER(UPPER(tblShipments[[#This Row],[Gateway_clean]]),"IN")," ",1),"")</f>
        <v>INNSA1</v>
      </c>
      <c r="P176" t="str">
        <f>SUBSTITUTE(tblShipments[[#This Row],[Gateway]], CHAR(10), " ")</f>
        <v xml:space="preserve">AWB No. Gateway Port Gateway EGM No. Gateway EGM Date Gateway Site ID Error Code N.A.  INNSA1  136236  2017-10-04 00:00:00.0  INNSA1  C </v>
      </c>
      <c r="Q176" t="s">
        <v>778</v>
      </c>
    </row>
    <row r="177" spans="1:17" x14ac:dyDescent="0.35">
      <c r="A177" t="s">
        <v>8</v>
      </c>
      <c r="B177">
        <v>8752787</v>
      </c>
      <c r="C177" s="2" t="s">
        <v>762</v>
      </c>
      <c r="D177" s="2" t="str">
        <f>LEFT(TRIM(MID(SUBSTITUTE(tblShipments[[#This Row],[Details]],CHAR(10)," "), FIND(CHAR(10),tblShipments[[#This Row],[Details]])+1, 50)), 10)</f>
        <v>0598005536</v>
      </c>
      <c r="E177" t="s">
        <v>779</v>
      </c>
      <c r="F17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7" t="str">
        <f>IF(tblShipments[[#This Row],[EGM no]]="", "Missing EGM", "EGM Submitted")</f>
        <v>EGM Submitted</v>
      </c>
      <c r="H177" t="str">
        <f>IF(OR(ISNUMBER(SEARCH("Released",tblShipments[[#This Row],[ROSL]])),
      ISNUMBER(SEARCH("Scroll",tblShipments[[#This Row],[ROSL]])),
      ISNUMBER(SEARCH("Y",tblShipments[[#This Row],[ROSL]]))),
   "Released",
   "Not Released")</f>
        <v>Released</v>
      </c>
      <c r="I177" t="str">
        <f>IF(OR(tblShipments[[#This Row],[EGM no]]="", tblShipments[[#This Row],[EGM no]]="N.A."), "Not Submitted", "Submitted")</f>
        <v>Submitted</v>
      </c>
      <c r="J177" t="str">
        <f>IF(LEFT(tblShipments[[#This Row],[Gateway_Extracted]],2)="IN","Valid","Invalid")</f>
        <v>Valid</v>
      </c>
      <c r="K177" t="s">
        <v>780</v>
      </c>
      <c r="L177" t="s">
        <v>781</v>
      </c>
      <c r="M177" t="s">
        <v>13</v>
      </c>
      <c r="N177" t="s">
        <v>782</v>
      </c>
      <c r="O177" t="str">
        <f>IFERROR("IN" &amp; _xlfn.TEXTBEFORE(_xlfn.TEXTAFTER(UPPER(tblShipments[[#This Row],[Gateway_clean]]),"IN")," ",1),"")</f>
        <v>INMUN1</v>
      </c>
      <c r="P177" t="str">
        <f>SUBSTITUTE(tblShipments[[#This Row],[Gateway]], CHAR(10), " ")</f>
        <v xml:space="preserve">AWB No. Gateway Port Gateway EGM No. Gateway EGM Date Gateway Site ID Error Code N.A.  INMUN1  136501  2017-10-08 00:00:00.0  INMUN1  S </v>
      </c>
      <c r="Q177" t="s">
        <v>783</v>
      </c>
    </row>
    <row r="178" spans="1:17" x14ac:dyDescent="0.35">
      <c r="A178" t="s">
        <v>8</v>
      </c>
      <c r="B178">
        <v>8775656</v>
      </c>
      <c r="C178" s="2" t="s">
        <v>784</v>
      </c>
      <c r="D178" s="2" t="str">
        <f>LEFT(TRIM(MID(SUBSTITUTE(tblShipments[[#This Row],[Details]],CHAR(10)," "), FIND(CHAR(10),tblShipments[[#This Row],[Details]])+1, 50)), 10)</f>
        <v>0501045813</v>
      </c>
      <c r="E178" t="s">
        <v>785</v>
      </c>
      <c r="F17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8" t="str">
        <f>IF(tblShipments[[#This Row],[EGM no]]="", "Missing EGM", "EGM Submitted")</f>
        <v>EGM Submitted</v>
      </c>
      <c r="H178" t="str">
        <f>IF(OR(ISNUMBER(SEARCH("Released",tblShipments[[#This Row],[ROSL]])),
      ISNUMBER(SEARCH("Scroll",tblShipments[[#This Row],[ROSL]])),
      ISNUMBER(SEARCH("Y",tblShipments[[#This Row],[ROSL]]))),
   "Released",
   "Not Released")</f>
        <v>Released</v>
      </c>
      <c r="I178" t="str">
        <f>IF(OR(tblShipments[[#This Row],[EGM no]]="", tblShipments[[#This Row],[EGM no]]="N.A."), "Not Submitted", "Submitted")</f>
        <v>Submitted</v>
      </c>
      <c r="J178" t="str">
        <f>IF(LEFT(tblShipments[[#This Row],[Gateway_Extracted]],2)="IN","Valid","Invalid")</f>
        <v>Valid</v>
      </c>
      <c r="K178" t="s">
        <v>786</v>
      </c>
      <c r="L178" t="s">
        <v>787</v>
      </c>
      <c r="M178" t="s">
        <v>31</v>
      </c>
      <c r="N178" t="s">
        <v>788</v>
      </c>
      <c r="O178" t="str">
        <f>IFERROR("IN" &amp; _xlfn.TEXTBEFORE(_xlfn.TEXTAFTER(UPPER(tblShipments[[#This Row],[Gateway_clean]]),"IN")," ",1),"")</f>
        <v>INNSA1</v>
      </c>
      <c r="P178" t="str">
        <f>SUBSTITUTE(tblShipments[[#This Row],[Gateway]], CHAR(10), " ")</f>
        <v xml:space="preserve">AWB No. Gateway Port Gateway EGM No. Gateway EGM Date Gateway Site ID Error Code N.A.  INNSA1  136144  2017-10-03 00:00:00.0  INNSA1  C </v>
      </c>
      <c r="Q178" t="s">
        <v>789</v>
      </c>
    </row>
    <row r="179" spans="1:17" x14ac:dyDescent="0.35">
      <c r="A179" t="s">
        <v>8</v>
      </c>
      <c r="B179">
        <v>8783035</v>
      </c>
      <c r="C179" s="2" t="s">
        <v>784</v>
      </c>
      <c r="D179" s="2" t="str">
        <f>LEFT(TRIM(MID(SUBSTITUTE(tblShipments[[#This Row],[Details]],CHAR(10)," "), FIND(CHAR(10),tblShipments[[#This Row],[Details]])+1, 50)), 10)</f>
        <v>1216900370</v>
      </c>
      <c r="E179" t="s">
        <v>790</v>
      </c>
      <c r="F17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79" t="str">
        <f>IF(tblShipments[[#This Row],[EGM no]]="", "Missing EGM", "EGM Submitted")</f>
        <v>EGM Submitted</v>
      </c>
      <c r="H179" t="str">
        <f>IF(OR(ISNUMBER(SEARCH("Released",tblShipments[[#This Row],[ROSL]])),
      ISNUMBER(SEARCH("Scroll",tblShipments[[#This Row],[ROSL]])),
      ISNUMBER(SEARCH("Y",tblShipments[[#This Row],[ROSL]]))),
   "Released",
   "Not Released")</f>
        <v>Released</v>
      </c>
      <c r="I179" t="str">
        <f>IF(OR(tblShipments[[#This Row],[EGM no]]="", tblShipments[[#This Row],[EGM no]]="N.A."), "Not Submitted", "Submitted")</f>
        <v>Submitted</v>
      </c>
      <c r="J179" t="str">
        <f>IF(LEFT(tblShipments[[#This Row],[Gateway_Extracted]],2)="IN","Valid","Invalid")</f>
        <v>Valid</v>
      </c>
      <c r="K179" t="s">
        <v>791</v>
      </c>
      <c r="L179" t="s">
        <v>792</v>
      </c>
      <c r="M179" t="s">
        <v>13</v>
      </c>
      <c r="N179" t="s">
        <v>793</v>
      </c>
      <c r="O179" t="str">
        <f>IFERROR("IN" &amp; _xlfn.TEXTBEFORE(_xlfn.TEXTAFTER(UPPER(tblShipments[[#This Row],[Gateway_clean]]),"IN")," ",1),"")</f>
        <v>INMUN1</v>
      </c>
      <c r="P179" t="str">
        <f>SUBSTITUTE(tblShipments[[#This Row],[Gateway]], CHAR(10), " ")</f>
        <v xml:space="preserve">AWB No. Gateway Port Gateway EGM No. Gateway EGM Date Gateway Site ID Error Code N.A.  INMUN1  N.A.  N.A.  N.A.  N.A. </v>
      </c>
      <c r="Q179" t="s">
        <v>244</v>
      </c>
    </row>
    <row r="180" spans="1:17" x14ac:dyDescent="0.35">
      <c r="A180" t="s">
        <v>8</v>
      </c>
      <c r="B180">
        <v>8784077</v>
      </c>
      <c r="C180" s="2" t="s">
        <v>784</v>
      </c>
      <c r="D180" s="2" t="str">
        <f>LEFT(TRIM(MID(SUBSTITUTE(tblShipments[[#This Row],[Details]],CHAR(10)," "), FIND(CHAR(10),tblShipments[[#This Row],[Details]])+1, 50)), 10)</f>
        <v>0517500531</v>
      </c>
      <c r="E180" t="s">
        <v>794</v>
      </c>
      <c r="F18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0" t="str">
        <f>IF(tblShipments[[#This Row],[EGM no]]="", "Missing EGM", "EGM Submitted")</f>
        <v>EGM Submitted</v>
      </c>
      <c r="H180" t="str">
        <f>IF(OR(ISNUMBER(SEARCH("Released",tblShipments[[#This Row],[ROSL]])),
      ISNUMBER(SEARCH("Scroll",tblShipments[[#This Row],[ROSL]])),
      ISNUMBER(SEARCH("Y",tblShipments[[#This Row],[ROSL]]))),
   "Released",
   "Not Released")</f>
        <v>Released</v>
      </c>
      <c r="I180" t="str">
        <f>IF(OR(tblShipments[[#This Row],[EGM no]]="", tblShipments[[#This Row],[EGM no]]="N.A."), "Not Submitted", "Submitted")</f>
        <v>Submitted</v>
      </c>
      <c r="J180" t="str">
        <f>IF(LEFT(tblShipments[[#This Row],[Gateway_Extracted]],2)="IN","Valid","Invalid")</f>
        <v>Invalid</v>
      </c>
      <c r="K180" t="s">
        <v>795</v>
      </c>
      <c r="L180" t="s">
        <v>796</v>
      </c>
      <c r="M180" t="s">
        <v>13</v>
      </c>
      <c r="N180" t="s">
        <v>797</v>
      </c>
      <c r="O180" t="str">
        <f>IFERROR("IN" &amp; _xlfn.TEXTBEFORE(_xlfn.TEXTAFTER(UPPER(tblShipments[[#This Row],[Gateway_clean]]),"IN")," ",1),"")</f>
        <v/>
      </c>
      <c r="P180" t="str">
        <f>SUBSTITUTE(tblShipments[[#This Row],[Gateway]], CHAR(10), " ")</f>
        <v>Please Wait....</v>
      </c>
      <c r="Q180" t="s">
        <v>105</v>
      </c>
    </row>
    <row r="181" spans="1:17" x14ac:dyDescent="0.35">
      <c r="A181" t="s">
        <v>8</v>
      </c>
      <c r="B181">
        <v>8794182</v>
      </c>
      <c r="C181" s="2" t="s">
        <v>798</v>
      </c>
      <c r="D181" s="2" t="str">
        <f>LEFT(TRIM(MID(SUBSTITUTE(tblShipments[[#This Row],[Details]],CHAR(10)," "), FIND(CHAR(10),tblShipments[[#This Row],[Details]])+1, 50)), 10)</f>
        <v>0508003300</v>
      </c>
      <c r="E181" t="s">
        <v>799</v>
      </c>
      <c r="F18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1" t="str">
        <f>IF(tblShipments[[#This Row],[EGM no]]="", "Missing EGM", "EGM Submitted")</f>
        <v>EGM Submitted</v>
      </c>
      <c r="H181" t="str">
        <f>IF(OR(ISNUMBER(SEARCH("Released",tblShipments[[#This Row],[ROSL]])),
      ISNUMBER(SEARCH("Scroll",tblShipments[[#This Row],[ROSL]])),
      ISNUMBER(SEARCH("Y",tblShipments[[#This Row],[ROSL]]))),
   "Released",
   "Not Released")</f>
        <v>Released</v>
      </c>
      <c r="I181" t="str">
        <f>IF(OR(tblShipments[[#This Row],[EGM no]]="", tblShipments[[#This Row],[EGM no]]="N.A."), "Not Submitted", "Submitted")</f>
        <v>Submitted</v>
      </c>
      <c r="J181" t="str">
        <f>IF(LEFT(tblShipments[[#This Row],[Gateway_Extracted]],2)="IN","Valid","Invalid")</f>
        <v>Valid</v>
      </c>
      <c r="K181" t="s">
        <v>800</v>
      </c>
      <c r="L181" t="s">
        <v>801</v>
      </c>
      <c r="M181" t="s">
        <v>13</v>
      </c>
      <c r="N181" t="s">
        <v>802</v>
      </c>
      <c r="O181" t="str">
        <f>IFERROR("IN" &amp; _xlfn.TEXTBEFORE(_xlfn.TEXTAFTER(UPPER(tblShipments[[#This Row],[Gateway_clean]]),"IN")," ",1),"")</f>
        <v>INNSA1</v>
      </c>
      <c r="P181" t="str">
        <f>SUBSTITUTE(tblShipments[[#This Row],[Gateway]], CHAR(10), " ")</f>
        <v xml:space="preserve">AWB No. Gateway Port Gateway EGM No. Gateway EGM Date Gateway Site ID Error Code N.A.  INNSA1  135731  2017-09-25 00:00:00.0  INNSA1  S </v>
      </c>
      <c r="Q181" t="s">
        <v>803</v>
      </c>
    </row>
    <row r="182" spans="1:17" x14ac:dyDescent="0.35">
      <c r="A182" t="s">
        <v>8</v>
      </c>
      <c r="B182">
        <v>8796298</v>
      </c>
      <c r="C182" s="2" t="s">
        <v>798</v>
      </c>
      <c r="D182" s="2" t="str">
        <f>LEFT(TRIM(MID(SUBSTITUTE(tblShipments[[#This Row],[Details]],CHAR(10)," "), FIND(CHAR(10),tblShipments[[#This Row],[Details]])+1, 50)), 10)</f>
        <v>0397084901</v>
      </c>
      <c r="E182" t="s">
        <v>804</v>
      </c>
      <c r="F18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2" t="str">
        <f>IF(tblShipments[[#This Row],[EGM no]]="", "Missing EGM", "EGM Submitted")</f>
        <v>EGM Submitted</v>
      </c>
      <c r="H182" t="str">
        <f>IF(OR(ISNUMBER(SEARCH("Released",tblShipments[[#This Row],[ROSL]])),
      ISNUMBER(SEARCH("Scroll",tblShipments[[#This Row],[ROSL]])),
      ISNUMBER(SEARCH("Y",tblShipments[[#This Row],[ROSL]]))),
   "Released",
   "Not Released")</f>
        <v>Released</v>
      </c>
      <c r="I182" t="str">
        <f>IF(OR(tblShipments[[#This Row],[EGM no]]="", tblShipments[[#This Row],[EGM no]]="N.A."), "Not Submitted", "Submitted")</f>
        <v>Submitted</v>
      </c>
      <c r="J182" t="str">
        <f>IF(LEFT(tblShipments[[#This Row],[Gateway_Extracted]],2)="IN","Valid","Invalid")</f>
        <v>Valid</v>
      </c>
      <c r="K182" t="s">
        <v>805</v>
      </c>
      <c r="L182" t="s">
        <v>806</v>
      </c>
      <c r="M182" t="s">
        <v>31</v>
      </c>
      <c r="N182" t="s">
        <v>807</v>
      </c>
      <c r="O182" t="str">
        <f>IFERROR("IN" &amp; _xlfn.TEXTBEFORE(_xlfn.TEXTAFTER(UPPER(tblShipments[[#This Row],[Gateway_clean]]),"IN")," ",1),"")</f>
        <v>INNSA1</v>
      </c>
      <c r="P182" t="str">
        <f>SUBSTITUTE(tblShipments[[#This Row],[Gateway]], CHAR(10), " ")</f>
        <v xml:space="preserve">AWB No. Gateway Port Gateway EGM No. Gateway EGM Date Gateway Site ID Error Code N.A.  INNSA1  135726  2017-09-25 00:00:00.0  INNSA1  S </v>
      </c>
      <c r="Q182" t="s">
        <v>808</v>
      </c>
    </row>
    <row r="183" spans="1:17" x14ac:dyDescent="0.35">
      <c r="A183" t="s">
        <v>8</v>
      </c>
      <c r="B183">
        <v>8826748</v>
      </c>
      <c r="C183" s="2" t="s">
        <v>809</v>
      </c>
      <c r="D183" s="2" t="str">
        <f>LEFT(TRIM(MID(SUBSTITUTE(tblShipments[[#This Row],[Details]],CHAR(10)," "), FIND(CHAR(10),tblShipments[[#This Row],[Details]])+1, 50)), 10)</f>
        <v>0595012647</v>
      </c>
      <c r="E183" t="s">
        <v>810</v>
      </c>
      <c r="F18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3" t="str">
        <f>IF(tblShipments[[#This Row],[EGM no]]="", "Missing EGM", "EGM Submitted")</f>
        <v>EGM Submitted</v>
      </c>
      <c r="H183" t="str">
        <f>IF(OR(ISNUMBER(SEARCH("Released",tblShipments[[#This Row],[ROSL]])),
      ISNUMBER(SEARCH("Scroll",tblShipments[[#This Row],[ROSL]])),
      ISNUMBER(SEARCH("Y",tblShipments[[#This Row],[ROSL]]))),
   "Released",
   "Not Released")</f>
        <v>Released</v>
      </c>
      <c r="I183" t="str">
        <f>IF(OR(tblShipments[[#This Row],[EGM no]]="", tblShipments[[#This Row],[EGM no]]="N.A."), "Not Submitted", "Submitted")</f>
        <v>Submitted</v>
      </c>
      <c r="J183" t="str">
        <f>IF(LEFT(tblShipments[[#This Row],[Gateway_Extracted]],2)="IN","Valid","Invalid")</f>
        <v>Valid</v>
      </c>
      <c r="K183" t="s">
        <v>811</v>
      </c>
      <c r="L183" t="s">
        <v>812</v>
      </c>
      <c r="M183" t="s">
        <v>13</v>
      </c>
      <c r="N183" t="s">
        <v>813</v>
      </c>
      <c r="O183" t="str">
        <f>IFERROR("IN" &amp; _xlfn.TEXTBEFORE(_xlfn.TEXTAFTER(UPPER(tblShipments[[#This Row],[Gateway_clean]]),"IN")," ",1),"")</f>
        <v>INMUN1</v>
      </c>
      <c r="P183" t="str">
        <f>SUBSTITUTE(tblShipments[[#This Row],[Gateway]], CHAR(10), " ")</f>
        <v xml:space="preserve">AWB No. Gateway Port Gateway EGM No. Gateway EGM Date Gateway Site ID Error Code N.A.  INMUN1  136070  2017-09-29 00:00:00.0  INMUN1  S </v>
      </c>
      <c r="Q183" t="s">
        <v>814</v>
      </c>
    </row>
    <row r="184" spans="1:17" x14ac:dyDescent="0.35">
      <c r="A184" t="s">
        <v>8</v>
      </c>
      <c r="B184">
        <v>8848896</v>
      </c>
      <c r="C184" s="2" t="s">
        <v>815</v>
      </c>
      <c r="D184" s="2" t="str">
        <f>LEFT(TRIM(MID(SUBSTITUTE(tblShipments[[#This Row],[Details]],CHAR(10)," "), FIND(CHAR(10),tblShipments[[#This Row],[Details]])+1, 50)), 10)</f>
        <v>0504064754</v>
      </c>
      <c r="E184" t="s">
        <v>816</v>
      </c>
      <c r="F18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4" t="str">
        <f>IF(tblShipments[[#This Row],[EGM no]]="", "Missing EGM", "EGM Submitted")</f>
        <v>EGM Submitted</v>
      </c>
      <c r="H184" t="str">
        <f>IF(OR(ISNUMBER(SEARCH("Released",tblShipments[[#This Row],[ROSL]])),
      ISNUMBER(SEARCH("Scroll",tblShipments[[#This Row],[ROSL]])),
      ISNUMBER(SEARCH("Y",tblShipments[[#This Row],[ROSL]]))),
   "Released",
   "Not Released")</f>
        <v>Released</v>
      </c>
      <c r="I184" t="str">
        <f>IF(OR(tblShipments[[#This Row],[EGM no]]="", tblShipments[[#This Row],[EGM no]]="N.A."), "Not Submitted", "Submitted")</f>
        <v>Submitted</v>
      </c>
      <c r="J184" t="str">
        <f>IF(LEFT(tblShipments[[#This Row],[Gateway_Extracted]],2)="IN","Valid","Invalid")</f>
        <v>Valid</v>
      </c>
      <c r="K184" t="s">
        <v>817</v>
      </c>
      <c r="L184" t="s">
        <v>818</v>
      </c>
      <c r="M184" t="s">
        <v>13</v>
      </c>
      <c r="N184" t="s">
        <v>819</v>
      </c>
      <c r="O184" t="str">
        <f>IFERROR("IN" &amp; _xlfn.TEXTBEFORE(_xlfn.TEXTAFTER(UPPER(tblShipments[[#This Row],[Gateway_clean]]),"IN")," ",1),"")</f>
        <v>INNSA1</v>
      </c>
      <c r="P184" t="str">
        <f>SUBSTITUTE(tblShipments[[#This Row],[Gateway]], CHAR(10), " ")</f>
        <v xml:space="preserve">AWB No. Gateway Port Gateway EGM No. Gateway EGM Date Gateway Site ID Error Code N.A.  INNSA1  135331  2017-09-19 00:00:00.0  INNSA1  S </v>
      </c>
      <c r="Q184" t="s">
        <v>820</v>
      </c>
    </row>
    <row r="185" spans="1:17" x14ac:dyDescent="0.35">
      <c r="A185" t="s">
        <v>8</v>
      </c>
      <c r="B185">
        <v>8849157</v>
      </c>
      <c r="C185" s="2" t="s">
        <v>815</v>
      </c>
      <c r="D185" s="2" t="str">
        <f>LEFT(TRIM(MID(SUBSTITUTE(tblShipments[[#This Row],[Details]],CHAR(10)," "), FIND(CHAR(10),tblShipments[[#This Row],[Details]])+1, 50)), 10)</f>
        <v>0595012647</v>
      </c>
      <c r="E185" t="s">
        <v>821</v>
      </c>
      <c r="F18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5" t="str">
        <f>IF(tblShipments[[#This Row],[EGM no]]="", "Missing EGM", "EGM Submitted")</f>
        <v>EGM Submitted</v>
      </c>
      <c r="H185" t="str">
        <f>IF(OR(ISNUMBER(SEARCH("Released",tblShipments[[#This Row],[ROSL]])),
      ISNUMBER(SEARCH("Scroll",tblShipments[[#This Row],[ROSL]])),
      ISNUMBER(SEARCH("Y",tblShipments[[#This Row],[ROSL]]))),
   "Released",
   "Not Released")</f>
        <v>Released</v>
      </c>
      <c r="I185" t="str">
        <f>IF(OR(tblShipments[[#This Row],[EGM no]]="", tblShipments[[#This Row],[EGM no]]="N.A."), "Not Submitted", "Submitted")</f>
        <v>Submitted</v>
      </c>
      <c r="J185" t="str">
        <f>IF(LEFT(tblShipments[[#This Row],[Gateway_Extracted]],2)="IN","Valid","Invalid")</f>
        <v>Valid</v>
      </c>
      <c r="K185" t="s">
        <v>822</v>
      </c>
      <c r="L185" t="s">
        <v>823</v>
      </c>
      <c r="M185" t="s">
        <v>13</v>
      </c>
      <c r="N185" t="s">
        <v>824</v>
      </c>
      <c r="O185" t="str">
        <f>IFERROR("IN" &amp; _xlfn.TEXTBEFORE(_xlfn.TEXTAFTER(UPPER(tblShipments[[#This Row],[Gateway_clean]]),"IN")," ",1),"")</f>
        <v>INMUN1</v>
      </c>
      <c r="P185" t="str">
        <f>SUBSTITUTE(tblShipments[[#This Row],[Gateway]], CHAR(10), " ")</f>
        <v xml:space="preserve">AWB No. Gateway Port Gateway EGM No. Gateway EGM Date Gateway Site ID Error Code N.A.  INMUN1  134212  2017-08-30 00:00:00.0  INMUN1  S </v>
      </c>
      <c r="Q185" t="s">
        <v>825</v>
      </c>
    </row>
    <row r="186" spans="1:17" x14ac:dyDescent="0.35">
      <c r="A186" t="s">
        <v>8</v>
      </c>
      <c r="B186">
        <v>8876829</v>
      </c>
      <c r="C186" s="2" t="s">
        <v>826</v>
      </c>
      <c r="D186" s="2" t="str">
        <f>LEFT(TRIM(MID(SUBSTITUTE(tblShipments[[#This Row],[Details]],CHAR(10)," "), FIND(CHAR(10),tblShipments[[#This Row],[Details]])+1, 50)), 10)</f>
        <v>3397001846</v>
      </c>
      <c r="E186" t="s">
        <v>827</v>
      </c>
      <c r="F18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6" t="str">
        <f>IF(tblShipments[[#This Row],[EGM no]]="", "Missing EGM", "EGM Submitted")</f>
        <v>EGM Submitted</v>
      </c>
      <c r="H186" t="str">
        <f>IF(OR(ISNUMBER(SEARCH("Released",tblShipments[[#This Row],[ROSL]])),
      ISNUMBER(SEARCH("Scroll",tblShipments[[#This Row],[ROSL]])),
      ISNUMBER(SEARCH("Y",tblShipments[[#This Row],[ROSL]]))),
   "Released",
   "Not Released")</f>
        <v>Released</v>
      </c>
      <c r="I186" t="str">
        <f>IF(OR(tblShipments[[#This Row],[EGM no]]="", tblShipments[[#This Row],[EGM no]]="N.A."), "Not Submitted", "Submitted")</f>
        <v>Submitted</v>
      </c>
      <c r="J186" t="str">
        <f>IF(LEFT(tblShipments[[#This Row],[Gateway_Extracted]],2)="IN","Valid","Invalid")</f>
        <v>Valid</v>
      </c>
      <c r="K186" t="s">
        <v>828</v>
      </c>
      <c r="L186" t="s">
        <v>829</v>
      </c>
      <c r="M186" t="s">
        <v>13</v>
      </c>
      <c r="N186" t="s">
        <v>830</v>
      </c>
      <c r="O186" t="str">
        <f>IFERROR("IN" &amp; _xlfn.TEXTBEFORE(_xlfn.TEXTAFTER(UPPER(tblShipments[[#This Row],[Gateway_clean]]),"IN")," ",1),"")</f>
        <v>INNSA1</v>
      </c>
      <c r="P186" t="str">
        <f>SUBSTITUTE(tblShipments[[#This Row],[Gateway]], CHAR(10), " ")</f>
        <v xml:space="preserve">AWB No. Gateway Port Gateway EGM No. Gateway EGM Date Gateway Site ID Error Code N.A.  INNSA1  134677  2017-09-07 00:00:00.0  INNSA1  S </v>
      </c>
      <c r="Q186" t="s">
        <v>831</v>
      </c>
    </row>
    <row r="187" spans="1:17" x14ac:dyDescent="0.35">
      <c r="A187" t="s">
        <v>8</v>
      </c>
      <c r="B187">
        <v>8876935</v>
      </c>
      <c r="C187" s="2" t="s">
        <v>826</v>
      </c>
      <c r="D187" s="2" t="str">
        <f>LEFT(TRIM(MID(SUBSTITUTE(tblShipments[[#This Row],[Details]],CHAR(10)," "), FIND(CHAR(10),tblShipments[[#This Row],[Details]])+1, 50)), 10)</f>
        <v>3397001846</v>
      </c>
      <c r="E187" t="s">
        <v>832</v>
      </c>
      <c r="F18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7" t="str">
        <f>IF(tblShipments[[#This Row],[EGM no]]="", "Missing EGM", "EGM Submitted")</f>
        <v>EGM Submitted</v>
      </c>
      <c r="H187" t="str">
        <f>IF(OR(ISNUMBER(SEARCH("Released",tblShipments[[#This Row],[ROSL]])),
      ISNUMBER(SEARCH("Scroll",tblShipments[[#This Row],[ROSL]])),
      ISNUMBER(SEARCH("Y",tblShipments[[#This Row],[ROSL]]))),
   "Released",
   "Not Released")</f>
        <v>Released</v>
      </c>
      <c r="I187" t="str">
        <f>IF(OR(tblShipments[[#This Row],[EGM no]]="", tblShipments[[#This Row],[EGM no]]="N.A."), "Not Submitted", "Submitted")</f>
        <v>Submitted</v>
      </c>
      <c r="J187" t="str">
        <f>IF(LEFT(tblShipments[[#This Row],[Gateway_Extracted]],2)="IN","Valid","Invalid")</f>
        <v>Valid</v>
      </c>
      <c r="K187" t="s">
        <v>828</v>
      </c>
      <c r="L187" t="s">
        <v>833</v>
      </c>
      <c r="M187" t="s">
        <v>13</v>
      </c>
      <c r="N187" t="s">
        <v>834</v>
      </c>
      <c r="O187" t="str">
        <f>IFERROR("IN" &amp; _xlfn.TEXTBEFORE(_xlfn.TEXTAFTER(UPPER(tblShipments[[#This Row],[Gateway_clean]]),"IN")," ",1),"")</f>
        <v>INNSA1</v>
      </c>
      <c r="P187" t="str">
        <f>SUBSTITUTE(tblShipments[[#This Row],[Gateway]], CHAR(10), " ")</f>
        <v xml:space="preserve">AWB No. Gateway Port Gateway EGM No. Gateway EGM Date Gateway Site ID Error Code N.A.  INNSA1  134677  2017-09-07 00:00:00.0  INNSA1  S </v>
      </c>
      <c r="Q187" t="s">
        <v>831</v>
      </c>
    </row>
    <row r="188" spans="1:17" x14ac:dyDescent="0.35">
      <c r="A188" t="s">
        <v>8</v>
      </c>
      <c r="B188">
        <v>8898683</v>
      </c>
      <c r="C188" s="2" t="s">
        <v>835</v>
      </c>
      <c r="D188" s="2" t="str">
        <f>LEFT(TRIM(MID(SUBSTITUTE(tblShipments[[#This Row],[Details]],CHAR(10)," "), FIND(CHAR(10),tblShipments[[#This Row],[Details]])+1, 50)), 10)</f>
        <v>0594048621</v>
      </c>
      <c r="E188" t="s">
        <v>836</v>
      </c>
      <c r="F18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8" t="str">
        <f>IF(tblShipments[[#This Row],[EGM no]]="", "Missing EGM", "EGM Submitted")</f>
        <v>EGM Submitted</v>
      </c>
      <c r="H188" t="str">
        <f>IF(OR(ISNUMBER(SEARCH("Released",tblShipments[[#This Row],[ROSL]])),
      ISNUMBER(SEARCH("Scroll",tblShipments[[#This Row],[ROSL]])),
      ISNUMBER(SEARCH("Y",tblShipments[[#This Row],[ROSL]]))),
   "Released",
   "Not Released")</f>
        <v>Released</v>
      </c>
      <c r="I188" t="str">
        <f>IF(OR(tblShipments[[#This Row],[EGM no]]="", tblShipments[[#This Row],[EGM no]]="N.A."), "Not Submitted", "Submitted")</f>
        <v>Submitted</v>
      </c>
      <c r="J188" t="str">
        <f>IF(LEFT(tblShipments[[#This Row],[Gateway_Extracted]],2)="IN","Valid","Invalid")</f>
        <v>Valid</v>
      </c>
      <c r="K188" t="s">
        <v>837</v>
      </c>
      <c r="L188" t="s">
        <v>838</v>
      </c>
      <c r="M188" t="s">
        <v>13</v>
      </c>
      <c r="N188" t="s">
        <v>839</v>
      </c>
      <c r="O188" t="str">
        <f>IFERROR("IN" &amp; _xlfn.TEXTBEFORE(_xlfn.TEXTAFTER(UPPER(tblShipments[[#This Row],[Gateway_clean]]),"IN")," ",1),"")</f>
        <v>INMUN1</v>
      </c>
      <c r="P188" t="str">
        <f>SUBSTITUTE(tblShipments[[#This Row],[Gateway]], CHAR(10), " ")</f>
        <v xml:space="preserve">AWB No. Gateway Port Gateway EGM No. Gateway EGM Date Gateway Site ID Error Code N.A.  INMUN1  135372  2017-09-19 00:00:00.0  INMUN1  S </v>
      </c>
      <c r="Q188" t="s">
        <v>840</v>
      </c>
    </row>
    <row r="189" spans="1:17" x14ac:dyDescent="0.35">
      <c r="A189" t="s">
        <v>8</v>
      </c>
      <c r="B189">
        <v>8909116</v>
      </c>
      <c r="C189" s="2" t="s">
        <v>835</v>
      </c>
      <c r="D189" s="2" t="str">
        <f>LEFT(TRIM(MID(SUBSTITUTE(tblShipments[[#This Row],[Details]],CHAR(10)," "), FIND(CHAR(10),tblShipments[[#This Row],[Details]])+1, 50)), 10)</f>
        <v>DOOPK1147B</v>
      </c>
      <c r="E189" t="s">
        <v>841</v>
      </c>
      <c r="F18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89" t="str">
        <f>IF(tblShipments[[#This Row],[EGM no]]="", "Missing EGM", "EGM Submitted")</f>
        <v>EGM Submitted</v>
      </c>
      <c r="H189" t="str">
        <f>IF(OR(ISNUMBER(SEARCH("Released",tblShipments[[#This Row],[ROSL]])),
      ISNUMBER(SEARCH("Scroll",tblShipments[[#This Row],[ROSL]])),
      ISNUMBER(SEARCH("Y",tblShipments[[#This Row],[ROSL]]))),
   "Released",
   "Not Released")</f>
        <v>Released</v>
      </c>
      <c r="I189" t="str">
        <f>IF(OR(tblShipments[[#This Row],[EGM no]]="", tblShipments[[#This Row],[EGM no]]="N.A."), "Not Submitted", "Submitted")</f>
        <v>Submitted</v>
      </c>
      <c r="J189" t="str">
        <f>IF(LEFT(tblShipments[[#This Row],[Gateway_Extracted]],2)="IN","Valid","Invalid")</f>
        <v>Valid</v>
      </c>
      <c r="K189" t="s">
        <v>842</v>
      </c>
      <c r="L189" t="s">
        <v>843</v>
      </c>
      <c r="M189" t="s">
        <v>844</v>
      </c>
      <c r="N189" t="s">
        <v>845</v>
      </c>
      <c r="O189" t="str">
        <f>IFERROR("IN" &amp; _xlfn.TEXTBEFORE(_xlfn.TEXTAFTER(UPPER(tblShipments[[#This Row],[Gateway_clean]]),"IN")," ",1),"")</f>
        <v>INMUN1</v>
      </c>
      <c r="P189" t="str">
        <f>SUBSTITUTE(tblShipments[[#This Row],[Gateway]], CHAR(10), " ")</f>
        <v xml:space="preserve">AWB No. Gateway Port Gateway EGM No. Gateway EGM Date Gateway Site ID Error Code N.A.  INMUN1  139832  2017-11-30 00:00:00.0  INMUN1  S </v>
      </c>
      <c r="Q189" t="s">
        <v>846</v>
      </c>
    </row>
    <row r="190" spans="1:17" x14ac:dyDescent="0.35">
      <c r="A190" t="s">
        <v>8</v>
      </c>
      <c r="B190">
        <v>8909119</v>
      </c>
      <c r="C190" s="2" t="s">
        <v>835</v>
      </c>
      <c r="D190" s="2" t="str">
        <f>LEFT(TRIM(MID(SUBSTITUTE(tblShipments[[#This Row],[Details]],CHAR(10)," "), FIND(CHAR(10),tblShipments[[#This Row],[Details]])+1, 50)), 10)</f>
        <v>DOOPK1147B</v>
      </c>
      <c r="E190" t="s">
        <v>847</v>
      </c>
      <c r="F19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0" t="str">
        <f>IF(tblShipments[[#This Row],[EGM no]]="", "Missing EGM", "EGM Submitted")</f>
        <v>EGM Submitted</v>
      </c>
      <c r="H190" t="str">
        <f>IF(OR(ISNUMBER(SEARCH("Released",tblShipments[[#This Row],[ROSL]])),
      ISNUMBER(SEARCH("Scroll",tblShipments[[#This Row],[ROSL]])),
      ISNUMBER(SEARCH("Y",tblShipments[[#This Row],[ROSL]]))),
   "Released",
   "Not Released")</f>
        <v>Released</v>
      </c>
      <c r="I190" t="str">
        <f>IF(OR(tblShipments[[#This Row],[EGM no]]="", tblShipments[[#This Row],[EGM no]]="N.A."), "Not Submitted", "Submitted")</f>
        <v>Submitted</v>
      </c>
      <c r="J190" t="str">
        <f>IF(LEFT(tblShipments[[#This Row],[Gateway_Extracted]],2)="IN","Valid","Invalid")</f>
        <v>Valid</v>
      </c>
      <c r="K190" t="s">
        <v>842</v>
      </c>
      <c r="L190" t="s">
        <v>843</v>
      </c>
      <c r="M190" t="s">
        <v>848</v>
      </c>
      <c r="N190" t="s">
        <v>849</v>
      </c>
      <c r="O190" t="str">
        <f>IFERROR("IN" &amp; _xlfn.TEXTBEFORE(_xlfn.TEXTAFTER(UPPER(tblShipments[[#This Row],[Gateway_clean]]),"IN")," ",1),"")</f>
        <v>INMUN1</v>
      </c>
      <c r="P190" t="str">
        <f>SUBSTITUTE(tblShipments[[#This Row],[Gateway]], CHAR(10), " ")</f>
        <v xml:space="preserve">AWB No. Gateway Port Gateway EGM No. Gateway EGM Date Gateway Site ID Error Code N.A.  INMUN1  139832  2017-11-30 00:00:00.0  INMUN1  S </v>
      </c>
      <c r="Q190" t="s">
        <v>846</v>
      </c>
    </row>
    <row r="191" spans="1:17" x14ac:dyDescent="0.35">
      <c r="A191" t="s">
        <v>8</v>
      </c>
      <c r="B191">
        <v>8909141</v>
      </c>
      <c r="C191" s="2" t="s">
        <v>835</v>
      </c>
      <c r="D191" s="2" t="str">
        <f>LEFT(TRIM(MID(SUBSTITUTE(tblShipments[[#This Row],[Details]],CHAR(10)," "), FIND(CHAR(10),tblShipments[[#This Row],[Details]])+1, 50)), 10)</f>
        <v>DOOPK1147B</v>
      </c>
      <c r="E191" t="s">
        <v>850</v>
      </c>
      <c r="F19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1" t="str">
        <f>IF(tblShipments[[#This Row],[EGM no]]="", "Missing EGM", "EGM Submitted")</f>
        <v>EGM Submitted</v>
      </c>
      <c r="H191" t="str">
        <f>IF(OR(ISNUMBER(SEARCH("Released",tblShipments[[#This Row],[ROSL]])),
      ISNUMBER(SEARCH("Scroll",tblShipments[[#This Row],[ROSL]])),
      ISNUMBER(SEARCH("Y",tblShipments[[#This Row],[ROSL]]))),
   "Released",
   "Not Released")</f>
        <v>Released</v>
      </c>
      <c r="I191" t="str">
        <f>IF(OR(tblShipments[[#This Row],[EGM no]]="", tblShipments[[#This Row],[EGM no]]="N.A."), "Not Submitted", "Submitted")</f>
        <v>Submitted</v>
      </c>
      <c r="J191" t="str">
        <f>IF(LEFT(tblShipments[[#This Row],[Gateway_Extracted]],2)="IN","Valid","Invalid")</f>
        <v>Valid</v>
      </c>
      <c r="K191" t="s">
        <v>842</v>
      </c>
      <c r="L191" t="s">
        <v>843</v>
      </c>
      <c r="M191" t="s">
        <v>844</v>
      </c>
      <c r="N191" t="s">
        <v>845</v>
      </c>
      <c r="O191" t="str">
        <f>IFERROR("IN" &amp; _xlfn.TEXTBEFORE(_xlfn.TEXTAFTER(UPPER(tblShipments[[#This Row],[Gateway_clean]]),"IN")," ",1),"")</f>
        <v>INMUN1</v>
      </c>
      <c r="P191" t="str">
        <f>SUBSTITUTE(tblShipments[[#This Row],[Gateway]], CHAR(10), " ")</f>
        <v xml:space="preserve">AWB No. Gateway Port Gateway EGM No. Gateway EGM Date Gateway Site ID Error Code N.A.  INMUN1  139832  2017-11-30 00:00:00.0  INMUN1  S </v>
      </c>
      <c r="Q191" t="s">
        <v>846</v>
      </c>
    </row>
    <row r="192" spans="1:17" x14ac:dyDescent="0.35">
      <c r="A192" t="s">
        <v>8</v>
      </c>
      <c r="B192">
        <v>8909143</v>
      </c>
      <c r="C192" s="2" t="s">
        <v>835</v>
      </c>
      <c r="D192" s="2" t="str">
        <f>LEFT(TRIM(MID(SUBSTITUTE(tblShipments[[#This Row],[Details]],CHAR(10)," "), FIND(CHAR(10),tblShipments[[#This Row],[Details]])+1, 50)), 10)</f>
        <v>DOOPK1147B</v>
      </c>
      <c r="E192" t="s">
        <v>851</v>
      </c>
      <c r="F19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2" t="str">
        <f>IF(tblShipments[[#This Row],[EGM no]]="", "Missing EGM", "EGM Submitted")</f>
        <v>EGM Submitted</v>
      </c>
      <c r="H192" t="str">
        <f>IF(OR(ISNUMBER(SEARCH("Released",tblShipments[[#This Row],[ROSL]])),
      ISNUMBER(SEARCH("Scroll",tblShipments[[#This Row],[ROSL]])),
      ISNUMBER(SEARCH("Y",tblShipments[[#This Row],[ROSL]]))),
   "Released",
   "Not Released")</f>
        <v>Released</v>
      </c>
      <c r="I192" t="str">
        <f>IF(OR(tblShipments[[#This Row],[EGM no]]="", tblShipments[[#This Row],[EGM no]]="N.A."), "Not Submitted", "Submitted")</f>
        <v>Submitted</v>
      </c>
      <c r="J192" t="str">
        <f>IF(LEFT(tblShipments[[#This Row],[Gateway_Extracted]],2)="IN","Valid","Invalid")</f>
        <v>Valid</v>
      </c>
      <c r="K192" t="s">
        <v>842</v>
      </c>
      <c r="L192" t="s">
        <v>843</v>
      </c>
      <c r="M192" t="s">
        <v>844</v>
      </c>
      <c r="N192" t="s">
        <v>845</v>
      </c>
      <c r="O192" t="str">
        <f>IFERROR("IN" &amp; _xlfn.TEXTBEFORE(_xlfn.TEXTAFTER(UPPER(tblShipments[[#This Row],[Gateway_clean]]),"IN")," ",1),"")</f>
        <v>INMUN1</v>
      </c>
      <c r="P192" t="str">
        <f>SUBSTITUTE(tblShipments[[#This Row],[Gateway]], CHAR(10), " ")</f>
        <v xml:space="preserve">AWB No. Gateway Port Gateway EGM No. Gateway EGM Date Gateway Site ID Error Code N.A.  INMUN1  139832  2017-11-30 00:00:00.0  INMUN1  S </v>
      </c>
      <c r="Q192" t="s">
        <v>846</v>
      </c>
    </row>
    <row r="193" spans="1:17" x14ac:dyDescent="0.35">
      <c r="A193" t="s">
        <v>8</v>
      </c>
      <c r="B193">
        <v>8909148</v>
      </c>
      <c r="C193" s="2" t="s">
        <v>835</v>
      </c>
      <c r="D193" s="2" t="str">
        <f>LEFT(TRIM(MID(SUBSTITUTE(tblShipments[[#This Row],[Details]],CHAR(10)," "), FIND(CHAR(10),tblShipments[[#This Row],[Details]])+1, 50)), 10)</f>
        <v>DOOPK1147B</v>
      </c>
      <c r="E193" t="s">
        <v>852</v>
      </c>
      <c r="F19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3" t="str">
        <f>IF(tblShipments[[#This Row],[EGM no]]="", "Missing EGM", "EGM Submitted")</f>
        <v>EGM Submitted</v>
      </c>
      <c r="H193" t="str">
        <f>IF(OR(ISNUMBER(SEARCH("Released",tblShipments[[#This Row],[ROSL]])),
      ISNUMBER(SEARCH("Scroll",tblShipments[[#This Row],[ROSL]])),
      ISNUMBER(SEARCH("Y",tblShipments[[#This Row],[ROSL]]))),
   "Released",
   "Not Released")</f>
        <v>Released</v>
      </c>
      <c r="I193" t="str">
        <f>IF(OR(tblShipments[[#This Row],[EGM no]]="", tblShipments[[#This Row],[EGM no]]="N.A."), "Not Submitted", "Submitted")</f>
        <v>Submitted</v>
      </c>
      <c r="J193" t="str">
        <f>IF(LEFT(tblShipments[[#This Row],[Gateway_Extracted]],2)="IN","Valid","Invalid")</f>
        <v>Valid</v>
      </c>
      <c r="K193" t="s">
        <v>842</v>
      </c>
      <c r="L193" t="s">
        <v>843</v>
      </c>
      <c r="M193" t="s">
        <v>853</v>
      </c>
      <c r="N193" t="s">
        <v>854</v>
      </c>
      <c r="O193" t="str">
        <f>IFERROR("IN" &amp; _xlfn.TEXTBEFORE(_xlfn.TEXTAFTER(UPPER(tblShipments[[#This Row],[Gateway_clean]]),"IN")," ",1),"")</f>
        <v>INMUN1</v>
      </c>
      <c r="P193" t="str">
        <f>SUBSTITUTE(tblShipments[[#This Row],[Gateway]], CHAR(10), " ")</f>
        <v xml:space="preserve">AWB No. Gateway Port Gateway EGM No. Gateway EGM Date Gateway Site ID Error Code N.A.  INMUN1  139832  2017-11-30 00:00:00.0  INMUN1  S </v>
      </c>
      <c r="Q193" t="s">
        <v>846</v>
      </c>
    </row>
    <row r="194" spans="1:17" x14ac:dyDescent="0.35">
      <c r="A194" t="s">
        <v>8</v>
      </c>
      <c r="B194">
        <v>8910761</v>
      </c>
      <c r="C194" s="2" t="s">
        <v>835</v>
      </c>
      <c r="D194" s="2" t="str">
        <f>LEFT(TRIM(MID(SUBSTITUTE(tblShipments[[#This Row],[Details]],CHAR(10)," "), FIND(CHAR(10),tblShipments[[#This Row],[Details]])+1, 50)), 10)</f>
        <v>DOOPK1147B</v>
      </c>
      <c r="E194" t="s">
        <v>855</v>
      </c>
      <c r="F19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4" t="str">
        <f>IF(tblShipments[[#This Row],[EGM no]]="", "Missing EGM", "EGM Submitted")</f>
        <v>EGM Submitted</v>
      </c>
      <c r="H194" t="str">
        <f>IF(OR(ISNUMBER(SEARCH("Released",tblShipments[[#This Row],[ROSL]])),
      ISNUMBER(SEARCH("Scroll",tblShipments[[#This Row],[ROSL]])),
      ISNUMBER(SEARCH("Y",tblShipments[[#This Row],[ROSL]]))),
   "Released",
   "Not Released")</f>
        <v>Released</v>
      </c>
      <c r="I194" t="str">
        <f>IF(OR(tblShipments[[#This Row],[EGM no]]="", tblShipments[[#This Row],[EGM no]]="N.A."), "Not Submitted", "Submitted")</f>
        <v>Submitted</v>
      </c>
      <c r="J194" t="str">
        <f>IF(LEFT(tblShipments[[#This Row],[Gateway_Extracted]],2)="IN","Valid","Invalid")</f>
        <v>Valid</v>
      </c>
      <c r="K194" t="s">
        <v>842</v>
      </c>
      <c r="L194" t="s">
        <v>843</v>
      </c>
      <c r="M194" t="s">
        <v>844</v>
      </c>
      <c r="N194" t="s">
        <v>845</v>
      </c>
      <c r="O194" t="str">
        <f>IFERROR("IN" &amp; _xlfn.TEXTBEFORE(_xlfn.TEXTAFTER(UPPER(tblShipments[[#This Row],[Gateway_clean]]),"IN")," ",1),"")</f>
        <v>INMUN1</v>
      </c>
      <c r="P194" t="str">
        <f>SUBSTITUTE(tblShipments[[#This Row],[Gateway]], CHAR(10), " ")</f>
        <v xml:space="preserve">AWB No. Gateway Port Gateway EGM No. Gateway EGM Date Gateway Site ID Error Code N.A.  INMUN1  139832  2017-11-30 00:00:00.0  INMUN1  S </v>
      </c>
      <c r="Q194" t="s">
        <v>846</v>
      </c>
    </row>
    <row r="195" spans="1:17" x14ac:dyDescent="0.35">
      <c r="A195" t="s">
        <v>8</v>
      </c>
      <c r="B195">
        <v>8913772</v>
      </c>
      <c r="C195" s="2" t="s">
        <v>835</v>
      </c>
      <c r="D195" s="2" t="str">
        <f>LEFT(TRIM(MID(SUBSTITUTE(tblShipments[[#This Row],[Details]],CHAR(10)," "), FIND(CHAR(10),tblShipments[[#This Row],[Details]])+1, 50)), 10)</f>
        <v>0510005021</v>
      </c>
      <c r="E195" t="s">
        <v>856</v>
      </c>
      <c r="F19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5" t="str">
        <f>IF(tblShipments[[#This Row],[EGM no]]="", "Missing EGM", "EGM Submitted")</f>
        <v>EGM Submitted</v>
      </c>
      <c r="H195" t="str">
        <f>IF(OR(ISNUMBER(SEARCH("Released",tblShipments[[#This Row],[ROSL]])),
      ISNUMBER(SEARCH("Scroll",tblShipments[[#This Row],[ROSL]])),
      ISNUMBER(SEARCH("Y",tblShipments[[#This Row],[ROSL]]))),
   "Released",
   "Not Released")</f>
        <v>Released</v>
      </c>
      <c r="I195" t="str">
        <f>IF(OR(tblShipments[[#This Row],[EGM no]]="", tblShipments[[#This Row],[EGM no]]="N.A."), "Not Submitted", "Submitted")</f>
        <v>Submitted</v>
      </c>
      <c r="J195" t="str">
        <f>IF(LEFT(tblShipments[[#This Row],[Gateway_Extracted]],2)="IN","Valid","Invalid")</f>
        <v>Valid</v>
      </c>
      <c r="K195" t="s">
        <v>857</v>
      </c>
      <c r="L195" t="s">
        <v>858</v>
      </c>
      <c r="M195" t="s">
        <v>31</v>
      </c>
      <c r="N195" t="s">
        <v>859</v>
      </c>
      <c r="O195" t="str">
        <f>IFERROR("IN" &amp; _xlfn.TEXTBEFORE(_xlfn.TEXTAFTER(UPPER(tblShipments[[#This Row],[Gateway_clean]]),"IN")," ",1),"")</f>
        <v>INMUN1</v>
      </c>
      <c r="P195" t="str">
        <f>SUBSTITUTE(tblShipments[[#This Row],[Gateway]], CHAR(10), " ")</f>
        <v xml:space="preserve">AWB No. Gateway Port Gateway EGM No. Gateway EGM Date Gateway Site ID Error Code N.A.  INMUN1  137768  2017-10-28 00:00:00.0  INMUN1  S </v>
      </c>
      <c r="Q195" t="s">
        <v>860</v>
      </c>
    </row>
    <row r="196" spans="1:17" x14ac:dyDescent="0.35">
      <c r="A196" t="s">
        <v>8</v>
      </c>
      <c r="B196">
        <v>8937407</v>
      </c>
      <c r="C196" s="2" t="s">
        <v>861</v>
      </c>
      <c r="D196" s="2" t="str">
        <f>LEFT(TRIM(MID(SUBSTITUTE(tblShipments[[#This Row],[Details]],CHAR(10)," "), FIND(CHAR(10),tblShipments[[#This Row],[Details]])+1, 50)), 10)</f>
        <v>0509035337</v>
      </c>
      <c r="E196" t="s">
        <v>862</v>
      </c>
      <c r="F19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6" t="str">
        <f>IF(tblShipments[[#This Row],[EGM no]]="", "Missing EGM", "EGM Submitted")</f>
        <v>EGM Submitted</v>
      </c>
      <c r="H196" t="str">
        <f>IF(OR(ISNUMBER(SEARCH("Released",tblShipments[[#This Row],[ROSL]])),
      ISNUMBER(SEARCH("Scroll",tblShipments[[#This Row],[ROSL]])),
      ISNUMBER(SEARCH("Y",tblShipments[[#This Row],[ROSL]]))),
   "Released",
   "Not Released")</f>
        <v>Released</v>
      </c>
      <c r="I196" t="str">
        <f>IF(OR(tblShipments[[#This Row],[EGM no]]="", tblShipments[[#This Row],[EGM no]]="N.A."), "Not Submitted", "Submitted")</f>
        <v>Submitted</v>
      </c>
      <c r="J196" t="str">
        <f>IF(LEFT(tblShipments[[#This Row],[Gateway_Extracted]],2)="IN","Valid","Invalid")</f>
        <v>Valid</v>
      </c>
      <c r="K196" t="s">
        <v>863</v>
      </c>
      <c r="L196" t="s">
        <v>864</v>
      </c>
      <c r="M196" t="s">
        <v>13</v>
      </c>
      <c r="N196" t="s">
        <v>865</v>
      </c>
      <c r="O196" t="str">
        <f>IFERROR("IN" &amp; _xlfn.TEXTBEFORE(_xlfn.TEXTAFTER(UPPER(tblShipments[[#This Row],[Gateway_clean]]),"IN")," ",1),"")</f>
        <v>INNSA1</v>
      </c>
      <c r="P196" t="str">
        <f>SUBSTITUTE(tblShipments[[#This Row],[Gateway]], CHAR(10), " ")</f>
        <v xml:space="preserve">AWB No. Gateway Port Gateway EGM No. Gateway EGM Date Gateway Site ID Error Code N.A.  INNSA1  136158  2017-10-03 00:00:00.0  INNSA1  S </v>
      </c>
      <c r="Q196" t="s">
        <v>866</v>
      </c>
    </row>
    <row r="197" spans="1:17" x14ac:dyDescent="0.35">
      <c r="A197" t="s">
        <v>8</v>
      </c>
      <c r="B197">
        <v>8942181</v>
      </c>
      <c r="C197" s="2" t="s">
        <v>861</v>
      </c>
      <c r="D197" s="2" t="str">
        <f>LEFT(TRIM(MID(SUBSTITUTE(tblShipments[[#This Row],[Details]],CHAR(10)," "), FIND(CHAR(10),tblShipments[[#This Row],[Details]])+1, 50)), 10)</f>
        <v>0599059206</v>
      </c>
      <c r="E197" t="s">
        <v>867</v>
      </c>
      <c r="F19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7" t="str">
        <f>IF(tblShipments[[#This Row],[EGM no]]="", "Missing EGM", "EGM Submitted")</f>
        <v>EGM Submitted</v>
      </c>
      <c r="H197" t="str">
        <f>IF(OR(ISNUMBER(SEARCH("Released",tblShipments[[#This Row],[ROSL]])),
      ISNUMBER(SEARCH("Scroll",tblShipments[[#This Row],[ROSL]])),
      ISNUMBER(SEARCH("Y",tblShipments[[#This Row],[ROSL]]))),
   "Released",
   "Not Released")</f>
        <v>Released</v>
      </c>
      <c r="I197" t="str">
        <f>IF(OR(tblShipments[[#This Row],[EGM no]]="", tblShipments[[#This Row],[EGM no]]="N.A."), "Not Submitted", "Submitted")</f>
        <v>Submitted</v>
      </c>
      <c r="J197" t="str">
        <f>IF(LEFT(tblShipments[[#This Row],[Gateway_Extracted]],2)="IN","Valid","Invalid")</f>
        <v>Valid</v>
      </c>
      <c r="K197" t="s">
        <v>749</v>
      </c>
      <c r="L197" t="s">
        <v>868</v>
      </c>
      <c r="M197" t="s">
        <v>31</v>
      </c>
      <c r="N197" t="s">
        <v>869</v>
      </c>
      <c r="O197" t="str">
        <f>IFERROR("IN" &amp; _xlfn.TEXTBEFORE(_xlfn.TEXTAFTER(UPPER(tblShipments[[#This Row],[Gateway_clean]]),"IN")," ",1),"")</f>
        <v>INMUN1</v>
      </c>
      <c r="P197" t="str">
        <f>SUBSTITUTE(tblShipments[[#This Row],[Gateway]], CHAR(10), " ")</f>
        <v xml:space="preserve">AWB No. Gateway Port Gateway EGM No. Gateway EGM Date Gateway Site ID Error Code N.A.  INMUN1  136519  2017-10-09 00:00:00.0  INMUN1  S </v>
      </c>
      <c r="Q197" t="s">
        <v>870</v>
      </c>
    </row>
    <row r="198" spans="1:17" x14ac:dyDescent="0.35">
      <c r="A198" t="s">
        <v>8</v>
      </c>
      <c r="B198">
        <v>8942185</v>
      </c>
      <c r="C198" s="2" t="s">
        <v>861</v>
      </c>
      <c r="D198" s="2" t="str">
        <f>LEFT(TRIM(MID(SUBSTITUTE(tblShipments[[#This Row],[Details]],CHAR(10)," "), FIND(CHAR(10),tblShipments[[#This Row],[Details]])+1, 50)), 10)</f>
        <v>0599059206</v>
      </c>
      <c r="E198" t="s">
        <v>871</v>
      </c>
      <c r="F19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8" t="str">
        <f>IF(tblShipments[[#This Row],[EGM no]]="", "Missing EGM", "EGM Submitted")</f>
        <v>EGM Submitted</v>
      </c>
      <c r="H198" t="str">
        <f>IF(OR(ISNUMBER(SEARCH("Released",tblShipments[[#This Row],[ROSL]])),
      ISNUMBER(SEARCH("Scroll",tblShipments[[#This Row],[ROSL]])),
      ISNUMBER(SEARCH("Y",tblShipments[[#This Row],[ROSL]]))),
   "Released",
   "Not Released")</f>
        <v>Released</v>
      </c>
      <c r="I198" t="str">
        <f>IF(OR(tblShipments[[#This Row],[EGM no]]="", tblShipments[[#This Row],[EGM no]]="N.A."), "Not Submitted", "Submitted")</f>
        <v>Submitted</v>
      </c>
      <c r="J198" t="str">
        <f>IF(LEFT(tblShipments[[#This Row],[Gateway_Extracted]],2)="IN","Valid","Invalid")</f>
        <v>Valid</v>
      </c>
      <c r="K198" t="s">
        <v>749</v>
      </c>
      <c r="L198" t="s">
        <v>872</v>
      </c>
      <c r="M198" t="s">
        <v>31</v>
      </c>
      <c r="N198" t="s">
        <v>873</v>
      </c>
      <c r="O198" t="str">
        <f>IFERROR("IN" &amp; _xlfn.TEXTBEFORE(_xlfn.TEXTAFTER(UPPER(tblShipments[[#This Row],[Gateway_clean]]),"IN")," ",1),"")</f>
        <v>INMUN1</v>
      </c>
      <c r="P198" t="str">
        <f>SUBSTITUTE(tblShipments[[#This Row],[Gateway]], CHAR(10), " ")</f>
        <v xml:space="preserve">AWB No. Gateway Port Gateway EGM No. Gateway EGM Date Gateway Site ID Error Code N.A.  INMUN1  136519  2017-10-09 00:00:00.0  INMUN1  S </v>
      </c>
      <c r="Q198" t="s">
        <v>870</v>
      </c>
    </row>
    <row r="199" spans="1:17" x14ac:dyDescent="0.35">
      <c r="A199" t="s">
        <v>8</v>
      </c>
      <c r="B199">
        <v>8961510</v>
      </c>
      <c r="C199" s="2" t="s">
        <v>874</v>
      </c>
      <c r="D199" s="2" t="str">
        <f>LEFT(TRIM(MID(SUBSTITUTE(tblShipments[[#This Row],[Details]],CHAR(10)," "), FIND(CHAR(10),tblShipments[[#This Row],[Details]])+1, 50)), 10)</f>
        <v>0515036919</v>
      </c>
      <c r="E199" t="s">
        <v>875</v>
      </c>
      <c r="F19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199" t="str">
        <f>IF(tblShipments[[#This Row],[EGM no]]="", "Missing EGM", "EGM Submitted")</f>
        <v>EGM Submitted</v>
      </c>
      <c r="H199" t="str">
        <f>IF(OR(ISNUMBER(SEARCH("Released",tblShipments[[#This Row],[ROSL]])),
      ISNUMBER(SEARCH("Scroll",tblShipments[[#This Row],[ROSL]])),
      ISNUMBER(SEARCH("Y",tblShipments[[#This Row],[ROSL]]))),
   "Released",
   "Not Released")</f>
        <v>Released</v>
      </c>
      <c r="I199" t="str">
        <f>IF(OR(tblShipments[[#This Row],[EGM no]]="", tblShipments[[#This Row],[EGM no]]="N.A."), "Not Submitted", "Submitted")</f>
        <v>Submitted</v>
      </c>
      <c r="J199" t="str">
        <f>IF(LEFT(tblShipments[[#This Row],[Gateway_Extracted]],2)="IN","Valid","Invalid")</f>
        <v>Valid</v>
      </c>
      <c r="K199" t="s">
        <v>876</v>
      </c>
      <c r="L199" t="s">
        <v>877</v>
      </c>
      <c r="M199" t="s">
        <v>878</v>
      </c>
      <c r="N199" t="s">
        <v>879</v>
      </c>
      <c r="O199" t="str">
        <f>IFERROR("IN" &amp; _xlfn.TEXTBEFORE(_xlfn.TEXTAFTER(UPPER(tblShipments[[#This Row],[Gateway_clean]]),"IN")," ",1),"")</f>
        <v>INNSA1</v>
      </c>
      <c r="P199" t="str">
        <f>SUBSTITUTE(tblShipments[[#This Row],[Gateway]], CHAR(10), " ")</f>
        <v xml:space="preserve">AWB No. Gateway Port Gateway EGM No. Gateway EGM Date Gateway Site ID Error Code N.A.  INNSA1  136238  2017-10-04 00:00:00.0  INNSA1  S </v>
      </c>
      <c r="Q199" t="s">
        <v>880</v>
      </c>
    </row>
    <row r="200" spans="1:17" x14ac:dyDescent="0.35">
      <c r="A200" t="s">
        <v>8</v>
      </c>
      <c r="B200">
        <v>8961708</v>
      </c>
      <c r="C200" s="2" t="s">
        <v>874</v>
      </c>
      <c r="D200" s="2" t="str">
        <f>LEFT(TRIM(MID(SUBSTITUTE(tblShipments[[#This Row],[Details]],CHAR(10)," "), FIND(CHAR(10),tblShipments[[#This Row],[Details]])+1, 50)), 10)</f>
        <v>3104003254</v>
      </c>
      <c r="E200" t="s">
        <v>881</v>
      </c>
      <c r="F20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0" t="str">
        <f>IF(tblShipments[[#This Row],[EGM no]]="", "Missing EGM", "EGM Submitted")</f>
        <v>EGM Submitted</v>
      </c>
      <c r="H200" t="str">
        <f>IF(OR(ISNUMBER(SEARCH("Released",tblShipments[[#This Row],[ROSL]])),
      ISNUMBER(SEARCH("Scroll",tblShipments[[#This Row],[ROSL]])),
      ISNUMBER(SEARCH("Y",tblShipments[[#This Row],[ROSL]]))),
   "Released",
   "Not Released")</f>
        <v>Released</v>
      </c>
      <c r="I200" t="str">
        <f>IF(OR(tblShipments[[#This Row],[EGM no]]="", tblShipments[[#This Row],[EGM no]]="N.A."), "Not Submitted", "Submitted")</f>
        <v>Submitted</v>
      </c>
      <c r="J200" t="str">
        <f>IF(LEFT(tblShipments[[#This Row],[Gateway_Extracted]],2)="IN","Valid","Invalid")</f>
        <v>Valid</v>
      </c>
      <c r="K200" t="s">
        <v>882</v>
      </c>
      <c r="L200" t="s">
        <v>883</v>
      </c>
      <c r="M200" t="s">
        <v>13</v>
      </c>
      <c r="N200" t="s">
        <v>884</v>
      </c>
      <c r="O200" t="str">
        <f>IFERROR("IN" &amp; _xlfn.TEXTBEFORE(_xlfn.TEXTAFTER(UPPER(tblShipments[[#This Row],[Gateway_clean]]),"IN")," ",1),"")</f>
        <v>INNSA1</v>
      </c>
      <c r="P200" t="str">
        <f>SUBSTITUTE(tblShipments[[#This Row],[Gateway]], CHAR(10), " ")</f>
        <v xml:space="preserve">AWB No. Gateway Port Gateway EGM No. Gateway EGM Date Gateway Site ID Error Code N.A.  INNSA1  136898  2017-10-13 00:00:00.0  INNSA1  S </v>
      </c>
      <c r="Q200" t="s">
        <v>885</v>
      </c>
    </row>
    <row r="201" spans="1:17" x14ac:dyDescent="0.35">
      <c r="A201" t="s">
        <v>8</v>
      </c>
      <c r="B201">
        <v>8964619</v>
      </c>
      <c r="C201" s="2" t="s">
        <v>874</v>
      </c>
      <c r="D201" s="2" t="str">
        <f>LEFT(TRIM(MID(SUBSTITUTE(tblShipments[[#This Row],[Details]],CHAR(10)," "), FIND(CHAR(10),tblShipments[[#This Row],[Details]])+1, 50)), 10)</f>
        <v>0588079359</v>
      </c>
      <c r="E201" t="s">
        <v>886</v>
      </c>
      <c r="F20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1" t="str">
        <f>IF(tblShipments[[#This Row],[EGM no]]="", "Missing EGM", "EGM Submitted")</f>
        <v>EGM Submitted</v>
      </c>
      <c r="H201" t="str">
        <f>IF(OR(ISNUMBER(SEARCH("Released",tblShipments[[#This Row],[ROSL]])),
      ISNUMBER(SEARCH("Scroll",tblShipments[[#This Row],[ROSL]])),
      ISNUMBER(SEARCH("Y",tblShipments[[#This Row],[ROSL]]))),
   "Released",
   "Not Released")</f>
        <v>Released</v>
      </c>
      <c r="I201" t="str">
        <f>IF(OR(tblShipments[[#This Row],[EGM no]]="", tblShipments[[#This Row],[EGM no]]="N.A."), "Not Submitted", "Submitted")</f>
        <v>Submitted</v>
      </c>
      <c r="J201" t="str">
        <f>IF(LEFT(tblShipments[[#This Row],[Gateway_Extracted]],2)="IN","Valid","Invalid")</f>
        <v>Valid</v>
      </c>
      <c r="K201" t="s">
        <v>887</v>
      </c>
      <c r="L201" t="s">
        <v>888</v>
      </c>
      <c r="M201" t="s">
        <v>13</v>
      </c>
      <c r="N201" t="s">
        <v>889</v>
      </c>
      <c r="O201" t="str">
        <f>IFERROR("IN" &amp; _xlfn.TEXTBEFORE(_xlfn.TEXTAFTER(UPPER(tblShipments[[#This Row],[Gateway_clean]]),"IN")," ",1),"")</f>
        <v>INNSA1</v>
      </c>
      <c r="P201" t="str">
        <f>SUBSTITUTE(tblShipments[[#This Row],[Gateway]], CHAR(10), " ")</f>
        <v xml:space="preserve">AWB No. Gateway Port Gateway EGM No. Gateway EGM Date Gateway Site ID Error Code N.A.  INNSA1  N.A.  N.A.  N.A.  N.A. </v>
      </c>
      <c r="Q201" t="s">
        <v>26</v>
      </c>
    </row>
    <row r="202" spans="1:17" x14ac:dyDescent="0.35">
      <c r="A202" t="s">
        <v>8</v>
      </c>
      <c r="B202">
        <v>8966600</v>
      </c>
      <c r="C202" s="2" t="s">
        <v>874</v>
      </c>
      <c r="D202" s="2" t="str">
        <f>LEFT(TRIM(MID(SUBSTITUTE(tblShipments[[#This Row],[Details]],CHAR(10)," "), FIND(CHAR(10),tblShipments[[#This Row],[Details]])+1, 50)), 10)</f>
        <v>3104003254</v>
      </c>
      <c r="E202" t="s">
        <v>890</v>
      </c>
      <c r="F20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2" t="str">
        <f>IF(tblShipments[[#This Row],[EGM no]]="", "Missing EGM", "EGM Submitted")</f>
        <v>EGM Submitted</v>
      </c>
      <c r="H202" t="str">
        <f>IF(OR(ISNUMBER(SEARCH("Released",tblShipments[[#This Row],[ROSL]])),
      ISNUMBER(SEARCH("Scroll",tblShipments[[#This Row],[ROSL]])),
      ISNUMBER(SEARCH("Y",tblShipments[[#This Row],[ROSL]]))),
   "Released",
   "Not Released")</f>
        <v>Released</v>
      </c>
      <c r="I202" t="str">
        <f>IF(OR(tblShipments[[#This Row],[EGM no]]="", tblShipments[[#This Row],[EGM no]]="N.A."), "Not Submitted", "Submitted")</f>
        <v>Submitted</v>
      </c>
      <c r="J202" t="str">
        <f>IF(LEFT(tblShipments[[#This Row],[Gateway_Extracted]],2)="IN","Valid","Invalid")</f>
        <v>Valid</v>
      </c>
      <c r="K202" t="s">
        <v>891</v>
      </c>
      <c r="L202" t="s">
        <v>883</v>
      </c>
      <c r="M202" t="s">
        <v>13</v>
      </c>
      <c r="N202" t="s">
        <v>892</v>
      </c>
      <c r="O202" t="str">
        <f>IFERROR("IN" &amp; _xlfn.TEXTBEFORE(_xlfn.TEXTAFTER(UPPER(tblShipments[[#This Row],[Gateway_clean]]),"IN")," ",1),"")</f>
        <v>INNSA1</v>
      </c>
      <c r="P202" t="str">
        <f>SUBSTITUTE(tblShipments[[#This Row],[Gateway]], CHAR(10), " ")</f>
        <v xml:space="preserve">AWB No. Gateway Port Gateway EGM No. Gateway EGM Date Gateway Site ID Error Code N.A.  INNSA1  136898  2017-10-13 00:00:00.0  INNSA1  S </v>
      </c>
      <c r="Q202" t="s">
        <v>885</v>
      </c>
    </row>
    <row r="203" spans="1:17" x14ac:dyDescent="0.35">
      <c r="A203" t="s">
        <v>8</v>
      </c>
      <c r="B203">
        <v>8967109</v>
      </c>
      <c r="C203" s="2" t="s">
        <v>874</v>
      </c>
      <c r="D203" s="2" t="str">
        <f>LEFT(TRIM(MID(SUBSTITUTE(tblShipments[[#This Row],[Details]],CHAR(10)," "), FIND(CHAR(10),tblShipments[[#This Row],[Details]])+1, 50)), 10)</f>
        <v>3104003254</v>
      </c>
      <c r="E203" t="s">
        <v>893</v>
      </c>
      <c r="F20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3" t="str">
        <f>IF(tblShipments[[#This Row],[EGM no]]="", "Missing EGM", "EGM Submitted")</f>
        <v>EGM Submitted</v>
      </c>
      <c r="H203" t="str">
        <f>IF(OR(ISNUMBER(SEARCH("Released",tblShipments[[#This Row],[ROSL]])),
      ISNUMBER(SEARCH("Scroll",tblShipments[[#This Row],[ROSL]])),
      ISNUMBER(SEARCH("Y",tblShipments[[#This Row],[ROSL]]))),
   "Released",
   "Not Released")</f>
        <v>Released</v>
      </c>
      <c r="I203" t="str">
        <f>IF(OR(tblShipments[[#This Row],[EGM no]]="", tblShipments[[#This Row],[EGM no]]="N.A."), "Not Submitted", "Submitted")</f>
        <v>Submitted</v>
      </c>
      <c r="J203" t="str">
        <f>IF(LEFT(tblShipments[[#This Row],[Gateway_Extracted]],2)="IN","Valid","Invalid")</f>
        <v>Valid</v>
      </c>
      <c r="K203" t="s">
        <v>894</v>
      </c>
      <c r="L203" t="s">
        <v>883</v>
      </c>
      <c r="M203" t="s">
        <v>13</v>
      </c>
      <c r="N203" t="s">
        <v>895</v>
      </c>
      <c r="O203" t="str">
        <f>IFERROR("IN" &amp; _xlfn.TEXTBEFORE(_xlfn.TEXTAFTER(UPPER(tblShipments[[#This Row],[Gateway_clean]]),"IN")," ",1),"")</f>
        <v>INNSA1</v>
      </c>
      <c r="P203" t="str">
        <f>SUBSTITUTE(tblShipments[[#This Row],[Gateway]], CHAR(10), " ")</f>
        <v xml:space="preserve">AWB No. Gateway Port Gateway EGM No. Gateway EGM Date Gateway Site ID Error Code N.A.  INNSA1  136898  2017-10-13 00:00:00.0  INNSA1  S </v>
      </c>
      <c r="Q203" t="s">
        <v>885</v>
      </c>
    </row>
    <row r="204" spans="1:17" x14ac:dyDescent="0.35">
      <c r="A204" t="s">
        <v>8</v>
      </c>
      <c r="B204">
        <v>8967731</v>
      </c>
      <c r="C204" s="2" t="s">
        <v>874</v>
      </c>
      <c r="D204" s="2" t="str">
        <f>LEFT(TRIM(MID(SUBSTITUTE(tblShipments[[#This Row],[Details]],CHAR(10)," "), FIND(CHAR(10),tblShipments[[#This Row],[Details]])+1, 50)), 10)</f>
        <v>3104003254</v>
      </c>
      <c r="E204" t="s">
        <v>896</v>
      </c>
      <c r="F20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4" t="str">
        <f>IF(tblShipments[[#This Row],[EGM no]]="", "Missing EGM", "EGM Submitted")</f>
        <v>EGM Submitted</v>
      </c>
      <c r="H204" t="str">
        <f>IF(OR(ISNUMBER(SEARCH("Released",tblShipments[[#This Row],[ROSL]])),
      ISNUMBER(SEARCH("Scroll",tblShipments[[#This Row],[ROSL]])),
      ISNUMBER(SEARCH("Y",tblShipments[[#This Row],[ROSL]]))),
   "Released",
   "Not Released")</f>
        <v>Released</v>
      </c>
      <c r="I204" t="str">
        <f>IF(OR(tblShipments[[#This Row],[EGM no]]="", tblShipments[[#This Row],[EGM no]]="N.A."), "Not Submitted", "Submitted")</f>
        <v>Submitted</v>
      </c>
      <c r="J204" t="str">
        <f>IF(LEFT(tblShipments[[#This Row],[Gateway_Extracted]],2)="IN","Valid","Invalid")</f>
        <v>Valid</v>
      </c>
      <c r="K204" t="s">
        <v>882</v>
      </c>
      <c r="L204" t="s">
        <v>897</v>
      </c>
      <c r="M204" t="s">
        <v>13</v>
      </c>
      <c r="N204" t="s">
        <v>898</v>
      </c>
      <c r="O204" t="str">
        <f>IFERROR("IN" &amp; _xlfn.TEXTBEFORE(_xlfn.TEXTAFTER(UPPER(tblShipments[[#This Row],[Gateway_clean]]),"IN")," ",1),"")</f>
        <v>INMUN1</v>
      </c>
      <c r="P204" t="str">
        <f>SUBSTITUTE(tblShipments[[#This Row],[Gateway]], CHAR(10), " ")</f>
        <v xml:space="preserve">AWB No. Gateway Port Gateway EGM No. Gateway EGM Date Gateway Site ID Error Code N.A.  INMUN1  135373  2017-09-19 00:00:00.0  INMUN1  S </v>
      </c>
      <c r="Q204" t="s">
        <v>899</v>
      </c>
    </row>
    <row r="205" spans="1:17" x14ac:dyDescent="0.35">
      <c r="A205" t="s">
        <v>8</v>
      </c>
      <c r="B205">
        <v>8999430</v>
      </c>
      <c r="C205" s="2" t="s">
        <v>900</v>
      </c>
      <c r="D205" s="2" t="str">
        <f>LEFT(TRIM(MID(SUBSTITUTE(tblShipments[[#This Row],[Details]],CHAR(10)," "), FIND(CHAR(10),tblShipments[[#This Row],[Details]])+1, 50)), 10)</f>
        <v>0589053850</v>
      </c>
      <c r="E205" t="s">
        <v>901</v>
      </c>
      <c r="F20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5" t="str">
        <f>IF(tblShipments[[#This Row],[EGM no]]="", "Missing EGM", "EGM Submitted")</f>
        <v>EGM Submitted</v>
      </c>
      <c r="H205" t="str">
        <f>IF(OR(ISNUMBER(SEARCH("Released",tblShipments[[#This Row],[ROSL]])),
      ISNUMBER(SEARCH("Scroll",tblShipments[[#This Row],[ROSL]])),
      ISNUMBER(SEARCH("Y",tblShipments[[#This Row],[ROSL]]))),
   "Released",
   "Not Released")</f>
        <v>Released</v>
      </c>
      <c r="I205" t="str">
        <f>IF(OR(tblShipments[[#This Row],[EGM no]]="", tblShipments[[#This Row],[EGM no]]="N.A."), "Not Submitted", "Submitted")</f>
        <v>Submitted</v>
      </c>
      <c r="J205" t="str">
        <f>IF(LEFT(tblShipments[[#This Row],[Gateway_Extracted]],2)="IN","Valid","Invalid")</f>
        <v>Valid</v>
      </c>
      <c r="K205" t="s">
        <v>902</v>
      </c>
      <c r="L205" t="s">
        <v>903</v>
      </c>
      <c r="M205" t="s">
        <v>13</v>
      </c>
      <c r="N205" t="s">
        <v>904</v>
      </c>
      <c r="O205" t="str">
        <f>IFERROR("IN" &amp; _xlfn.TEXTBEFORE(_xlfn.TEXTAFTER(UPPER(tblShipments[[#This Row],[Gateway_clean]]),"IN")," ",1),"")</f>
        <v>INNSA1</v>
      </c>
      <c r="P205" t="str">
        <f>SUBSTITUTE(tblShipments[[#This Row],[Gateway]], CHAR(10), " ")</f>
        <v xml:space="preserve">AWB No. Gateway Port Gateway EGM No. Gateway EGM Date Gateway Site ID Error Code N.A.  INNSA1  135755  2017-09-25 00:00:00.0  INNSA1  NC </v>
      </c>
      <c r="Q205" t="s">
        <v>905</v>
      </c>
    </row>
    <row r="206" spans="1:17" x14ac:dyDescent="0.35">
      <c r="A206" t="s">
        <v>8</v>
      </c>
      <c r="B206">
        <v>9000406</v>
      </c>
      <c r="C206" s="2" t="s">
        <v>900</v>
      </c>
      <c r="D206" s="2" t="str">
        <f>LEFT(TRIM(MID(SUBSTITUTE(tblShipments[[#This Row],[Details]],CHAR(10)," "), FIND(CHAR(10),tblShipments[[#This Row],[Details]])+1, 50)), 10)</f>
        <v>0595012647</v>
      </c>
      <c r="E206" t="s">
        <v>906</v>
      </c>
      <c r="F20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6" t="str">
        <f>IF(tblShipments[[#This Row],[EGM no]]="", "Missing EGM", "EGM Submitted")</f>
        <v>EGM Submitted</v>
      </c>
      <c r="H206" t="str">
        <f>IF(OR(ISNUMBER(SEARCH("Released",tblShipments[[#This Row],[ROSL]])),
      ISNUMBER(SEARCH("Scroll",tblShipments[[#This Row],[ROSL]])),
      ISNUMBER(SEARCH("Y",tblShipments[[#This Row],[ROSL]]))),
   "Released",
   "Not Released")</f>
        <v>Released</v>
      </c>
      <c r="I206" t="str">
        <f>IF(OR(tblShipments[[#This Row],[EGM no]]="", tblShipments[[#This Row],[EGM no]]="N.A."), "Not Submitted", "Submitted")</f>
        <v>Submitted</v>
      </c>
      <c r="J206" t="str">
        <f>IF(LEFT(tblShipments[[#This Row],[Gateway_Extracted]],2)="IN","Valid","Invalid")</f>
        <v>Valid</v>
      </c>
      <c r="K206" t="s">
        <v>907</v>
      </c>
      <c r="L206" t="s">
        <v>908</v>
      </c>
      <c r="M206" t="s">
        <v>13</v>
      </c>
      <c r="N206" t="s">
        <v>909</v>
      </c>
      <c r="O206" t="str">
        <f>IFERROR("IN" &amp; _xlfn.TEXTBEFORE(_xlfn.TEXTAFTER(UPPER(tblShipments[[#This Row],[Gateway_clean]]),"IN")," ",1),"")</f>
        <v>INMUN1</v>
      </c>
      <c r="P206" t="str">
        <f>SUBSTITUTE(tblShipments[[#This Row],[Gateway]], CHAR(10), " ")</f>
        <v xml:space="preserve">AWB No. Gateway Port Gateway EGM No. Gateway EGM Date Gateway Site ID Error Code N.A.  INMUN1  136071  2017-09-29 00:00:00.0  INMUN1  S </v>
      </c>
      <c r="Q206" t="s">
        <v>910</v>
      </c>
    </row>
    <row r="207" spans="1:17" x14ac:dyDescent="0.35">
      <c r="A207" t="s">
        <v>8</v>
      </c>
      <c r="B207">
        <v>9003019</v>
      </c>
      <c r="C207" s="2" t="s">
        <v>900</v>
      </c>
      <c r="D207" s="2" t="str">
        <f>LEFT(TRIM(MID(SUBSTITUTE(tblShipments[[#This Row],[Details]],CHAR(10)," "), FIND(CHAR(10),tblShipments[[#This Row],[Details]])+1, 50)), 10)</f>
        <v>0595012647</v>
      </c>
      <c r="E207" t="s">
        <v>911</v>
      </c>
      <c r="F20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7" t="str">
        <f>IF(tblShipments[[#This Row],[EGM no]]="", "Missing EGM", "EGM Submitted")</f>
        <v>EGM Submitted</v>
      </c>
      <c r="H207" t="str">
        <f>IF(OR(ISNUMBER(SEARCH("Released",tblShipments[[#This Row],[ROSL]])),
      ISNUMBER(SEARCH("Scroll",tblShipments[[#This Row],[ROSL]])),
      ISNUMBER(SEARCH("Y",tblShipments[[#This Row],[ROSL]]))),
   "Released",
   "Not Released")</f>
        <v>Released</v>
      </c>
      <c r="I207" t="str">
        <f>IF(OR(tblShipments[[#This Row],[EGM no]]="", tblShipments[[#This Row],[EGM no]]="N.A."), "Not Submitted", "Submitted")</f>
        <v>Submitted</v>
      </c>
      <c r="J207" t="str">
        <f>IF(LEFT(tblShipments[[#This Row],[Gateway_Extracted]],2)="IN","Valid","Invalid")</f>
        <v>Valid</v>
      </c>
      <c r="K207" t="s">
        <v>811</v>
      </c>
      <c r="L207" t="s">
        <v>908</v>
      </c>
      <c r="M207" t="s">
        <v>13</v>
      </c>
      <c r="N207" t="s">
        <v>912</v>
      </c>
      <c r="O207" t="str">
        <f>IFERROR("IN" &amp; _xlfn.TEXTBEFORE(_xlfn.TEXTAFTER(UPPER(tblShipments[[#This Row],[Gateway_clean]]),"IN")," ",1),"")</f>
        <v>INMUN1</v>
      </c>
      <c r="P207" t="str">
        <f>SUBSTITUTE(tblShipments[[#This Row],[Gateway]], CHAR(10), " ")</f>
        <v xml:space="preserve">AWB No. Gateway Port Gateway EGM No. Gateway EGM Date Gateway Site ID Error Code N.A.  INMUN1  136071  2017-09-29 00:00:00.0  INMUN1  S </v>
      </c>
      <c r="Q207" t="s">
        <v>910</v>
      </c>
    </row>
    <row r="208" spans="1:17" x14ac:dyDescent="0.35">
      <c r="A208" t="s">
        <v>8</v>
      </c>
      <c r="B208">
        <v>9009228</v>
      </c>
      <c r="C208" s="2" t="s">
        <v>900</v>
      </c>
      <c r="D208" s="2" t="str">
        <f>LEFT(TRIM(MID(SUBSTITUTE(tblShipments[[#This Row],[Details]],CHAR(10)," "), FIND(CHAR(10),tblShipments[[#This Row],[Details]])+1, 50)), 10)</f>
        <v>2915001367</v>
      </c>
      <c r="E208" t="s">
        <v>913</v>
      </c>
      <c r="F20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8" t="str">
        <f>IF(tblShipments[[#This Row],[EGM no]]="", "Missing EGM", "EGM Submitted")</f>
        <v>EGM Submitted</v>
      </c>
      <c r="H208" t="str">
        <f>IF(OR(ISNUMBER(SEARCH("Released",tblShipments[[#This Row],[ROSL]])),
      ISNUMBER(SEARCH("Scroll",tblShipments[[#This Row],[ROSL]])),
      ISNUMBER(SEARCH("Y",tblShipments[[#This Row],[ROSL]]))),
   "Released",
   "Not Released")</f>
        <v>Released</v>
      </c>
      <c r="I208" t="str">
        <f>IF(OR(tblShipments[[#This Row],[EGM no]]="", tblShipments[[#This Row],[EGM no]]="N.A."), "Not Submitted", "Submitted")</f>
        <v>Submitted</v>
      </c>
      <c r="J208" t="str">
        <f>IF(LEFT(tblShipments[[#This Row],[Gateway_Extracted]],2)="IN","Valid","Invalid")</f>
        <v>Valid</v>
      </c>
      <c r="K208" t="s">
        <v>749</v>
      </c>
      <c r="L208" t="s">
        <v>914</v>
      </c>
      <c r="M208" t="s">
        <v>31</v>
      </c>
      <c r="N208" t="s">
        <v>915</v>
      </c>
      <c r="O208" t="str">
        <f>IFERROR("IN" &amp; _xlfn.TEXTBEFORE(_xlfn.TEXTAFTER(UPPER(tblShipments[[#This Row],[Gateway_clean]]),"IN")," ",1),"")</f>
        <v>INNSA1</v>
      </c>
      <c r="P208" t="str">
        <f>SUBSTITUTE(tblShipments[[#This Row],[Gateway]], CHAR(10), " ")</f>
        <v xml:space="preserve">AWB No. Gateway Port Gateway EGM No. Gateway EGM Date Gateway Site ID Error Code N.A.  INNSA1  135119  2017-09-14 00:00:00.0  INNSA1  S </v>
      </c>
      <c r="Q208" t="s">
        <v>916</v>
      </c>
    </row>
    <row r="209" spans="1:17" x14ac:dyDescent="0.35">
      <c r="A209" t="s">
        <v>8</v>
      </c>
      <c r="B209">
        <v>9029616</v>
      </c>
      <c r="C209" s="2" t="s">
        <v>917</v>
      </c>
      <c r="D209" s="2" t="str">
        <f>LEFT(TRIM(MID(SUBSTITUTE(tblShipments[[#This Row],[Details]],CHAR(10)," "), FIND(CHAR(10),tblShipments[[#This Row],[Details]])+1, 50)), 10)</f>
        <v>0598059113</v>
      </c>
      <c r="E209" t="s">
        <v>918</v>
      </c>
      <c r="F20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09" t="str">
        <f>IF(tblShipments[[#This Row],[EGM no]]="", "Missing EGM", "EGM Submitted")</f>
        <v>EGM Submitted</v>
      </c>
      <c r="H209" t="str">
        <f>IF(OR(ISNUMBER(SEARCH("Released",tblShipments[[#This Row],[ROSL]])),
      ISNUMBER(SEARCH("Scroll",tblShipments[[#This Row],[ROSL]])),
      ISNUMBER(SEARCH("Y",tblShipments[[#This Row],[ROSL]]))),
   "Released",
   "Not Released")</f>
        <v>Released</v>
      </c>
      <c r="I209" t="str">
        <f>IF(OR(tblShipments[[#This Row],[EGM no]]="", tblShipments[[#This Row],[EGM no]]="N.A."), "Not Submitted", "Submitted")</f>
        <v>Submitted</v>
      </c>
      <c r="J209" t="str">
        <f>IF(LEFT(tblShipments[[#This Row],[Gateway_Extracted]],2)="IN","Valid","Invalid")</f>
        <v>Valid</v>
      </c>
      <c r="K209" t="s">
        <v>919</v>
      </c>
      <c r="L209" t="s">
        <v>920</v>
      </c>
      <c r="M209" t="s">
        <v>13</v>
      </c>
      <c r="N209" t="s">
        <v>921</v>
      </c>
      <c r="O209" t="str">
        <f>IFERROR("IN" &amp; _xlfn.TEXTBEFORE(_xlfn.TEXTAFTER(UPPER(tblShipments[[#This Row],[Gateway_clean]]),"IN")," ",1),"")</f>
        <v>INMUN1</v>
      </c>
      <c r="P209" t="str">
        <f>SUBSTITUTE(tblShipments[[#This Row],[Gateway]], CHAR(10), " ")</f>
        <v xml:space="preserve">AWB No. Gateway Port Gateway EGM No. Gateway EGM Date Gateway Site ID Error Code N.A.  INMUN1  136518  2017-10-09 00:00:00.0  INMUN1  S </v>
      </c>
      <c r="Q209" t="s">
        <v>922</v>
      </c>
    </row>
    <row r="210" spans="1:17" x14ac:dyDescent="0.35">
      <c r="A210" t="s">
        <v>8</v>
      </c>
      <c r="B210">
        <v>9049883</v>
      </c>
      <c r="C210" s="2" t="s">
        <v>917</v>
      </c>
      <c r="D210" s="2" t="str">
        <f>LEFT(TRIM(MID(SUBSTITUTE(tblShipments[[#This Row],[Details]],CHAR(10)," "), FIND(CHAR(10),tblShipments[[#This Row],[Details]])+1, 50)), 10)</f>
        <v>0506012905</v>
      </c>
      <c r="E210" t="s">
        <v>923</v>
      </c>
      <c r="F21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0" t="str">
        <f>IF(tblShipments[[#This Row],[EGM no]]="", "Missing EGM", "EGM Submitted")</f>
        <v>EGM Submitted</v>
      </c>
      <c r="H210" t="str">
        <f>IF(OR(ISNUMBER(SEARCH("Released",tblShipments[[#This Row],[ROSL]])),
      ISNUMBER(SEARCH("Scroll",tblShipments[[#This Row],[ROSL]])),
      ISNUMBER(SEARCH("Y",tblShipments[[#This Row],[ROSL]]))),
   "Released",
   "Not Released")</f>
        <v>Released</v>
      </c>
      <c r="I210" t="str">
        <f>IF(OR(tblShipments[[#This Row],[EGM no]]="", tblShipments[[#This Row],[EGM no]]="N.A."), "Not Submitted", "Submitted")</f>
        <v>Submitted</v>
      </c>
      <c r="J210" t="str">
        <f>IF(LEFT(tblShipments[[#This Row],[Gateway_Extracted]],2)="IN","Valid","Invalid")</f>
        <v>Valid</v>
      </c>
      <c r="K210" t="s">
        <v>924</v>
      </c>
      <c r="L210" t="s">
        <v>925</v>
      </c>
      <c r="M210" t="s">
        <v>31</v>
      </c>
      <c r="N210" t="s">
        <v>926</v>
      </c>
      <c r="O210" t="str">
        <f>IFERROR("IN" &amp; _xlfn.TEXTBEFORE(_xlfn.TEXTAFTER(UPPER(tblShipments[[#This Row],[Gateway_clean]]),"IN")," ",1),"")</f>
        <v>INNSA1</v>
      </c>
      <c r="P210" t="str">
        <f>SUBSTITUTE(tblShipments[[#This Row],[Gateway]], CHAR(10), " ")</f>
        <v xml:space="preserve">AWB No. Gateway Port Gateway EGM No. Gateway EGM Date Gateway Site ID Error Code N.A.  INNSA1  136163  2017-10-03 00:00:00.0  INNSA1  C </v>
      </c>
      <c r="Q210" t="s">
        <v>927</v>
      </c>
    </row>
    <row r="211" spans="1:17" x14ac:dyDescent="0.35">
      <c r="A211" t="s">
        <v>8</v>
      </c>
      <c r="B211">
        <v>9064900</v>
      </c>
      <c r="C211" s="2" t="s">
        <v>928</v>
      </c>
      <c r="D211" s="2" t="str">
        <f>LEFT(TRIM(MID(SUBSTITUTE(tblShipments[[#This Row],[Details]],CHAR(10)," "), FIND(CHAR(10),tblShipments[[#This Row],[Details]])+1, 50)), 10)</f>
        <v>0504063227</v>
      </c>
      <c r="E211" t="s">
        <v>929</v>
      </c>
      <c r="F21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1" t="str">
        <f>IF(tblShipments[[#This Row],[EGM no]]="", "Missing EGM", "EGM Submitted")</f>
        <v>EGM Submitted</v>
      </c>
      <c r="H211" t="str">
        <f>IF(OR(ISNUMBER(SEARCH("Released",tblShipments[[#This Row],[ROSL]])),
      ISNUMBER(SEARCH("Scroll",tblShipments[[#This Row],[ROSL]])),
      ISNUMBER(SEARCH("Y",tblShipments[[#This Row],[ROSL]]))),
   "Released",
   "Not Released")</f>
        <v>Released</v>
      </c>
      <c r="I211" t="str">
        <f>IF(OR(tblShipments[[#This Row],[EGM no]]="", tblShipments[[#This Row],[EGM no]]="N.A."), "Not Submitted", "Submitted")</f>
        <v>Submitted</v>
      </c>
      <c r="J211" t="str">
        <f>IF(LEFT(tblShipments[[#This Row],[Gateway_Extracted]],2)="IN","Valid","Invalid")</f>
        <v>Valid</v>
      </c>
      <c r="K211" t="s">
        <v>930</v>
      </c>
      <c r="L211" t="s">
        <v>931</v>
      </c>
      <c r="M211" t="s">
        <v>13</v>
      </c>
      <c r="N211" t="s">
        <v>932</v>
      </c>
      <c r="O211" t="str">
        <f>IFERROR("IN" &amp; _xlfn.TEXTBEFORE(_xlfn.TEXTAFTER(UPPER(tblShipments[[#This Row],[Gateway_clean]]),"IN")," ",1),"")</f>
        <v>INNSA1</v>
      </c>
      <c r="P211" t="str">
        <f>SUBSTITUTE(tblShipments[[#This Row],[Gateway]], CHAR(10), " ")</f>
        <v xml:space="preserve">AWB No. Gateway Port Gateway EGM No. Gateway EGM Date Gateway Site ID Error Code N.A.  INNSA1  135895  2017-09-27 00:00:00.0  INNSA1  S </v>
      </c>
      <c r="Q211" t="s">
        <v>933</v>
      </c>
    </row>
    <row r="212" spans="1:17" x14ac:dyDescent="0.35">
      <c r="A212" t="s">
        <v>8</v>
      </c>
      <c r="B212">
        <v>9073097</v>
      </c>
      <c r="C212" s="2" t="s">
        <v>928</v>
      </c>
      <c r="D212" s="2" t="str">
        <f>LEFT(TRIM(MID(SUBSTITUTE(tblShipments[[#This Row],[Details]],CHAR(10)," "), FIND(CHAR(10),tblShipments[[#This Row],[Details]])+1, 50)), 10)</f>
        <v>0588024317</v>
      </c>
      <c r="E212" t="s">
        <v>934</v>
      </c>
      <c r="F21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2" t="str">
        <f>IF(tblShipments[[#This Row],[EGM no]]="", "Missing EGM", "EGM Submitted")</f>
        <v>EGM Submitted</v>
      </c>
      <c r="H212" t="str">
        <f>IF(OR(ISNUMBER(SEARCH("Released",tblShipments[[#This Row],[ROSL]])),
      ISNUMBER(SEARCH("Scroll",tblShipments[[#This Row],[ROSL]])),
      ISNUMBER(SEARCH("Y",tblShipments[[#This Row],[ROSL]]))),
   "Released",
   "Not Released")</f>
        <v>Released</v>
      </c>
      <c r="I212" t="str">
        <f>IF(OR(tblShipments[[#This Row],[EGM no]]="", tblShipments[[#This Row],[EGM no]]="N.A."), "Not Submitted", "Submitted")</f>
        <v>Submitted</v>
      </c>
      <c r="J212" t="str">
        <f>IF(LEFT(tblShipments[[#This Row],[Gateway_Extracted]],2)="IN","Valid","Invalid")</f>
        <v>Valid</v>
      </c>
      <c r="K212" t="s">
        <v>935</v>
      </c>
      <c r="L212" t="s">
        <v>936</v>
      </c>
      <c r="M212" t="s">
        <v>31</v>
      </c>
      <c r="N212" t="s">
        <v>937</v>
      </c>
      <c r="O212" t="str">
        <f>IFERROR("IN" &amp; _xlfn.TEXTBEFORE(_xlfn.TEXTAFTER(UPPER(tblShipments[[#This Row],[Gateway_clean]]),"IN")," ",1),"")</f>
        <v>INNSA1</v>
      </c>
      <c r="P212" t="str">
        <f>SUBSTITUTE(tblShipments[[#This Row],[Gateway]], CHAR(10), " ")</f>
        <v xml:space="preserve">AWB No. Gateway Port Gateway EGM No. Gateway EGM Date Gateway Site ID Error Code N.A.  INNSA1  135126  2017-09-14 00:00:00.0  INNSA1  S </v>
      </c>
      <c r="Q212" t="s">
        <v>938</v>
      </c>
    </row>
    <row r="213" spans="1:17" x14ac:dyDescent="0.35">
      <c r="A213" t="s">
        <v>8</v>
      </c>
      <c r="B213">
        <v>9086361</v>
      </c>
      <c r="C213" s="2" t="s">
        <v>939</v>
      </c>
      <c r="D213" s="2" t="str">
        <f>LEFT(TRIM(MID(SUBSTITUTE(tblShipments[[#This Row],[Details]],CHAR(10)," "), FIND(CHAR(10),tblShipments[[#This Row],[Details]])+1, 50)), 10)</f>
        <v>0514085720</v>
      </c>
      <c r="E213" t="s">
        <v>940</v>
      </c>
      <c r="F21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3" t="str">
        <f>IF(tblShipments[[#This Row],[EGM no]]="", "Missing EGM", "EGM Submitted")</f>
        <v>EGM Submitted</v>
      </c>
      <c r="H213" t="str">
        <f>IF(OR(ISNUMBER(SEARCH("Released",tblShipments[[#This Row],[ROSL]])),
      ISNUMBER(SEARCH("Scroll",tblShipments[[#This Row],[ROSL]])),
      ISNUMBER(SEARCH("Y",tblShipments[[#This Row],[ROSL]]))),
   "Released",
   "Not Released")</f>
        <v>Released</v>
      </c>
      <c r="I213" t="str">
        <f>IF(OR(tblShipments[[#This Row],[EGM no]]="", tblShipments[[#This Row],[EGM no]]="N.A."), "Not Submitted", "Submitted")</f>
        <v>Submitted</v>
      </c>
      <c r="J213" t="str">
        <f>IF(LEFT(tblShipments[[#This Row],[Gateway_Extracted]],2)="IN","Valid","Invalid")</f>
        <v>Valid</v>
      </c>
      <c r="K213" t="s">
        <v>941</v>
      </c>
      <c r="L213" t="s">
        <v>942</v>
      </c>
      <c r="M213" t="s">
        <v>31</v>
      </c>
      <c r="N213" t="s">
        <v>943</v>
      </c>
      <c r="O213" t="str">
        <f>IFERROR("IN" &amp; _xlfn.TEXTBEFORE(_xlfn.TEXTAFTER(UPPER(tblShipments[[#This Row],[Gateway_clean]]),"IN")," ",1),"")</f>
        <v>INNSA1</v>
      </c>
      <c r="P213" t="str">
        <f>SUBSTITUTE(tblShipments[[#This Row],[Gateway]], CHAR(10), " ")</f>
        <v xml:space="preserve">AWB No. Gateway Port Gateway EGM No. Gateway EGM Date Gateway Site ID Error Code N.A.  INNSA1  136252  2017-10-04 00:00:00.0  INNSA1  S </v>
      </c>
      <c r="Q213" t="s">
        <v>944</v>
      </c>
    </row>
    <row r="214" spans="1:17" x14ac:dyDescent="0.35">
      <c r="A214" t="s">
        <v>8</v>
      </c>
      <c r="B214">
        <v>9089004</v>
      </c>
      <c r="C214" s="2" t="s">
        <v>939</v>
      </c>
      <c r="D214" s="2" t="str">
        <f>LEFT(TRIM(MID(SUBSTITUTE(tblShipments[[#This Row],[Details]],CHAR(10)," "), FIND(CHAR(10),tblShipments[[#This Row],[Details]])+1, 50)), 10)</f>
        <v>0514067969</v>
      </c>
      <c r="E214" t="s">
        <v>945</v>
      </c>
      <c r="F21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4" t="str">
        <f>IF(tblShipments[[#This Row],[EGM no]]="", "Missing EGM", "EGM Submitted")</f>
        <v>EGM Submitted</v>
      </c>
      <c r="H214" t="str">
        <f>IF(OR(ISNUMBER(SEARCH("Released",tblShipments[[#This Row],[ROSL]])),
      ISNUMBER(SEARCH("Scroll",tblShipments[[#This Row],[ROSL]])),
      ISNUMBER(SEARCH("Y",tblShipments[[#This Row],[ROSL]]))),
   "Released",
   "Not Released")</f>
        <v>Released</v>
      </c>
      <c r="I214" t="str">
        <f>IF(OR(tblShipments[[#This Row],[EGM no]]="", tblShipments[[#This Row],[EGM no]]="N.A."), "Not Submitted", "Submitted")</f>
        <v>Submitted</v>
      </c>
      <c r="J214" t="str">
        <f>IF(LEFT(tblShipments[[#This Row],[Gateway_Extracted]],2)="IN","Valid","Invalid")</f>
        <v>Valid</v>
      </c>
      <c r="K214" t="s">
        <v>907</v>
      </c>
      <c r="L214" t="s">
        <v>946</v>
      </c>
      <c r="M214" t="s">
        <v>13</v>
      </c>
      <c r="N214" t="s">
        <v>947</v>
      </c>
      <c r="O214" t="str">
        <f>IFERROR("IN" &amp; _xlfn.TEXTBEFORE(_xlfn.TEXTAFTER(UPPER(tblShipments[[#This Row],[Gateway_clean]]),"IN")," ",1),"")</f>
        <v>INNSA1</v>
      </c>
      <c r="P214" t="str">
        <f>SUBSTITUTE(tblShipments[[#This Row],[Gateway]], CHAR(10), " ")</f>
        <v xml:space="preserve">AWB No. Gateway Port Gateway EGM No. Gateway EGM Date Gateway Site ID Error Code N.A.  INNSA1  137096  2017-10-17 00:00:00.0  INNSA1  C </v>
      </c>
      <c r="Q214" t="s">
        <v>948</v>
      </c>
    </row>
    <row r="215" spans="1:17" x14ac:dyDescent="0.35">
      <c r="A215" t="s">
        <v>8</v>
      </c>
      <c r="B215">
        <v>9093386</v>
      </c>
      <c r="C215" s="2" t="s">
        <v>939</v>
      </c>
      <c r="D215" s="2" t="str">
        <f>LEFT(TRIM(MID(SUBSTITUTE(tblShipments[[#This Row],[Details]],CHAR(10)," "), FIND(CHAR(10),tblShipments[[#This Row],[Details]])+1, 50)), 10)</f>
        <v>0516502123</v>
      </c>
      <c r="E215" t="s">
        <v>949</v>
      </c>
      <c r="F21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5" t="str">
        <f>IF(tblShipments[[#This Row],[EGM no]]="", "Missing EGM", "EGM Submitted")</f>
        <v>EGM Submitted</v>
      </c>
      <c r="H215" t="str">
        <f>IF(OR(ISNUMBER(SEARCH("Released",tblShipments[[#This Row],[ROSL]])),
      ISNUMBER(SEARCH("Scroll",tblShipments[[#This Row],[ROSL]])),
      ISNUMBER(SEARCH("Y",tblShipments[[#This Row],[ROSL]]))),
   "Released",
   "Not Released")</f>
        <v>Released</v>
      </c>
      <c r="I215" t="str">
        <f>IF(OR(tblShipments[[#This Row],[EGM no]]="", tblShipments[[#This Row],[EGM no]]="N.A."), "Not Submitted", "Submitted")</f>
        <v>Submitted</v>
      </c>
      <c r="J215" t="str">
        <f>IF(LEFT(tblShipments[[#This Row],[Gateway_Extracted]],2)="IN","Valid","Invalid")</f>
        <v>Valid</v>
      </c>
      <c r="K215" t="s">
        <v>930</v>
      </c>
      <c r="L215" t="s">
        <v>950</v>
      </c>
      <c r="M215" t="s">
        <v>13</v>
      </c>
      <c r="N215" t="s">
        <v>951</v>
      </c>
      <c r="O215" t="str">
        <f>IFERROR("IN" &amp; _xlfn.TEXTBEFORE(_xlfn.TEXTAFTER(UPPER(tblShipments[[#This Row],[Gateway_clean]]),"IN")," ",1),"")</f>
        <v>INMUN1</v>
      </c>
      <c r="P215" t="str">
        <f>SUBSTITUTE(tblShipments[[#This Row],[Gateway]], CHAR(10), " ")</f>
        <v xml:space="preserve">AWB No. Gateway Port Gateway EGM No. Gateway EGM Date Gateway Site ID Error Code N.A.  INMUN1  140361  2017-12-08 00:00:00.0  INMUN1  S </v>
      </c>
      <c r="Q215" t="s">
        <v>952</v>
      </c>
    </row>
    <row r="216" spans="1:17" x14ac:dyDescent="0.35">
      <c r="A216" t="s">
        <v>8</v>
      </c>
      <c r="B216">
        <v>9096262</v>
      </c>
      <c r="C216" s="2" t="s">
        <v>939</v>
      </c>
      <c r="D216" s="2" t="str">
        <f>LEFT(TRIM(MID(SUBSTITUTE(tblShipments[[#This Row],[Details]],CHAR(10)," "), FIND(CHAR(10),tblShipments[[#This Row],[Details]])+1, 50)), 10)</f>
        <v>0588128180</v>
      </c>
      <c r="E216" t="s">
        <v>953</v>
      </c>
      <c r="F21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6" t="str">
        <f>IF(tblShipments[[#This Row],[EGM no]]="", "Missing EGM", "EGM Submitted")</f>
        <v>EGM Submitted</v>
      </c>
      <c r="H216" t="str">
        <f>IF(OR(ISNUMBER(SEARCH("Released",tblShipments[[#This Row],[ROSL]])),
      ISNUMBER(SEARCH("Scroll",tblShipments[[#This Row],[ROSL]])),
      ISNUMBER(SEARCH("Y",tblShipments[[#This Row],[ROSL]]))),
   "Released",
   "Not Released")</f>
        <v>Released</v>
      </c>
      <c r="I216" t="str">
        <f>IF(OR(tblShipments[[#This Row],[EGM no]]="", tblShipments[[#This Row],[EGM no]]="N.A."), "Not Submitted", "Submitted")</f>
        <v>Submitted</v>
      </c>
      <c r="J216" t="str">
        <f>IF(LEFT(tblShipments[[#This Row],[Gateway_Extracted]],2)="IN","Valid","Invalid")</f>
        <v>Valid</v>
      </c>
      <c r="K216" t="s">
        <v>887</v>
      </c>
      <c r="L216" t="s">
        <v>954</v>
      </c>
      <c r="M216" t="s">
        <v>13</v>
      </c>
      <c r="N216" t="s">
        <v>955</v>
      </c>
      <c r="O216" t="str">
        <f>IFERROR("IN" &amp; _xlfn.TEXTBEFORE(_xlfn.TEXTAFTER(UPPER(tblShipments[[#This Row],[Gateway_clean]]),"IN")," ",1),"")</f>
        <v>INMUN1</v>
      </c>
      <c r="P216" t="str">
        <f>SUBSTITUTE(tblShipments[[#This Row],[Gateway]], CHAR(10), " ")</f>
        <v xml:space="preserve">AWB No. Gateway Port Gateway EGM No. Gateway EGM Date Gateway Site ID Error Code N.A.  INMUN1  136910  2017-10-13 00:00:00.0  INMUN1  S </v>
      </c>
      <c r="Q216" t="s">
        <v>956</v>
      </c>
    </row>
    <row r="217" spans="1:17" x14ac:dyDescent="0.35">
      <c r="A217" t="s">
        <v>8</v>
      </c>
      <c r="B217">
        <v>9098433</v>
      </c>
      <c r="C217" s="2" t="s">
        <v>939</v>
      </c>
      <c r="D217" s="2" t="str">
        <f>LEFT(TRIM(MID(SUBSTITUTE(tblShipments[[#This Row],[Details]],CHAR(10)," "), FIND(CHAR(10),tblShipments[[#This Row],[Details]])+1, 50)), 10)</f>
        <v>0501061428</v>
      </c>
      <c r="E217" t="s">
        <v>957</v>
      </c>
      <c r="F21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7" t="str">
        <f>IF(tblShipments[[#This Row],[EGM no]]="", "Missing EGM", "EGM Submitted")</f>
        <v>EGM Submitted</v>
      </c>
      <c r="H217" t="str">
        <f>IF(OR(ISNUMBER(SEARCH("Released",tblShipments[[#This Row],[ROSL]])),
      ISNUMBER(SEARCH("Scroll",tblShipments[[#This Row],[ROSL]])),
      ISNUMBER(SEARCH("Y",tblShipments[[#This Row],[ROSL]]))),
   "Released",
   "Not Released")</f>
        <v>Released</v>
      </c>
      <c r="I217" t="str">
        <f>IF(OR(tblShipments[[#This Row],[EGM no]]="", tblShipments[[#This Row],[EGM no]]="N.A."), "Not Submitted", "Submitted")</f>
        <v>Submitted</v>
      </c>
      <c r="J217" t="str">
        <f>IF(LEFT(tblShipments[[#This Row],[Gateway_Extracted]],2)="IN","Valid","Invalid")</f>
        <v>Valid</v>
      </c>
      <c r="K217" t="s">
        <v>894</v>
      </c>
      <c r="L217" t="s">
        <v>958</v>
      </c>
      <c r="M217" t="s">
        <v>13</v>
      </c>
      <c r="N217" t="s">
        <v>959</v>
      </c>
      <c r="O217" t="str">
        <f>IFERROR("IN" &amp; _xlfn.TEXTBEFORE(_xlfn.TEXTAFTER(UPPER(tblShipments[[#This Row],[Gateway_clean]]),"IN")," ",1),"")</f>
        <v>INNSA1</v>
      </c>
      <c r="P217" t="str">
        <f>SUBSTITUTE(tblShipments[[#This Row],[Gateway]], CHAR(10), " ")</f>
        <v xml:space="preserve">AWB No. Gateway Port Gateway EGM No. Gateway EGM Date Gateway Site ID Error Code N.A.  INNSA1  135895  2017-09-27 00:00:00.0  INNSA1  S </v>
      </c>
      <c r="Q217" t="s">
        <v>933</v>
      </c>
    </row>
    <row r="218" spans="1:17" x14ac:dyDescent="0.35">
      <c r="A218" t="s">
        <v>8</v>
      </c>
      <c r="B218">
        <v>9122323</v>
      </c>
      <c r="C218" s="2" t="s">
        <v>960</v>
      </c>
      <c r="D218" s="2" t="str">
        <f>LEFT(TRIM(MID(SUBSTITUTE(tblShipments[[#This Row],[Details]],CHAR(10)," "), FIND(CHAR(10),tblShipments[[#This Row],[Details]])+1, 50)), 10)</f>
        <v>0507023722</v>
      </c>
      <c r="E218" t="s">
        <v>961</v>
      </c>
      <c r="F21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8" t="str">
        <f>IF(tblShipments[[#This Row],[EGM no]]="", "Missing EGM", "EGM Submitted")</f>
        <v>EGM Submitted</v>
      </c>
      <c r="H218" t="str">
        <f>IF(OR(ISNUMBER(SEARCH("Released",tblShipments[[#This Row],[ROSL]])),
      ISNUMBER(SEARCH("Scroll",tblShipments[[#This Row],[ROSL]])),
      ISNUMBER(SEARCH("Y",tblShipments[[#This Row],[ROSL]]))),
   "Released",
   "Not Released")</f>
        <v>Released</v>
      </c>
      <c r="I218" t="str">
        <f>IF(OR(tblShipments[[#This Row],[EGM no]]="", tblShipments[[#This Row],[EGM no]]="N.A."), "Not Submitted", "Submitted")</f>
        <v>Submitted</v>
      </c>
      <c r="J218" t="str">
        <f>IF(LEFT(tblShipments[[#This Row],[Gateway_Extracted]],2)="IN","Valid","Invalid")</f>
        <v>Valid</v>
      </c>
      <c r="K218" t="s">
        <v>941</v>
      </c>
      <c r="L218" t="s">
        <v>958</v>
      </c>
      <c r="M218" t="s">
        <v>31</v>
      </c>
      <c r="N218" t="s">
        <v>962</v>
      </c>
      <c r="O218" t="str">
        <f>IFERROR("IN" &amp; _xlfn.TEXTBEFORE(_xlfn.TEXTAFTER(UPPER(tblShipments[[#This Row],[Gateway_clean]]),"IN")," ",1),"")</f>
        <v>INNSA1</v>
      </c>
      <c r="P218" t="str">
        <f>SUBSTITUTE(tblShipments[[#This Row],[Gateway]], CHAR(10), " ")</f>
        <v xml:space="preserve">AWB No. Gateway Port Gateway EGM No. Gateway EGM Date Gateway Site ID Error Code N.A.  INNSA1  135895  2017-09-27 00:00:00.0  INNSA1  S </v>
      </c>
      <c r="Q218" t="s">
        <v>933</v>
      </c>
    </row>
    <row r="219" spans="1:17" x14ac:dyDescent="0.35">
      <c r="A219" t="s">
        <v>8</v>
      </c>
      <c r="B219">
        <v>9131041</v>
      </c>
      <c r="C219" s="2" t="s">
        <v>960</v>
      </c>
      <c r="D219" s="2" t="str">
        <f>LEFT(TRIM(MID(SUBSTITUTE(tblShipments[[#This Row],[Details]],CHAR(10)," "), FIND(CHAR(10),tblShipments[[#This Row],[Details]])+1, 50)), 10)</f>
        <v>0500003491</v>
      </c>
      <c r="E219" t="s">
        <v>963</v>
      </c>
      <c r="F21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19" t="str">
        <f>IF(tblShipments[[#This Row],[EGM no]]="", "Missing EGM", "EGM Submitted")</f>
        <v>EGM Submitted</v>
      </c>
      <c r="H219" t="str">
        <f>IF(OR(ISNUMBER(SEARCH("Released",tblShipments[[#This Row],[ROSL]])),
      ISNUMBER(SEARCH("Scroll",tblShipments[[#This Row],[ROSL]])),
      ISNUMBER(SEARCH("Y",tblShipments[[#This Row],[ROSL]]))),
   "Released",
   "Not Released")</f>
        <v>Released</v>
      </c>
      <c r="I219" t="str">
        <f>IF(OR(tblShipments[[#This Row],[EGM no]]="", tblShipments[[#This Row],[EGM no]]="N.A."), "Not Submitted", "Submitted")</f>
        <v>Submitted</v>
      </c>
      <c r="J219" t="str">
        <f>IF(LEFT(tblShipments[[#This Row],[Gateway_Extracted]],2)="IN","Valid","Invalid")</f>
        <v>Valid</v>
      </c>
      <c r="K219" t="s">
        <v>964</v>
      </c>
      <c r="L219" t="s">
        <v>965</v>
      </c>
      <c r="M219" t="s">
        <v>31</v>
      </c>
      <c r="N219" t="s">
        <v>966</v>
      </c>
      <c r="O219" t="str">
        <f>IFERROR("IN" &amp; _xlfn.TEXTBEFORE(_xlfn.TEXTAFTER(UPPER(tblShipments[[#This Row],[Gateway_clean]]),"IN")," ",1),"")</f>
        <v>INMUN1</v>
      </c>
      <c r="P219" t="str">
        <f>SUBSTITUTE(tblShipments[[#This Row],[Gateway]], CHAR(10), " ")</f>
        <v xml:space="preserve">AWB No. Gateway Port Gateway EGM No. Gateway EGM Date Gateway Site ID Error Code N.A.  INMUN1  138865  2017-11-15 00:00:00.0  INMUN1  S </v>
      </c>
      <c r="Q219" t="s">
        <v>967</v>
      </c>
    </row>
    <row r="220" spans="1:17" x14ac:dyDescent="0.35">
      <c r="A220" t="s">
        <v>8</v>
      </c>
      <c r="B220">
        <v>9136843</v>
      </c>
      <c r="C220" s="2" t="s">
        <v>968</v>
      </c>
      <c r="D220" s="2" t="str">
        <f>LEFT(TRIM(MID(SUBSTITUTE(tblShipments[[#This Row],[Details]],CHAR(10)," "), FIND(CHAR(10),tblShipments[[#This Row],[Details]])+1, 50)), 10)</f>
        <v>0314004173</v>
      </c>
      <c r="E220" t="s">
        <v>969</v>
      </c>
      <c r="F22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0" t="str">
        <f>IF(tblShipments[[#This Row],[EGM no]]="", "Missing EGM", "EGM Submitted")</f>
        <v>EGM Submitted</v>
      </c>
      <c r="H220" t="str">
        <f>IF(OR(ISNUMBER(SEARCH("Released",tblShipments[[#This Row],[ROSL]])),
      ISNUMBER(SEARCH("Scroll",tblShipments[[#This Row],[ROSL]])),
      ISNUMBER(SEARCH("Y",tblShipments[[#This Row],[ROSL]]))),
   "Released",
   "Not Released")</f>
        <v>Released</v>
      </c>
      <c r="I220" t="str">
        <f>IF(OR(tblShipments[[#This Row],[EGM no]]="", tblShipments[[#This Row],[EGM no]]="N.A."), "Not Submitted", "Submitted")</f>
        <v>Submitted</v>
      </c>
      <c r="J220" t="str">
        <f>IF(LEFT(tblShipments[[#This Row],[Gateway_Extracted]],2)="IN","Valid","Invalid")</f>
        <v>Valid</v>
      </c>
      <c r="K220" t="s">
        <v>811</v>
      </c>
      <c r="L220" t="s">
        <v>970</v>
      </c>
      <c r="M220" t="s">
        <v>13</v>
      </c>
      <c r="N220" t="s">
        <v>971</v>
      </c>
      <c r="O220" t="str">
        <f>IFERROR("IN" &amp; _xlfn.TEXTBEFORE(_xlfn.TEXTAFTER(UPPER(tblShipments[[#This Row],[Gateway_clean]]),"IN")," ",1),"")</f>
        <v>INNSA1</v>
      </c>
      <c r="P220" t="str">
        <f>SUBSTITUTE(tblShipments[[#This Row],[Gateway]], CHAR(10), " ")</f>
        <v xml:space="preserve">AWB No. Gateway Port Gateway EGM No. Gateway EGM Date Gateway Site ID Error Code N.A.  INNSA1  137147  2017-10-18 00:00:00.0  INNSA1  S </v>
      </c>
      <c r="Q220" t="s">
        <v>972</v>
      </c>
    </row>
    <row r="221" spans="1:17" x14ac:dyDescent="0.35">
      <c r="A221" t="s">
        <v>8</v>
      </c>
      <c r="B221">
        <v>9137886</v>
      </c>
      <c r="C221" s="2" t="s">
        <v>968</v>
      </c>
      <c r="D221" s="2" t="str">
        <f>LEFT(TRIM(MID(SUBSTITUTE(tblShipments[[#This Row],[Details]],CHAR(10)," "), FIND(CHAR(10),tblShipments[[#This Row],[Details]])+1, 50)), 10)</f>
        <v>0509025765</v>
      </c>
      <c r="E221" t="s">
        <v>973</v>
      </c>
      <c r="F22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1" t="str">
        <f>IF(tblShipments[[#This Row],[EGM no]]="", "Missing EGM", "EGM Submitted")</f>
        <v>EGM Submitted</v>
      </c>
      <c r="H221" t="str">
        <f>IF(OR(ISNUMBER(SEARCH("Released",tblShipments[[#This Row],[ROSL]])),
      ISNUMBER(SEARCH("Scroll",tblShipments[[#This Row],[ROSL]])),
      ISNUMBER(SEARCH("Y",tblShipments[[#This Row],[ROSL]]))),
   "Released",
   "Not Released")</f>
        <v>Released</v>
      </c>
      <c r="I221" t="str">
        <f>IF(OR(tblShipments[[#This Row],[EGM no]]="", tblShipments[[#This Row],[EGM no]]="N.A."), "Not Submitted", "Submitted")</f>
        <v>Submitted</v>
      </c>
      <c r="J221" t="str">
        <f>IF(LEFT(tblShipments[[#This Row],[Gateway_Extracted]],2)="IN","Valid","Invalid")</f>
        <v>Valid</v>
      </c>
      <c r="K221" t="s">
        <v>935</v>
      </c>
      <c r="L221" t="s">
        <v>974</v>
      </c>
      <c r="M221" t="s">
        <v>31</v>
      </c>
      <c r="N221" t="s">
        <v>975</v>
      </c>
      <c r="O221" t="str">
        <f>IFERROR("IN" &amp; _xlfn.TEXTBEFORE(_xlfn.TEXTAFTER(UPPER(tblShipments[[#This Row],[Gateway_clean]]),"IN")," ",1),"")</f>
        <v>INNSA1</v>
      </c>
      <c r="P221" t="str">
        <f>SUBSTITUTE(tblShipments[[#This Row],[Gateway]], CHAR(10), " ")</f>
        <v xml:space="preserve">AWB No. Gateway Port Gateway EGM No. Gateway EGM Date Gateway Site ID Error Code N.A.  INNSA1  136648  2017-10-10 00:00:00.0  INNSA1  C </v>
      </c>
      <c r="Q221" t="s">
        <v>976</v>
      </c>
    </row>
    <row r="222" spans="1:17" x14ac:dyDescent="0.35">
      <c r="A222" t="s">
        <v>8</v>
      </c>
      <c r="B222">
        <v>9150741</v>
      </c>
      <c r="C222" s="2" t="s">
        <v>968</v>
      </c>
      <c r="D222" s="2" t="str">
        <f>LEFT(TRIM(MID(SUBSTITUTE(tblShipments[[#This Row],[Details]],CHAR(10)," "), FIND(CHAR(10),tblShipments[[#This Row],[Details]])+1, 50)), 10)</f>
        <v>0505007592</v>
      </c>
      <c r="E222" t="s">
        <v>977</v>
      </c>
      <c r="F22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2" t="str">
        <f>IF(tblShipments[[#This Row],[EGM no]]="", "Missing EGM", "EGM Submitted")</f>
        <v>EGM Submitted</v>
      </c>
      <c r="H222" t="str">
        <f>IF(OR(ISNUMBER(SEARCH("Released",tblShipments[[#This Row],[ROSL]])),
      ISNUMBER(SEARCH("Scroll",tblShipments[[#This Row],[ROSL]])),
      ISNUMBER(SEARCH("Y",tblShipments[[#This Row],[ROSL]]))),
   "Released",
   "Not Released")</f>
        <v>Released</v>
      </c>
      <c r="I222" t="str">
        <f>IF(OR(tblShipments[[#This Row],[EGM no]]="", tblShipments[[#This Row],[EGM no]]="N.A."), "Not Submitted", "Submitted")</f>
        <v>Submitted</v>
      </c>
      <c r="J222" t="str">
        <f>IF(LEFT(tblShipments[[#This Row],[Gateway_Extracted]],2)="IN","Valid","Invalid")</f>
        <v>Valid</v>
      </c>
      <c r="K222" t="s">
        <v>894</v>
      </c>
      <c r="L222" t="s">
        <v>978</v>
      </c>
      <c r="M222" t="s">
        <v>13</v>
      </c>
      <c r="N222" t="s">
        <v>979</v>
      </c>
      <c r="O222" t="str">
        <f>IFERROR("IN" &amp; _xlfn.TEXTBEFORE(_xlfn.TEXTAFTER(UPPER(tblShipments[[#This Row],[Gateway_clean]]),"IN")," ",1),"")</f>
        <v>INNSA1</v>
      </c>
      <c r="P222" t="str">
        <f>SUBSTITUTE(tblShipments[[#This Row],[Gateway]], CHAR(10), " ")</f>
        <v xml:space="preserve">AWB No. Gateway Port Gateway EGM No. Gateway EGM Date Gateway Site ID Error Code N.A.  INNSA1  136123  2017-10-02 00:00:00.0  INNSA1  S </v>
      </c>
      <c r="Q222" t="s">
        <v>980</v>
      </c>
    </row>
    <row r="223" spans="1:17" x14ac:dyDescent="0.35">
      <c r="A223" t="s">
        <v>8</v>
      </c>
      <c r="B223">
        <v>9161051</v>
      </c>
      <c r="C223" s="2" t="s">
        <v>981</v>
      </c>
      <c r="D223" s="2" t="str">
        <f>LEFT(TRIM(MID(SUBSTITUTE(tblShipments[[#This Row],[Details]],CHAR(10)," "), FIND(CHAR(10),tblShipments[[#This Row],[Details]])+1, 50)), 10)</f>
        <v>0511034661</v>
      </c>
      <c r="E223" t="s">
        <v>982</v>
      </c>
      <c r="F22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3" t="str">
        <f>IF(tblShipments[[#This Row],[EGM no]]="", "Missing EGM", "EGM Submitted")</f>
        <v>EGM Submitted</v>
      </c>
      <c r="H223" t="str">
        <f>IF(OR(ISNUMBER(SEARCH("Released",tblShipments[[#This Row],[ROSL]])),
      ISNUMBER(SEARCH("Scroll",tblShipments[[#This Row],[ROSL]])),
      ISNUMBER(SEARCH("Y",tblShipments[[#This Row],[ROSL]]))),
   "Released",
   "Not Released")</f>
        <v>Released</v>
      </c>
      <c r="I223" t="str">
        <f>IF(OR(tblShipments[[#This Row],[EGM no]]="", tblShipments[[#This Row],[EGM no]]="N.A."), "Not Submitted", "Submitted")</f>
        <v>Submitted</v>
      </c>
      <c r="J223" t="str">
        <f>IF(LEFT(tblShipments[[#This Row],[Gateway_Extracted]],2)="IN","Valid","Invalid")</f>
        <v>Valid</v>
      </c>
      <c r="K223" t="s">
        <v>983</v>
      </c>
      <c r="L223" t="s">
        <v>984</v>
      </c>
      <c r="M223" t="s">
        <v>31</v>
      </c>
      <c r="N223" t="s">
        <v>985</v>
      </c>
      <c r="O223" t="str">
        <f>IFERROR("IN" &amp; _xlfn.TEXTBEFORE(_xlfn.TEXTAFTER(UPPER(tblShipments[[#This Row],[Gateway_clean]]),"IN")," ",1),"")</f>
        <v>INNSA1</v>
      </c>
      <c r="P223" t="str">
        <f>SUBSTITUTE(tblShipments[[#This Row],[Gateway]], CHAR(10), " ")</f>
        <v xml:space="preserve">AWB No. Gateway Port Gateway EGM No. Gateway EGM Date Gateway Site ID Error Code N.A.  INNSA1  136151  2017-10-03 00:00:00.0  INNSA1  S </v>
      </c>
      <c r="Q223" t="s">
        <v>986</v>
      </c>
    </row>
    <row r="224" spans="1:17" x14ac:dyDescent="0.35">
      <c r="A224" t="s">
        <v>8</v>
      </c>
      <c r="B224">
        <v>9203657</v>
      </c>
      <c r="C224" s="2" t="s">
        <v>987</v>
      </c>
      <c r="D224" s="2" t="str">
        <f>LEFT(TRIM(MID(SUBSTITUTE(tblShipments[[#This Row],[Details]],CHAR(10)," "), FIND(CHAR(10),tblShipments[[#This Row],[Details]])+1, 50)), 10)</f>
        <v>0510012680</v>
      </c>
      <c r="E224" t="s">
        <v>988</v>
      </c>
      <c r="F22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4" t="str">
        <f>IF(tblShipments[[#This Row],[EGM no]]="", "Missing EGM", "EGM Submitted")</f>
        <v>EGM Submitted</v>
      </c>
      <c r="H224" t="str">
        <f>IF(OR(ISNUMBER(SEARCH("Released",tblShipments[[#This Row],[ROSL]])),
      ISNUMBER(SEARCH("Scroll",tblShipments[[#This Row],[ROSL]])),
      ISNUMBER(SEARCH("Y",tblShipments[[#This Row],[ROSL]]))),
   "Released",
   "Not Released")</f>
        <v>Released</v>
      </c>
      <c r="I224" t="str">
        <f>IF(OR(tblShipments[[#This Row],[EGM no]]="", tblShipments[[#This Row],[EGM no]]="N.A."), "Not Submitted", "Submitted")</f>
        <v>Submitted</v>
      </c>
      <c r="J224" t="str">
        <f>IF(LEFT(tblShipments[[#This Row],[Gateway_Extracted]],2)="IN","Valid","Invalid")</f>
        <v>Valid</v>
      </c>
      <c r="K224" t="s">
        <v>989</v>
      </c>
      <c r="L224" t="s">
        <v>990</v>
      </c>
      <c r="M224" t="s">
        <v>31</v>
      </c>
      <c r="N224" t="s">
        <v>991</v>
      </c>
      <c r="O224" t="str">
        <f>IFERROR("IN" &amp; _xlfn.TEXTBEFORE(_xlfn.TEXTAFTER(UPPER(tblShipments[[#This Row],[Gateway_clean]]),"IN")," ",1),"")</f>
        <v>INNSA1</v>
      </c>
      <c r="P224" t="str">
        <f>SUBSTITUTE(tblShipments[[#This Row],[Gateway]], CHAR(10), " ")</f>
        <v xml:space="preserve">AWB No. Gateway Port Gateway EGM No. Gateway EGM Date Gateway Site ID Error Code N.A.  INNSA1  136204  2017-10-03 00:00:00.0  INNSA1  S </v>
      </c>
      <c r="Q224" t="s">
        <v>992</v>
      </c>
    </row>
    <row r="225" spans="1:17" x14ac:dyDescent="0.35">
      <c r="A225" t="s">
        <v>8</v>
      </c>
      <c r="B225">
        <v>9212445</v>
      </c>
      <c r="C225" s="2" t="s">
        <v>993</v>
      </c>
      <c r="D225" s="2" t="str">
        <f>LEFT(TRIM(MID(SUBSTITUTE(tblShipments[[#This Row],[Details]],CHAR(10)," "), FIND(CHAR(10),tblShipments[[#This Row],[Details]])+1, 50)), 10)</f>
        <v>0512084262</v>
      </c>
      <c r="E225" t="s">
        <v>994</v>
      </c>
      <c r="F22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5" t="str">
        <f>IF(tblShipments[[#This Row],[EGM no]]="", "Missing EGM", "EGM Submitted")</f>
        <v>EGM Submitted</v>
      </c>
      <c r="H225" t="str">
        <f>IF(OR(ISNUMBER(SEARCH("Released",tblShipments[[#This Row],[ROSL]])),
      ISNUMBER(SEARCH("Scroll",tblShipments[[#This Row],[ROSL]])),
      ISNUMBER(SEARCH("Y",tblShipments[[#This Row],[ROSL]]))),
   "Released",
   "Not Released")</f>
        <v>Released</v>
      </c>
      <c r="I225" t="str">
        <f>IF(OR(tblShipments[[#This Row],[EGM no]]="", tblShipments[[#This Row],[EGM no]]="N.A."), "Not Submitted", "Submitted")</f>
        <v>Submitted</v>
      </c>
      <c r="J225" t="str">
        <f>IF(LEFT(tblShipments[[#This Row],[Gateway_Extracted]],2)="IN","Valid","Invalid")</f>
        <v>Valid</v>
      </c>
      <c r="K225" t="s">
        <v>995</v>
      </c>
      <c r="L225" t="s">
        <v>996</v>
      </c>
      <c r="M225" t="s">
        <v>13</v>
      </c>
      <c r="N225" t="s">
        <v>997</v>
      </c>
      <c r="O225" t="str">
        <f>IFERROR("IN" &amp; _xlfn.TEXTBEFORE(_xlfn.TEXTAFTER(UPPER(tblShipments[[#This Row],[Gateway_clean]]),"IN")," ",1),"")</f>
        <v>INNSA1</v>
      </c>
      <c r="P225" t="str">
        <f>SUBSTITUTE(tblShipments[[#This Row],[Gateway]], CHAR(10), " ")</f>
        <v xml:space="preserve">AWB No. Gateway Port Gateway EGM No. Gateway EGM Date Gateway Site ID Error Code N.A.  INNSA1  136637  2017-10-10 00:00:00.0  INNSA1  C </v>
      </c>
      <c r="Q225" t="s">
        <v>998</v>
      </c>
    </row>
    <row r="226" spans="1:17" x14ac:dyDescent="0.35">
      <c r="A226" t="s">
        <v>8</v>
      </c>
      <c r="B226">
        <v>9225719</v>
      </c>
      <c r="C226" s="2" t="s">
        <v>993</v>
      </c>
      <c r="D226" s="2" t="str">
        <f>LEFT(TRIM(MID(SUBSTITUTE(tblShipments[[#This Row],[Details]],CHAR(10)," "), FIND(CHAR(10),tblShipments[[#This Row],[Details]])+1, 50)), 10)</f>
        <v>0591032163</v>
      </c>
      <c r="E226" t="s">
        <v>999</v>
      </c>
      <c r="F22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6" t="str">
        <f>IF(tblShipments[[#This Row],[EGM no]]="", "Missing EGM", "EGM Submitted")</f>
        <v>EGM Submitted</v>
      </c>
      <c r="H226" t="str">
        <f>IF(OR(ISNUMBER(SEARCH("Released",tblShipments[[#This Row],[ROSL]])),
      ISNUMBER(SEARCH("Scroll",tblShipments[[#This Row],[ROSL]])),
      ISNUMBER(SEARCH("Y",tblShipments[[#This Row],[ROSL]]))),
   "Released",
   "Not Released")</f>
        <v>Released</v>
      </c>
      <c r="I226" t="str">
        <f>IF(OR(tblShipments[[#This Row],[EGM no]]="", tblShipments[[#This Row],[EGM no]]="N.A."), "Not Submitted", "Submitted")</f>
        <v>Submitted</v>
      </c>
      <c r="J226" t="str">
        <f>IF(LEFT(tblShipments[[#This Row],[Gateway_Extracted]],2)="IN","Valid","Invalid")</f>
        <v>Valid</v>
      </c>
      <c r="K226" t="s">
        <v>1000</v>
      </c>
      <c r="L226" t="s">
        <v>1001</v>
      </c>
      <c r="M226" t="s">
        <v>13</v>
      </c>
      <c r="N226" t="s">
        <v>1002</v>
      </c>
      <c r="O226" t="str">
        <f>IFERROR("IN" &amp; _xlfn.TEXTBEFORE(_xlfn.TEXTAFTER(UPPER(tblShipments[[#This Row],[Gateway_clean]]),"IN")," ",1),"")</f>
        <v>INNSA1</v>
      </c>
      <c r="P226" t="str">
        <f>SUBSTITUTE(tblShipments[[#This Row],[Gateway]], CHAR(10), " ")</f>
        <v xml:space="preserve">AWB No. Gateway Port Gateway EGM No. Gateway EGM Date Gateway Site ID Error Code N.A.  INNSA1  N.A.  N.A.  N.A.  N.A. </v>
      </c>
      <c r="Q226" t="s">
        <v>26</v>
      </c>
    </row>
    <row r="227" spans="1:17" x14ac:dyDescent="0.35">
      <c r="A227" t="s">
        <v>8</v>
      </c>
      <c r="B227">
        <v>9226280</v>
      </c>
      <c r="C227" s="2" t="s">
        <v>993</v>
      </c>
      <c r="D227" s="2" t="str">
        <f>LEFT(TRIM(MID(SUBSTITUTE(tblShipments[[#This Row],[Details]],CHAR(10)," "), FIND(CHAR(10),tblShipments[[#This Row],[Details]])+1, 50)), 10)</f>
        <v>0592023052</v>
      </c>
      <c r="E227" t="s">
        <v>1003</v>
      </c>
      <c r="F22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7" t="str">
        <f>IF(tblShipments[[#This Row],[EGM no]]="", "Missing EGM", "EGM Submitted")</f>
        <v>EGM Submitted</v>
      </c>
      <c r="H227" t="str">
        <f>IF(OR(ISNUMBER(SEARCH("Released",tblShipments[[#This Row],[ROSL]])),
      ISNUMBER(SEARCH("Scroll",tblShipments[[#This Row],[ROSL]])),
      ISNUMBER(SEARCH("Y",tblShipments[[#This Row],[ROSL]]))),
   "Released",
   "Not Released")</f>
        <v>Released</v>
      </c>
      <c r="I227" t="str">
        <f>IF(OR(tblShipments[[#This Row],[EGM no]]="", tblShipments[[#This Row],[EGM no]]="N.A."), "Not Submitted", "Submitted")</f>
        <v>Submitted</v>
      </c>
      <c r="J227" t="str">
        <f>IF(LEFT(tblShipments[[#This Row],[Gateway_Extracted]],2)="IN","Valid","Invalid")</f>
        <v>Valid</v>
      </c>
      <c r="K227" t="s">
        <v>1004</v>
      </c>
      <c r="L227" t="s">
        <v>1005</v>
      </c>
      <c r="M227" t="s">
        <v>13</v>
      </c>
      <c r="N227" t="s">
        <v>1006</v>
      </c>
      <c r="O227" t="str">
        <f>IFERROR("IN" &amp; _xlfn.TEXTBEFORE(_xlfn.TEXTAFTER(UPPER(tblShipments[[#This Row],[Gateway_clean]]),"IN")," ",1),"")</f>
        <v>INNSA1</v>
      </c>
      <c r="P227" t="str">
        <f>SUBSTITUTE(tblShipments[[#This Row],[Gateway]], CHAR(10), " ")</f>
        <v xml:space="preserve">AWB No. Gateway Port Gateway EGM No. Gateway EGM Date Gateway Site ID Error Code N.A.  INNSA1  138138  2017-11-03 00:00:00.0  INNSA1  C </v>
      </c>
      <c r="Q227" t="s">
        <v>1007</v>
      </c>
    </row>
    <row r="228" spans="1:17" x14ac:dyDescent="0.35">
      <c r="A228" t="s">
        <v>8</v>
      </c>
      <c r="B228">
        <v>9234919</v>
      </c>
      <c r="C228" s="2" t="s">
        <v>1008</v>
      </c>
      <c r="D228" s="2" t="str">
        <f>LEFT(TRIM(MID(SUBSTITUTE(tblShipments[[#This Row],[Details]],CHAR(10)," "), FIND(CHAR(10),tblShipments[[#This Row],[Details]])+1, 50)), 10)</f>
        <v>0511026242</v>
      </c>
      <c r="E228" t="s">
        <v>1009</v>
      </c>
      <c r="F22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8" t="str">
        <f>IF(tblShipments[[#This Row],[EGM no]]="", "Missing EGM", "EGM Submitted")</f>
        <v>EGM Submitted</v>
      </c>
      <c r="H228" t="str">
        <f>IF(OR(ISNUMBER(SEARCH("Released",tblShipments[[#This Row],[ROSL]])),
      ISNUMBER(SEARCH("Scroll",tblShipments[[#This Row],[ROSL]])),
      ISNUMBER(SEARCH("Y",tblShipments[[#This Row],[ROSL]]))),
   "Released",
   "Not Released")</f>
        <v>Released</v>
      </c>
      <c r="I228" t="str">
        <f>IF(OR(tblShipments[[#This Row],[EGM no]]="", tblShipments[[#This Row],[EGM no]]="N.A."), "Not Submitted", "Submitted")</f>
        <v>Submitted</v>
      </c>
      <c r="J228" t="str">
        <f>IF(LEFT(tblShipments[[#This Row],[Gateway_Extracted]],2)="IN","Valid","Invalid")</f>
        <v>Valid</v>
      </c>
      <c r="K228" t="s">
        <v>1010</v>
      </c>
      <c r="L228" t="s">
        <v>1011</v>
      </c>
      <c r="M228" t="s">
        <v>13</v>
      </c>
      <c r="N228" t="s">
        <v>1012</v>
      </c>
      <c r="O228" t="str">
        <f>IFERROR("IN" &amp; _xlfn.TEXTBEFORE(_xlfn.TEXTAFTER(UPPER(tblShipments[[#This Row],[Gateway_clean]]),"IN")," ",1),"")</f>
        <v>INNSA1</v>
      </c>
      <c r="P228" t="str">
        <f>SUBSTITUTE(tblShipments[[#This Row],[Gateway]], CHAR(10), " ")</f>
        <v xml:space="preserve">AWB No. Gateway Port Gateway EGM No. Gateway EGM Date Gateway Site ID Error Code N.A.  INNSA1  136898  2017-10-13 00:00:00.0  INNSA1  S </v>
      </c>
      <c r="Q228" t="s">
        <v>885</v>
      </c>
    </row>
    <row r="229" spans="1:17" x14ac:dyDescent="0.35">
      <c r="A229" t="s">
        <v>8</v>
      </c>
      <c r="B229">
        <v>9246037</v>
      </c>
      <c r="C229" s="2" t="s">
        <v>1008</v>
      </c>
      <c r="D229" s="2" t="str">
        <f>LEFT(TRIM(MID(SUBSTITUTE(tblShipments[[#This Row],[Details]],CHAR(10)," "), FIND(CHAR(10),tblShipments[[#This Row],[Details]])+1, 50)), 10)</f>
        <v>0505000873</v>
      </c>
      <c r="E229" t="s">
        <v>1013</v>
      </c>
      <c r="F22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29" t="str">
        <f>IF(tblShipments[[#This Row],[EGM no]]="", "Missing EGM", "EGM Submitted")</f>
        <v>EGM Submitted</v>
      </c>
      <c r="H229" t="str">
        <f>IF(OR(ISNUMBER(SEARCH("Released",tblShipments[[#This Row],[ROSL]])),
      ISNUMBER(SEARCH("Scroll",tblShipments[[#This Row],[ROSL]])),
      ISNUMBER(SEARCH("Y",tblShipments[[#This Row],[ROSL]]))),
   "Released",
   "Not Released")</f>
        <v>Released</v>
      </c>
      <c r="I229" t="str">
        <f>IF(OR(tblShipments[[#This Row],[EGM no]]="", tblShipments[[#This Row],[EGM no]]="N.A."), "Not Submitted", "Submitted")</f>
        <v>Submitted</v>
      </c>
      <c r="J229" t="str">
        <f>IF(LEFT(tblShipments[[#This Row],[Gateway_Extracted]],2)="IN","Valid","Invalid")</f>
        <v>Valid</v>
      </c>
      <c r="K229" t="s">
        <v>1014</v>
      </c>
      <c r="L229" t="s">
        <v>1015</v>
      </c>
      <c r="M229" t="s">
        <v>13</v>
      </c>
      <c r="N229" t="s">
        <v>1016</v>
      </c>
      <c r="O229" t="str">
        <f>IFERROR("IN" &amp; _xlfn.TEXTBEFORE(_xlfn.TEXTAFTER(UPPER(tblShipments[[#This Row],[Gateway_clean]]),"IN")," ",1),"")</f>
        <v>INPAV1</v>
      </c>
      <c r="P229" t="str">
        <f>SUBSTITUTE(tblShipments[[#This Row],[Gateway]], CHAR(10), " ")</f>
        <v xml:space="preserve">AWB No. Gateway Port Gateway EGM No. Gateway EGM Date Gateway Site ID Error Code N.A.  INPAV1  137330  2017-10-23 00:00:00.0  INPAV1  S </v>
      </c>
      <c r="Q229" t="s">
        <v>1017</v>
      </c>
    </row>
    <row r="230" spans="1:17" x14ac:dyDescent="0.35">
      <c r="A230" t="s">
        <v>8</v>
      </c>
      <c r="B230">
        <v>9312599</v>
      </c>
      <c r="C230" s="2" t="s">
        <v>1018</v>
      </c>
      <c r="D230" s="2" t="str">
        <f>LEFT(TRIM(MID(SUBSTITUTE(tblShipments[[#This Row],[Details]],CHAR(10)," "), FIND(CHAR(10),tblShipments[[#This Row],[Details]])+1, 50)), 10)</f>
        <v>2189000734</v>
      </c>
      <c r="E230" t="s">
        <v>1019</v>
      </c>
      <c r="F23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0" t="str">
        <f>IF(tblShipments[[#This Row],[EGM no]]="", "Missing EGM", "EGM Submitted")</f>
        <v>EGM Submitted</v>
      </c>
      <c r="H230" t="str">
        <f>IF(OR(ISNUMBER(SEARCH("Released",tblShipments[[#This Row],[ROSL]])),
      ISNUMBER(SEARCH("Scroll",tblShipments[[#This Row],[ROSL]])),
      ISNUMBER(SEARCH("Y",tblShipments[[#This Row],[ROSL]]))),
   "Released",
   "Not Released")</f>
        <v>Released</v>
      </c>
      <c r="I230" t="str">
        <f>IF(OR(tblShipments[[#This Row],[EGM no]]="", tblShipments[[#This Row],[EGM no]]="N.A."), "Not Submitted", "Submitted")</f>
        <v>Submitted</v>
      </c>
      <c r="J230" t="str">
        <f>IF(LEFT(tblShipments[[#This Row],[Gateway_Extracted]],2)="IN","Valid","Invalid")</f>
        <v>Valid</v>
      </c>
      <c r="K230" t="s">
        <v>1020</v>
      </c>
      <c r="L230" t="s">
        <v>1021</v>
      </c>
      <c r="M230" t="s">
        <v>31</v>
      </c>
      <c r="N230" t="s">
        <v>1022</v>
      </c>
      <c r="O230" t="str">
        <f>IFERROR("IN" &amp; _xlfn.TEXTBEFORE(_xlfn.TEXTAFTER(UPPER(tblShipments[[#This Row],[Gateway_clean]]),"IN")," ",1),"")</f>
        <v>INNSA1</v>
      </c>
      <c r="P230" t="str">
        <f>SUBSTITUTE(tblShipments[[#This Row],[Gateway]], CHAR(10), " ")</f>
        <v xml:space="preserve">AWB No. Gateway Port Gateway EGM No. Gateway EGM Date Gateway Site ID Error Code N.A.  INNSA1  N.A.  N.A.  N.A.  N.A. </v>
      </c>
      <c r="Q230" t="s">
        <v>26</v>
      </c>
    </row>
    <row r="231" spans="1:17" x14ac:dyDescent="0.35">
      <c r="A231" t="s">
        <v>8</v>
      </c>
      <c r="B231">
        <v>9323426</v>
      </c>
      <c r="C231" s="2" t="s">
        <v>1018</v>
      </c>
      <c r="D231" s="2" t="str">
        <f>LEFT(TRIM(MID(SUBSTITUTE(tblShipments[[#This Row],[Details]],CHAR(10)," "), FIND(CHAR(10),tblShipments[[#This Row],[Details]])+1, 50)), 10)</f>
        <v>3104003254</v>
      </c>
      <c r="E231" t="s">
        <v>1023</v>
      </c>
      <c r="F23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1" t="str">
        <f>IF(tblShipments[[#This Row],[EGM no]]="", "Missing EGM", "EGM Submitted")</f>
        <v>EGM Submitted</v>
      </c>
      <c r="H231" t="str">
        <f>IF(OR(ISNUMBER(SEARCH("Released",tblShipments[[#This Row],[ROSL]])),
      ISNUMBER(SEARCH("Scroll",tblShipments[[#This Row],[ROSL]])),
      ISNUMBER(SEARCH("Y",tblShipments[[#This Row],[ROSL]]))),
   "Released",
   "Not Released")</f>
        <v>Released</v>
      </c>
      <c r="I231" t="str">
        <f>IF(OR(tblShipments[[#This Row],[EGM no]]="", tblShipments[[#This Row],[EGM no]]="N.A."), "Not Submitted", "Submitted")</f>
        <v>Submitted</v>
      </c>
      <c r="J231" t="str">
        <f>IF(LEFT(tblShipments[[#This Row],[Gateway_Extracted]],2)="IN","Valid","Invalid")</f>
        <v>Valid</v>
      </c>
      <c r="K231" t="s">
        <v>1024</v>
      </c>
      <c r="L231" t="s">
        <v>1025</v>
      </c>
      <c r="M231" t="s">
        <v>13</v>
      </c>
      <c r="N231" t="s">
        <v>1026</v>
      </c>
      <c r="O231" t="str">
        <f>IFERROR("IN" &amp; _xlfn.TEXTBEFORE(_xlfn.TEXTAFTER(UPPER(tblShipments[[#This Row],[Gateway_clean]]),"IN")," ",1),"")</f>
        <v>INMUN1</v>
      </c>
      <c r="P231" t="str">
        <f>SUBSTITUTE(tblShipments[[#This Row],[Gateway]], CHAR(10), " ")</f>
        <v xml:space="preserve">AWB No. Gateway Port Gateway EGM No. Gateway EGM Date Gateway Site ID Error Code N.A.  INMUN1  137020  2017-10-16 00:00:00.0  INMUN1  S </v>
      </c>
      <c r="Q231" t="s">
        <v>1027</v>
      </c>
    </row>
    <row r="232" spans="1:17" x14ac:dyDescent="0.35">
      <c r="A232" t="s">
        <v>8</v>
      </c>
      <c r="B232">
        <v>9330767</v>
      </c>
      <c r="C232" s="2" t="s">
        <v>1018</v>
      </c>
      <c r="D232" s="2" t="str">
        <f>LEFT(TRIM(MID(SUBSTITUTE(tblShipments[[#This Row],[Details]],CHAR(10)," "), FIND(CHAR(10),tblShipments[[#This Row],[Details]])+1, 50)), 10)</f>
        <v>0503014761</v>
      </c>
      <c r="E232" t="s">
        <v>1028</v>
      </c>
      <c r="F23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2" t="str">
        <f>IF(tblShipments[[#This Row],[EGM no]]="", "Missing EGM", "EGM Submitted")</f>
        <v>EGM Submitted</v>
      </c>
      <c r="H232" t="str">
        <f>IF(OR(ISNUMBER(SEARCH("Released",tblShipments[[#This Row],[ROSL]])),
      ISNUMBER(SEARCH("Scroll",tblShipments[[#This Row],[ROSL]])),
      ISNUMBER(SEARCH("Y",tblShipments[[#This Row],[ROSL]]))),
   "Released",
   "Not Released")</f>
        <v>Released</v>
      </c>
      <c r="I232" t="str">
        <f>IF(OR(tblShipments[[#This Row],[EGM no]]="", tblShipments[[#This Row],[EGM no]]="N.A."), "Not Submitted", "Submitted")</f>
        <v>Submitted</v>
      </c>
      <c r="J232" t="str">
        <f>IF(LEFT(tblShipments[[#This Row],[Gateway_Extracted]],2)="IN","Valid","Invalid")</f>
        <v>Valid</v>
      </c>
      <c r="K232" t="s">
        <v>1029</v>
      </c>
      <c r="L232" t="s">
        <v>1030</v>
      </c>
      <c r="M232" t="s">
        <v>31</v>
      </c>
      <c r="N232" t="s">
        <v>1031</v>
      </c>
      <c r="O232" t="str">
        <f>IFERROR("IN" &amp; _xlfn.TEXTBEFORE(_xlfn.TEXTAFTER(UPPER(tblShipments[[#This Row],[Gateway_clean]]),"IN")," ",1),"")</f>
        <v>INNSA1</v>
      </c>
      <c r="P232" t="str">
        <f>SUBSTITUTE(tblShipments[[#This Row],[Gateway]], CHAR(10), " ")</f>
        <v xml:space="preserve">AWB No. Gateway Port Gateway EGM No. Gateway EGM Date Gateway Site ID Error Code N.A.  INNSA1  136204  2017-10-03 00:00:00.0  INNSA1  S </v>
      </c>
      <c r="Q232" t="s">
        <v>992</v>
      </c>
    </row>
    <row r="233" spans="1:17" x14ac:dyDescent="0.35">
      <c r="A233" t="s">
        <v>8</v>
      </c>
      <c r="B233">
        <v>9344909</v>
      </c>
      <c r="C233" s="2" t="s">
        <v>1032</v>
      </c>
      <c r="D233" s="2" t="str">
        <f>LEFT(TRIM(MID(SUBSTITUTE(tblShipments[[#This Row],[Details]],CHAR(10)," "), FIND(CHAR(10),tblShipments[[#This Row],[Details]])+1, 50)), 10)</f>
        <v>0302060855</v>
      </c>
      <c r="E233" t="s">
        <v>1033</v>
      </c>
      <c r="F23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3" t="str">
        <f>IF(tblShipments[[#This Row],[EGM no]]="", "Missing EGM", "EGM Submitted")</f>
        <v>EGM Submitted</v>
      </c>
      <c r="H233" t="str">
        <f>IF(OR(ISNUMBER(SEARCH("Released",tblShipments[[#This Row],[ROSL]])),
      ISNUMBER(SEARCH("Scroll",tblShipments[[#This Row],[ROSL]])),
      ISNUMBER(SEARCH("Y",tblShipments[[#This Row],[ROSL]]))),
   "Released",
   "Not Released")</f>
        <v>Released</v>
      </c>
      <c r="I233" t="str">
        <f>IF(OR(tblShipments[[#This Row],[EGM no]]="", tblShipments[[#This Row],[EGM no]]="N.A."), "Not Submitted", "Submitted")</f>
        <v>Submitted</v>
      </c>
      <c r="J233" t="str">
        <f>IF(LEFT(tblShipments[[#This Row],[Gateway_Extracted]],2)="IN","Valid","Invalid")</f>
        <v>Valid</v>
      </c>
      <c r="K233" t="s">
        <v>1020</v>
      </c>
      <c r="L233" t="s">
        <v>1034</v>
      </c>
      <c r="M233" t="s">
        <v>31</v>
      </c>
      <c r="N233" t="s">
        <v>1035</v>
      </c>
      <c r="O233" t="str">
        <f>IFERROR("IN" &amp; _xlfn.TEXTBEFORE(_xlfn.TEXTAFTER(UPPER(tblShipments[[#This Row],[Gateway_clean]]),"IN")," ",1),"")</f>
        <v>INMUN1</v>
      </c>
      <c r="P233" t="str">
        <f>SUBSTITUTE(tblShipments[[#This Row],[Gateway]], CHAR(10), " ")</f>
        <v xml:space="preserve">AWB No. Gateway Port Gateway EGM No. Gateway EGM Date Gateway Site ID Error Code N.A.  INMUN1  137857  2017-10-30 00:00:00.0  INMUN1  S </v>
      </c>
      <c r="Q233" t="s">
        <v>1036</v>
      </c>
    </row>
    <row r="234" spans="1:17" x14ac:dyDescent="0.35">
      <c r="A234" t="s">
        <v>8</v>
      </c>
      <c r="B234">
        <v>9346238</v>
      </c>
      <c r="C234" s="2" t="s">
        <v>1032</v>
      </c>
      <c r="D234" s="2" t="str">
        <f>LEFT(TRIM(MID(SUBSTITUTE(tblShipments[[#This Row],[Details]],CHAR(10)," "), FIND(CHAR(10),tblShipments[[#This Row],[Details]])+1, 50)), 10)</f>
        <v>0594000319</v>
      </c>
      <c r="E234" t="s">
        <v>1037</v>
      </c>
      <c r="F23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4" t="str">
        <f>IF(tblShipments[[#This Row],[EGM no]]="", "Missing EGM", "EGM Submitted")</f>
        <v>EGM Submitted</v>
      </c>
      <c r="H234" t="str">
        <f>IF(OR(ISNUMBER(SEARCH("Released",tblShipments[[#This Row],[ROSL]])),
      ISNUMBER(SEARCH("Scroll",tblShipments[[#This Row],[ROSL]])),
      ISNUMBER(SEARCH("Y",tblShipments[[#This Row],[ROSL]]))),
   "Released",
   "Not Released")</f>
        <v>Released</v>
      </c>
      <c r="I234" t="str">
        <f>IF(OR(tblShipments[[#This Row],[EGM no]]="", tblShipments[[#This Row],[EGM no]]="N.A."), "Not Submitted", "Submitted")</f>
        <v>Submitted</v>
      </c>
      <c r="J234" t="str">
        <f>IF(LEFT(tblShipments[[#This Row],[Gateway_Extracted]],2)="IN","Valid","Invalid")</f>
        <v>Valid</v>
      </c>
      <c r="K234" t="s">
        <v>1038</v>
      </c>
      <c r="L234" t="s">
        <v>1039</v>
      </c>
      <c r="M234" t="s">
        <v>31</v>
      </c>
      <c r="N234" t="s">
        <v>1040</v>
      </c>
      <c r="O234" t="str">
        <f>IFERROR("IN" &amp; _xlfn.TEXTBEFORE(_xlfn.TEXTAFTER(UPPER(tblShipments[[#This Row],[Gateway_clean]]),"IN")," ",1),"")</f>
        <v>INNSA1</v>
      </c>
      <c r="P234" t="str">
        <f>SUBSTITUTE(tblShipments[[#This Row],[Gateway]], CHAR(10), " ")</f>
        <v xml:space="preserve">AWB No. Gateway Port Gateway EGM No. Gateway EGM Date Gateway Site ID Error Code N.A.  INNSA1  136639  2017-10-10 00:00:00.0  INNSA1  S </v>
      </c>
      <c r="Q234" t="s">
        <v>1041</v>
      </c>
    </row>
    <row r="235" spans="1:17" x14ac:dyDescent="0.35">
      <c r="A235" t="s">
        <v>8</v>
      </c>
      <c r="B235">
        <v>9353344</v>
      </c>
      <c r="C235" s="2" t="s">
        <v>1032</v>
      </c>
      <c r="D235" s="2" t="str">
        <f>LEFT(TRIM(MID(SUBSTITUTE(tblShipments[[#This Row],[Details]],CHAR(10)," "), FIND(CHAR(10),tblShipments[[#This Row],[Details]])+1, 50)), 10)</f>
        <v>0500054339</v>
      </c>
      <c r="E235" t="s">
        <v>1042</v>
      </c>
      <c r="F23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5" t="str">
        <f>IF(tblShipments[[#This Row],[EGM no]]="", "Missing EGM", "EGM Submitted")</f>
        <v>EGM Submitted</v>
      </c>
      <c r="H235" t="str">
        <f>IF(OR(ISNUMBER(SEARCH("Released",tblShipments[[#This Row],[ROSL]])),
      ISNUMBER(SEARCH("Scroll",tblShipments[[#This Row],[ROSL]])),
      ISNUMBER(SEARCH("Y",tblShipments[[#This Row],[ROSL]]))),
   "Released",
   "Not Released")</f>
        <v>Released</v>
      </c>
      <c r="I235" t="str">
        <f>IF(OR(tblShipments[[#This Row],[EGM no]]="", tblShipments[[#This Row],[EGM no]]="N.A."), "Not Submitted", "Submitted")</f>
        <v>Submitted</v>
      </c>
      <c r="J235" t="str">
        <f>IF(LEFT(tblShipments[[#This Row],[Gateway_Extracted]],2)="IN","Valid","Invalid")</f>
        <v>Valid</v>
      </c>
      <c r="K235" t="s">
        <v>1029</v>
      </c>
      <c r="L235" t="s">
        <v>1043</v>
      </c>
      <c r="M235" t="s">
        <v>31</v>
      </c>
      <c r="N235" t="s">
        <v>1044</v>
      </c>
      <c r="O235" t="str">
        <f>IFERROR("IN" &amp; _xlfn.TEXTBEFORE(_xlfn.TEXTAFTER(UPPER(tblShipments[[#This Row],[Gateway_clean]]),"IN")," ",1),"")</f>
        <v>INMUN1</v>
      </c>
      <c r="P235" t="str">
        <f>SUBSTITUTE(tblShipments[[#This Row],[Gateway]], CHAR(10), " ")</f>
        <v xml:space="preserve">AWB No. Gateway Port Gateway EGM No. Gateway EGM Date Gateway Site ID Error Code N.A.  INMUN1  137573  2017-10-25 00:00:00.0  INMUN1  S </v>
      </c>
      <c r="Q235" t="s">
        <v>1045</v>
      </c>
    </row>
    <row r="236" spans="1:17" x14ac:dyDescent="0.35">
      <c r="A236" t="s">
        <v>8</v>
      </c>
      <c r="B236">
        <v>9361492</v>
      </c>
      <c r="C236" s="2" t="s">
        <v>1032</v>
      </c>
      <c r="D236" s="2" t="str">
        <f>LEFT(TRIM(MID(SUBSTITUTE(tblShipments[[#This Row],[Details]],CHAR(10)," "), FIND(CHAR(10),tblShipments[[#This Row],[Details]])+1, 50)), 10)</f>
        <v>0501009990</v>
      </c>
      <c r="E236" t="s">
        <v>1046</v>
      </c>
      <c r="F23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6" t="str">
        <f>IF(tblShipments[[#This Row],[EGM no]]="", "Missing EGM", "EGM Submitted")</f>
        <v>EGM Submitted</v>
      </c>
      <c r="H236" t="str">
        <f>IF(OR(ISNUMBER(SEARCH("Released",tblShipments[[#This Row],[ROSL]])),
      ISNUMBER(SEARCH("Scroll",tblShipments[[#This Row],[ROSL]])),
      ISNUMBER(SEARCH("Y",tblShipments[[#This Row],[ROSL]]))),
   "Released",
   "Not Released")</f>
        <v>Released</v>
      </c>
      <c r="I236" t="str">
        <f>IF(OR(tblShipments[[#This Row],[EGM no]]="", tblShipments[[#This Row],[EGM no]]="N.A."), "Not Submitted", "Submitted")</f>
        <v>Submitted</v>
      </c>
      <c r="J236" t="str">
        <f>IF(LEFT(tblShipments[[#This Row],[Gateway_Extracted]],2)="IN","Valid","Invalid")</f>
        <v>Valid</v>
      </c>
      <c r="K236" t="s">
        <v>1047</v>
      </c>
      <c r="L236" t="s">
        <v>1011</v>
      </c>
      <c r="M236" t="s">
        <v>31</v>
      </c>
      <c r="N236" t="s">
        <v>1048</v>
      </c>
      <c r="O236" t="str">
        <f>IFERROR("IN" &amp; _xlfn.TEXTBEFORE(_xlfn.TEXTAFTER(UPPER(tblShipments[[#This Row],[Gateway_clean]]),"IN")," ",1),"")</f>
        <v>INNSA1</v>
      </c>
      <c r="P236" t="str">
        <f>SUBSTITUTE(tblShipments[[#This Row],[Gateway]], CHAR(10), " ")</f>
        <v xml:space="preserve">AWB No. Gateway Port Gateway EGM No. Gateway EGM Date Gateway Site ID Error Code N.A.  INNSA1  N.A.  N.A.  N.A.  N.A. </v>
      </c>
      <c r="Q236" t="s">
        <v>26</v>
      </c>
    </row>
    <row r="237" spans="1:17" x14ac:dyDescent="0.35">
      <c r="A237" t="s">
        <v>8</v>
      </c>
      <c r="B237">
        <v>9425848</v>
      </c>
      <c r="C237" s="2" t="s">
        <v>1049</v>
      </c>
      <c r="D237" s="2" t="str">
        <f>LEFT(TRIM(MID(SUBSTITUTE(tblShipments[[#This Row],[Details]],CHAR(10)," "), FIND(CHAR(10),tblShipments[[#This Row],[Details]])+1, 50)), 10)</f>
        <v>0500075158</v>
      </c>
      <c r="E237" t="s">
        <v>1050</v>
      </c>
      <c r="F23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7" t="str">
        <f>IF(tblShipments[[#This Row],[EGM no]]="", "Missing EGM", "EGM Submitted")</f>
        <v>EGM Submitted</v>
      </c>
      <c r="H237" t="str">
        <f>IF(OR(ISNUMBER(SEARCH("Released",tblShipments[[#This Row],[ROSL]])),
      ISNUMBER(SEARCH("Scroll",tblShipments[[#This Row],[ROSL]])),
      ISNUMBER(SEARCH("Y",tblShipments[[#This Row],[ROSL]]))),
   "Released",
   "Not Released")</f>
        <v>Released</v>
      </c>
      <c r="I237" t="str">
        <f>IF(OR(tblShipments[[#This Row],[EGM no]]="", tblShipments[[#This Row],[EGM no]]="N.A."), "Not Submitted", "Submitted")</f>
        <v>Submitted</v>
      </c>
      <c r="J237" t="str">
        <f>IF(LEFT(tblShipments[[#This Row],[Gateway_Extracted]],2)="IN","Valid","Invalid")</f>
        <v>Valid</v>
      </c>
      <c r="K237" t="s">
        <v>1051</v>
      </c>
      <c r="L237" t="s">
        <v>1052</v>
      </c>
      <c r="M237" t="s">
        <v>1053</v>
      </c>
      <c r="N237" t="s">
        <v>1054</v>
      </c>
      <c r="O237" t="str">
        <f>IFERROR("IN" &amp; _xlfn.TEXTBEFORE(_xlfn.TEXTAFTER(UPPER(tblShipments[[#This Row],[Gateway_clean]]),"IN")," ",1),"")</f>
        <v>INMUN1</v>
      </c>
      <c r="P237" t="str">
        <f>SUBSTITUTE(tblShipments[[#This Row],[Gateway]], CHAR(10), " ")</f>
        <v xml:space="preserve">AWB No. Gateway Port Gateway EGM No. Gateway EGM Date Gateway Site ID Error Code N.A.  INMUN1  N.A.  N.A.  N.A.  N.A. </v>
      </c>
      <c r="Q237" t="s">
        <v>244</v>
      </c>
    </row>
    <row r="238" spans="1:17" x14ac:dyDescent="0.35">
      <c r="A238" t="s">
        <v>8</v>
      </c>
      <c r="B238">
        <v>9474719</v>
      </c>
      <c r="C238" s="2" t="s">
        <v>1055</v>
      </c>
      <c r="D238" s="2" t="str">
        <f>LEFT(TRIM(MID(SUBSTITUTE(tblShipments[[#This Row],[Details]],CHAR(10)," "), FIND(CHAR(10),tblShipments[[#This Row],[Details]])+1, 50)), 10)</f>
        <v>0512076341</v>
      </c>
      <c r="E238" t="s">
        <v>1056</v>
      </c>
      <c r="F23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8" t="str">
        <f>IF(tblShipments[[#This Row],[EGM no]]="", "Missing EGM", "EGM Submitted")</f>
        <v>EGM Submitted</v>
      </c>
      <c r="H238" t="str">
        <f>IF(OR(ISNUMBER(SEARCH("Released",tblShipments[[#This Row],[ROSL]])),
      ISNUMBER(SEARCH("Scroll",tblShipments[[#This Row],[ROSL]])),
      ISNUMBER(SEARCH("Y",tblShipments[[#This Row],[ROSL]]))),
   "Released",
   "Not Released")</f>
        <v>Released</v>
      </c>
      <c r="I238" t="str">
        <f>IF(OR(tblShipments[[#This Row],[EGM no]]="", tblShipments[[#This Row],[EGM no]]="N.A."), "Not Submitted", "Submitted")</f>
        <v>Submitted</v>
      </c>
      <c r="J238" t="str">
        <f>IF(LEFT(tblShipments[[#This Row],[Gateway_Extracted]],2)="IN","Valid","Invalid")</f>
        <v>Valid</v>
      </c>
      <c r="K238" t="s">
        <v>1057</v>
      </c>
      <c r="L238" t="s">
        <v>1058</v>
      </c>
      <c r="M238" t="s">
        <v>13</v>
      </c>
      <c r="N238" t="s">
        <v>1059</v>
      </c>
      <c r="O238" t="str">
        <f>IFERROR("IN" &amp; _xlfn.TEXTBEFORE(_xlfn.TEXTAFTER(UPPER(tblShipments[[#This Row],[Gateway_clean]]),"IN")," ",1),"")</f>
        <v>INMUN1</v>
      </c>
      <c r="P238" t="str">
        <f>SUBSTITUTE(tblShipments[[#This Row],[Gateway]], CHAR(10), " ")</f>
        <v xml:space="preserve">AWB No. Gateway Port Gateway EGM No. Gateway EGM Date Gateway Site ID Error Code N.A.  INMUN1  137953  2017-11-01 00:00:00.0  INMUN1  S </v>
      </c>
      <c r="Q238" t="s">
        <v>1060</v>
      </c>
    </row>
    <row r="239" spans="1:17" x14ac:dyDescent="0.35">
      <c r="A239" t="s">
        <v>8</v>
      </c>
      <c r="B239">
        <v>9492580</v>
      </c>
      <c r="C239" s="2" t="s">
        <v>1061</v>
      </c>
      <c r="D239" s="2" t="str">
        <f>LEFT(TRIM(MID(SUBSTITUTE(tblShipments[[#This Row],[Details]],CHAR(10)," "), FIND(CHAR(10),tblShipments[[#This Row],[Details]])+1, 50)), 10)</f>
        <v>0510085423</v>
      </c>
      <c r="E239" t="s">
        <v>1062</v>
      </c>
      <c r="F23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39" t="str">
        <f>IF(tblShipments[[#This Row],[EGM no]]="", "Missing EGM", "EGM Submitted")</f>
        <v>EGM Submitted</v>
      </c>
      <c r="H239" t="str">
        <f>IF(OR(ISNUMBER(SEARCH("Released",tblShipments[[#This Row],[ROSL]])),
      ISNUMBER(SEARCH("Scroll",tblShipments[[#This Row],[ROSL]])),
      ISNUMBER(SEARCH("Y",tblShipments[[#This Row],[ROSL]]))),
   "Released",
   "Not Released")</f>
        <v>Released</v>
      </c>
      <c r="I239" t="str">
        <f>IF(OR(tblShipments[[#This Row],[EGM no]]="", tblShipments[[#This Row],[EGM no]]="N.A."), "Not Submitted", "Submitted")</f>
        <v>Submitted</v>
      </c>
      <c r="J239" t="str">
        <f>IF(LEFT(tblShipments[[#This Row],[Gateway_Extracted]],2)="IN","Valid","Invalid")</f>
        <v>Valid</v>
      </c>
      <c r="K239" t="s">
        <v>1063</v>
      </c>
      <c r="L239" t="s">
        <v>1064</v>
      </c>
      <c r="M239" t="s">
        <v>13</v>
      </c>
      <c r="N239" t="s">
        <v>1065</v>
      </c>
      <c r="O239" t="str">
        <f>IFERROR("IN" &amp; _xlfn.TEXTBEFORE(_xlfn.TEXTAFTER(UPPER(tblShipments[[#This Row],[Gateway_clean]]),"IN")," ",1),"")</f>
        <v>INNSA1</v>
      </c>
      <c r="P239" t="str">
        <f>SUBSTITUTE(tblShipments[[#This Row],[Gateway]], CHAR(10), " ")</f>
        <v xml:space="preserve">AWB No. Gateway Port Gateway EGM No. Gateway EGM Date Gateway Site ID Error Code N.A.  INNSA1  137147  2017-10-18 00:00:00.0  INNSA1  C </v>
      </c>
      <c r="Q239" t="s">
        <v>1066</v>
      </c>
    </row>
    <row r="240" spans="1:17" x14ac:dyDescent="0.35">
      <c r="A240" t="s">
        <v>8</v>
      </c>
      <c r="B240">
        <v>9510284</v>
      </c>
      <c r="C240" s="2" t="s">
        <v>1061</v>
      </c>
      <c r="D240" s="2" t="str">
        <f>LEFT(TRIM(MID(SUBSTITUTE(tblShipments[[#This Row],[Details]],CHAR(10)," "), FIND(CHAR(10),tblShipments[[#This Row],[Details]])+1, 50)), 10)</f>
        <v>0504064754</v>
      </c>
      <c r="E240" t="s">
        <v>1067</v>
      </c>
      <c r="F24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0" t="str">
        <f>IF(tblShipments[[#This Row],[EGM no]]="", "Missing EGM", "EGM Submitted")</f>
        <v>EGM Submitted</v>
      </c>
      <c r="H240" t="str">
        <f>IF(OR(ISNUMBER(SEARCH("Released",tblShipments[[#This Row],[ROSL]])),
      ISNUMBER(SEARCH("Scroll",tblShipments[[#This Row],[ROSL]])),
      ISNUMBER(SEARCH("Y",tblShipments[[#This Row],[ROSL]]))),
   "Released",
   "Not Released")</f>
        <v>Released</v>
      </c>
      <c r="I240" t="str">
        <f>IF(OR(tblShipments[[#This Row],[EGM no]]="", tblShipments[[#This Row],[EGM no]]="N.A."), "Not Submitted", "Submitted")</f>
        <v>Submitted</v>
      </c>
      <c r="J240" t="str">
        <f>IF(LEFT(tblShipments[[#This Row],[Gateway_Extracted]],2)="IN","Valid","Invalid")</f>
        <v>Valid</v>
      </c>
      <c r="K240" t="s">
        <v>1068</v>
      </c>
      <c r="L240" t="s">
        <v>1069</v>
      </c>
      <c r="M240" t="s">
        <v>13</v>
      </c>
      <c r="N240" t="s">
        <v>1070</v>
      </c>
      <c r="O240" t="str">
        <f>IFERROR("IN" &amp; _xlfn.TEXTBEFORE(_xlfn.TEXTAFTER(UPPER(tblShipments[[#This Row],[Gateway_clean]]),"IN")," ",1),"")</f>
        <v>INNSA1</v>
      </c>
      <c r="P240" t="str">
        <f>SUBSTITUTE(tblShipments[[#This Row],[Gateway]], CHAR(10), " ")</f>
        <v xml:space="preserve">AWB No. Gateway Port Gateway EGM No. Gateway EGM Date Gateway Site ID Error Code N.A.  INNSA1  138449  2017-11-09 00:00:00.0  INNSA1  S </v>
      </c>
      <c r="Q240" t="s">
        <v>1071</v>
      </c>
    </row>
    <row r="241" spans="1:17" x14ac:dyDescent="0.35">
      <c r="A241" t="s">
        <v>8</v>
      </c>
      <c r="B241">
        <v>9522381</v>
      </c>
      <c r="C241" s="2" t="s">
        <v>1072</v>
      </c>
      <c r="D241" s="2" t="str">
        <f>LEFT(TRIM(MID(SUBSTITUTE(tblShipments[[#This Row],[Details]],CHAR(10)," "), FIND(CHAR(10),tblShipments[[#This Row],[Details]])+1, 50)), 10)</f>
        <v>0507051360</v>
      </c>
      <c r="E241" t="s">
        <v>1073</v>
      </c>
      <c r="F24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1" t="str">
        <f>IF(tblShipments[[#This Row],[EGM no]]="", "Missing EGM", "EGM Submitted")</f>
        <v>EGM Submitted</v>
      </c>
      <c r="H241" t="str">
        <f>IF(OR(ISNUMBER(SEARCH("Released",tblShipments[[#This Row],[ROSL]])),
      ISNUMBER(SEARCH("Scroll",tblShipments[[#This Row],[ROSL]])),
      ISNUMBER(SEARCH("Y",tblShipments[[#This Row],[ROSL]]))),
   "Released",
   "Not Released")</f>
        <v>Released</v>
      </c>
      <c r="I241" t="str">
        <f>IF(OR(tblShipments[[#This Row],[EGM no]]="", tblShipments[[#This Row],[EGM no]]="N.A."), "Not Submitted", "Submitted")</f>
        <v>Submitted</v>
      </c>
      <c r="J241" t="str">
        <f>IF(LEFT(tblShipments[[#This Row],[Gateway_Extracted]],2)="IN","Valid","Invalid")</f>
        <v>Valid</v>
      </c>
      <c r="K241" t="s">
        <v>1074</v>
      </c>
      <c r="L241" t="s">
        <v>1075</v>
      </c>
      <c r="M241" t="s">
        <v>31</v>
      </c>
      <c r="N241" t="s">
        <v>1076</v>
      </c>
      <c r="O241" t="str">
        <f>IFERROR("IN" &amp; _xlfn.TEXTBEFORE(_xlfn.TEXTAFTER(UPPER(tblShipments[[#This Row],[Gateway_clean]]),"IN")," ",1),"")</f>
        <v>INPAV1</v>
      </c>
      <c r="P241" t="str">
        <f>SUBSTITUTE(tblShipments[[#This Row],[Gateway]], CHAR(10), " ")</f>
        <v xml:space="preserve">AWB No. Gateway Port Gateway EGM No. Gateway EGM Date Gateway Site ID Error Code N.A.  INPAV1  138356  2017-11-07 00:00:00.0  INPAV1  S </v>
      </c>
      <c r="Q241" t="s">
        <v>1077</v>
      </c>
    </row>
    <row r="242" spans="1:17" x14ac:dyDescent="0.35">
      <c r="A242" t="s">
        <v>8</v>
      </c>
      <c r="B242">
        <v>9531547</v>
      </c>
      <c r="C242" s="2" t="s">
        <v>1072</v>
      </c>
      <c r="D242" s="2" t="str">
        <f>LEFT(TRIM(MID(SUBSTITUTE(tblShipments[[#This Row],[Details]],CHAR(10)," "), FIND(CHAR(10),tblShipments[[#This Row],[Details]])+1, 50)), 10)</f>
        <v>0500048967</v>
      </c>
      <c r="E242" t="s">
        <v>1078</v>
      </c>
      <c r="F24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2" t="str">
        <f>IF(tblShipments[[#This Row],[EGM no]]="", "Missing EGM", "EGM Submitted")</f>
        <v>EGM Submitted</v>
      </c>
      <c r="H242" t="str">
        <f>IF(OR(ISNUMBER(SEARCH("Released",tblShipments[[#This Row],[ROSL]])),
      ISNUMBER(SEARCH("Scroll",tblShipments[[#This Row],[ROSL]])),
      ISNUMBER(SEARCH("Y",tblShipments[[#This Row],[ROSL]]))),
   "Released",
   "Not Released")</f>
        <v>Released</v>
      </c>
      <c r="I242" t="str">
        <f>IF(OR(tblShipments[[#This Row],[EGM no]]="", tblShipments[[#This Row],[EGM no]]="N.A."), "Not Submitted", "Submitted")</f>
        <v>Submitted</v>
      </c>
      <c r="J242" t="str">
        <f>IF(LEFT(tblShipments[[#This Row],[Gateway_Extracted]],2)="IN","Valid","Invalid")</f>
        <v>Valid</v>
      </c>
      <c r="K242" t="s">
        <v>1079</v>
      </c>
      <c r="L242" t="s">
        <v>1080</v>
      </c>
      <c r="M242" t="s">
        <v>31</v>
      </c>
      <c r="N242" t="s">
        <v>1081</v>
      </c>
      <c r="O242" t="str">
        <f>IFERROR("IN" &amp; _xlfn.TEXTBEFORE(_xlfn.TEXTAFTER(UPPER(tblShipments[[#This Row],[Gateway_clean]]),"IN")," ",1),"")</f>
        <v>INNSA1</v>
      </c>
      <c r="P242" t="str">
        <f>SUBSTITUTE(tblShipments[[#This Row],[Gateway]], CHAR(10), " ")</f>
        <v xml:space="preserve">AWB No. Gateway Port Gateway EGM No. Gateway EGM Date Gateway Site ID Error Code N.A.  INNSA1  137367  2017-10-23 00:00:00.0  INNSA1  S </v>
      </c>
      <c r="Q242" t="s">
        <v>1082</v>
      </c>
    </row>
    <row r="243" spans="1:17" x14ac:dyDescent="0.35">
      <c r="A243" t="s">
        <v>8</v>
      </c>
      <c r="B243">
        <v>9535945</v>
      </c>
      <c r="C243" s="2" t="s">
        <v>1072</v>
      </c>
      <c r="D243" s="2" t="str">
        <f>LEFT(TRIM(MID(SUBSTITUTE(tblShipments[[#This Row],[Details]],CHAR(10)," "), FIND(CHAR(10),tblShipments[[#This Row],[Details]])+1, 50)), 10)</f>
        <v>0592023052</v>
      </c>
      <c r="E243" t="s">
        <v>1083</v>
      </c>
      <c r="F24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3" t="str">
        <f>IF(tblShipments[[#This Row],[EGM no]]="", "Missing EGM", "EGM Submitted")</f>
        <v>EGM Submitted</v>
      </c>
      <c r="H243" t="str">
        <f>IF(OR(ISNUMBER(SEARCH("Released",tblShipments[[#This Row],[ROSL]])),
      ISNUMBER(SEARCH("Scroll",tblShipments[[#This Row],[ROSL]])),
      ISNUMBER(SEARCH("Y",tblShipments[[#This Row],[ROSL]]))),
   "Released",
   "Not Released")</f>
        <v>Released</v>
      </c>
      <c r="I243" t="str">
        <f>IF(OR(tblShipments[[#This Row],[EGM no]]="", tblShipments[[#This Row],[EGM no]]="N.A."), "Not Submitted", "Submitted")</f>
        <v>Submitted</v>
      </c>
      <c r="J243" t="str">
        <f>IF(LEFT(tblShipments[[#This Row],[Gateway_Extracted]],2)="IN","Valid","Invalid")</f>
        <v>Valid</v>
      </c>
      <c r="K243" t="s">
        <v>1024</v>
      </c>
      <c r="L243" t="s">
        <v>1084</v>
      </c>
      <c r="M243" t="s">
        <v>13</v>
      </c>
      <c r="N243" t="s">
        <v>1085</v>
      </c>
      <c r="O243" t="str">
        <f>IFERROR("IN" &amp; _xlfn.TEXTBEFORE(_xlfn.TEXTAFTER(UPPER(tblShipments[[#This Row],[Gateway_clean]]),"IN")," ",1),"")</f>
        <v>INNSA1</v>
      </c>
      <c r="P243" t="str">
        <f>SUBSTITUTE(tblShipments[[#This Row],[Gateway]], CHAR(10), " ")</f>
        <v xml:space="preserve">AWB No. Gateway Port Gateway EGM No. Gateway EGM Date Gateway Site ID Error Code N.A.  INNSA1  137969  2017-11-01 00:00:00.0  INNSA1  C </v>
      </c>
      <c r="Q243" t="s">
        <v>1086</v>
      </c>
    </row>
    <row r="244" spans="1:17" x14ac:dyDescent="0.35">
      <c r="A244" t="s">
        <v>8</v>
      </c>
      <c r="B244">
        <v>9536682</v>
      </c>
      <c r="C244" s="2" t="s">
        <v>1072</v>
      </c>
      <c r="D244" s="2" t="str">
        <f>LEFT(TRIM(MID(SUBSTITUTE(tblShipments[[#This Row],[Details]],CHAR(10)," "), FIND(CHAR(10),tblShipments[[#This Row],[Details]])+1, 50)), 10)</f>
        <v>0511002459</v>
      </c>
      <c r="E244" t="s">
        <v>1087</v>
      </c>
      <c r="F24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4" t="str">
        <f>IF(tblShipments[[#This Row],[EGM no]]="", "Missing EGM", "EGM Submitted")</f>
        <v>EGM Submitted</v>
      </c>
      <c r="H244" t="str">
        <f>IF(OR(ISNUMBER(SEARCH("Released",tblShipments[[#This Row],[ROSL]])),
      ISNUMBER(SEARCH("Scroll",tblShipments[[#This Row],[ROSL]])),
      ISNUMBER(SEARCH("Y",tblShipments[[#This Row],[ROSL]]))),
   "Released",
   "Not Released")</f>
        <v>Released</v>
      </c>
      <c r="I244" t="str">
        <f>IF(OR(tblShipments[[#This Row],[EGM no]]="", tblShipments[[#This Row],[EGM no]]="N.A."), "Not Submitted", "Submitted")</f>
        <v>Submitted</v>
      </c>
      <c r="J244" t="str">
        <f>IF(LEFT(tblShipments[[#This Row],[Gateway_Extracted]],2)="IN","Valid","Invalid")</f>
        <v>Valid</v>
      </c>
      <c r="K244" t="s">
        <v>1088</v>
      </c>
      <c r="L244" t="s">
        <v>1089</v>
      </c>
      <c r="M244" t="s">
        <v>13</v>
      </c>
      <c r="N244" t="s">
        <v>1090</v>
      </c>
      <c r="O244" t="str">
        <f>IFERROR("IN" &amp; _xlfn.TEXTBEFORE(_xlfn.TEXTAFTER(UPPER(tblShipments[[#This Row],[Gateway_clean]]),"IN")," ",1),"")</f>
        <v>INNSA1</v>
      </c>
      <c r="P244" t="str">
        <f>SUBSTITUTE(tblShipments[[#This Row],[Gateway]], CHAR(10), " ")</f>
        <v xml:space="preserve">AWB No. Gateway Port Gateway EGM No. Gateway EGM Date Gateway Site ID Error Code N.A.  INNSA1  138138  2017-11-03 00:00:00.0  INNSA1  S </v>
      </c>
      <c r="Q244" t="s">
        <v>1091</v>
      </c>
    </row>
    <row r="245" spans="1:17" x14ac:dyDescent="0.35">
      <c r="A245" t="s">
        <v>8</v>
      </c>
      <c r="B245">
        <v>9565498</v>
      </c>
      <c r="C245" s="2" t="s">
        <v>1092</v>
      </c>
      <c r="D245" s="2" t="str">
        <f>LEFT(TRIM(MID(SUBSTITUTE(tblShipments[[#This Row],[Details]],CHAR(10)," "), FIND(CHAR(10),tblShipments[[#This Row],[Details]])+1, 50)), 10)</f>
        <v>0508028078</v>
      </c>
      <c r="E245" t="s">
        <v>1093</v>
      </c>
      <c r="F24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5" t="str">
        <f>IF(tblShipments[[#This Row],[EGM no]]="", "Missing EGM", "EGM Submitted")</f>
        <v>EGM Submitted</v>
      </c>
      <c r="H245" t="str">
        <f>IF(OR(ISNUMBER(SEARCH("Released",tblShipments[[#This Row],[ROSL]])),
      ISNUMBER(SEARCH("Scroll",tblShipments[[#This Row],[ROSL]])),
      ISNUMBER(SEARCH("Y",tblShipments[[#This Row],[ROSL]]))),
   "Released",
   "Not Released")</f>
        <v>Released</v>
      </c>
      <c r="I245" t="str">
        <f>IF(OR(tblShipments[[#This Row],[EGM no]]="", tblShipments[[#This Row],[EGM no]]="N.A."), "Not Submitted", "Submitted")</f>
        <v>Submitted</v>
      </c>
      <c r="J245" t="str">
        <f>IF(LEFT(tblShipments[[#This Row],[Gateway_Extracted]],2)="IN","Valid","Invalid")</f>
        <v>Valid</v>
      </c>
      <c r="K245" t="s">
        <v>1094</v>
      </c>
      <c r="L245" t="s">
        <v>1095</v>
      </c>
      <c r="M245" t="s">
        <v>31</v>
      </c>
      <c r="N245" t="s">
        <v>1096</v>
      </c>
      <c r="O245" t="str">
        <f>IFERROR("IN" &amp; _xlfn.TEXTBEFORE(_xlfn.TEXTAFTER(UPPER(tblShipments[[#This Row],[Gateway_clean]]),"IN")," ",1),"")</f>
        <v>INNSA1</v>
      </c>
      <c r="P245" t="str">
        <f>SUBSTITUTE(tblShipments[[#This Row],[Gateway]], CHAR(10), " ")</f>
        <v xml:space="preserve">AWB No. Gateway Port Gateway EGM No. Gateway EGM Date Gateway Site ID Error Code N.A.  INNSA1  137453  2017-10-24 00:00:00.0  INNSA1  C </v>
      </c>
      <c r="Q245" t="s">
        <v>1097</v>
      </c>
    </row>
    <row r="246" spans="1:17" x14ac:dyDescent="0.35">
      <c r="A246" t="s">
        <v>8</v>
      </c>
      <c r="B246">
        <v>9572277</v>
      </c>
      <c r="C246" s="2" t="s">
        <v>1092</v>
      </c>
      <c r="D246" s="2" t="str">
        <f>LEFT(TRIM(MID(SUBSTITUTE(tblShipments[[#This Row],[Details]],CHAR(10)," "), FIND(CHAR(10),tblShipments[[#This Row],[Details]])+1, 50)), 10)</f>
        <v>0517542374</v>
      </c>
      <c r="E246" t="s">
        <v>1098</v>
      </c>
      <c r="F24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6" t="str">
        <f>IF(tblShipments[[#This Row],[EGM no]]="", "Missing EGM", "EGM Submitted")</f>
        <v>EGM Submitted</v>
      </c>
      <c r="H246" t="str">
        <f>IF(OR(ISNUMBER(SEARCH("Released",tblShipments[[#This Row],[ROSL]])),
      ISNUMBER(SEARCH("Scroll",tblShipments[[#This Row],[ROSL]])),
      ISNUMBER(SEARCH("Y",tblShipments[[#This Row],[ROSL]]))),
   "Released",
   "Not Released")</f>
        <v>Released</v>
      </c>
      <c r="I246" t="str">
        <f>IF(OR(tblShipments[[#This Row],[EGM no]]="", tblShipments[[#This Row],[EGM no]]="N.A."), "Not Submitted", "Submitted")</f>
        <v>Submitted</v>
      </c>
      <c r="J246" t="str">
        <f>IF(LEFT(tblShipments[[#This Row],[Gateway_Extracted]],2)="IN","Valid","Invalid")</f>
        <v>Valid</v>
      </c>
      <c r="K246" t="s">
        <v>1099</v>
      </c>
      <c r="L246" t="s">
        <v>1100</v>
      </c>
      <c r="M246" t="s">
        <v>13</v>
      </c>
      <c r="N246" t="s">
        <v>1101</v>
      </c>
      <c r="O246" t="str">
        <f>IFERROR("IN" &amp; _xlfn.TEXTBEFORE(_xlfn.TEXTAFTER(UPPER(tblShipments[[#This Row],[Gateway_clean]]),"IN")," ",1),"")</f>
        <v>INMUN1</v>
      </c>
      <c r="P246" t="str">
        <f>SUBSTITUTE(tblShipments[[#This Row],[Gateway]], CHAR(10), " ")</f>
        <v xml:space="preserve">AWB No. Gateway Port Gateway EGM No. Gateway EGM Date Gateway Site ID Error Code N.A.  INMUN1  139244  2017-11-21 00:00:00.0  INMUN1  S </v>
      </c>
      <c r="Q246" t="s">
        <v>1102</v>
      </c>
    </row>
    <row r="247" spans="1:17" x14ac:dyDescent="0.35">
      <c r="A247" t="s">
        <v>8</v>
      </c>
      <c r="B247">
        <v>9575454</v>
      </c>
      <c r="C247" s="2" t="s">
        <v>1092</v>
      </c>
      <c r="D247" s="2" t="str">
        <f>LEFT(TRIM(MID(SUBSTITUTE(tblShipments[[#This Row],[Details]],CHAR(10)," "), FIND(CHAR(10),tblShipments[[#This Row],[Details]])+1, 50)), 10)</f>
        <v>0591028549</v>
      </c>
      <c r="E247" t="s">
        <v>1103</v>
      </c>
      <c r="F24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7" t="str">
        <f>IF(tblShipments[[#This Row],[EGM no]]="", "Missing EGM", "EGM Submitted")</f>
        <v>EGM Submitted</v>
      </c>
      <c r="H247" t="str">
        <f>IF(OR(ISNUMBER(SEARCH("Released",tblShipments[[#This Row],[ROSL]])),
      ISNUMBER(SEARCH("Scroll",tblShipments[[#This Row],[ROSL]])),
      ISNUMBER(SEARCH("Y",tblShipments[[#This Row],[ROSL]]))),
   "Released",
   "Not Released")</f>
        <v>Released</v>
      </c>
      <c r="I247" t="str">
        <f>IF(OR(tblShipments[[#This Row],[EGM no]]="", tblShipments[[#This Row],[EGM no]]="N.A."), "Not Submitted", "Submitted")</f>
        <v>Submitted</v>
      </c>
      <c r="J247" t="str">
        <f>IF(LEFT(tblShipments[[#This Row],[Gateway_Extracted]],2)="IN","Valid","Invalid")</f>
        <v>Valid</v>
      </c>
      <c r="K247" t="s">
        <v>1094</v>
      </c>
      <c r="L247" t="s">
        <v>1104</v>
      </c>
      <c r="M247" t="s">
        <v>31</v>
      </c>
      <c r="N247" t="s">
        <v>1105</v>
      </c>
      <c r="O247" t="str">
        <f>IFERROR("IN" &amp; _xlfn.TEXTBEFORE(_xlfn.TEXTAFTER(UPPER(tblShipments[[#This Row],[Gateway_clean]]),"IN")," ",1),"")</f>
        <v>INNSA1</v>
      </c>
      <c r="P247" t="str">
        <f>SUBSTITUTE(tblShipments[[#This Row],[Gateway]], CHAR(10), " ")</f>
        <v xml:space="preserve">AWB No. Gateway Port Gateway EGM No. Gateway EGM Date Gateway Site ID Error Code N.A.  INNSA1  137348  2017-10-23 00:00:00.0  INNSA1  S </v>
      </c>
      <c r="Q247" t="s">
        <v>1106</v>
      </c>
    </row>
    <row r="248" spans="1:17" x14ac:dyDescent="0.35">
      <c r="A248" t="s">
        <v>8</v>
      </c>
      <c r="B248">
        <v>9580505</v>
      </c>
      <c r="C248" s="2" t="s">
        <v>1092</v>
      </c>
      <c r="D248" s="2" t="str">
        <f>LEFT(TRIM(MID(SUBSTITUTE(tblShipments[[#This Row],[Details]],CHAR(10)," "), FIND(CHAR(10),tblShipments[[#This Row],[Details]])+1, 50)), 10)</f>
        <v>3104003254</v>
      </c>
      <c r="E248" t="s">
        <v>1107</v>
      </c>
      <c r="F24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8" t="str">
        <f>IF(tblShipments[[#This Row],[EGM no]]="", "Missing EGM", "EGM Submitted")</f>
        <v>EGM Submitted</v>
      </c>
      <c r="H248" t="str">
        <f>IF(OR(ISNUMBER(SEARCH("Released",tblShipments[[#This Row],[ROSL]])),
      ISNUMBER(SEARCH("Scroll",tblShipments[[#This Row],[ROSL]])),
      ISNUMBER(SEARCH("Y",tblShipments[[#This Row],[ROSL]]))),
   "Released",
   "Not Released")</f>
        <v>Released</v>
      </c>
      <c r="I248" t="str">
        <f>IF(OR(tblShipments[[#This Row],[EGM no]]="", tblShipments[[#This Row],[EGM no]]="N.A."), "Not Submitted", "Submitted")</f>
        <v>Submitted</v>
      </c>
      <c r="J248" t="str">
        <f>IF(LEFT(tblShipments[[#This Row],[Gateway_Extracted]],2)="IN","Valid","Invalid")</f>
        <v>Valid</v>
      </c>
      <c r="K248" t="s">
        <v>1108</v>
      </c>
      <c r="L248" t="s">
        <v>1109</v>
      </c>
      <c r="M248" t="s">
        <v>13</v>
      </c>
      <c r="N248" t="s">
        <v>1110</v>
      </c>
      <c r="O248" t="str">
        <f>IFERROR("IN" &amp; _xlfn.TEXTBEFORE(_xlfn.TEXTAFTER(UPPER(tblShipments[[#This Row],[Gateway_clean]]),"IN")," ",1),"")</f>
        <v>INNSA1</v>
      </c>
      <c r="P248" t="str">
        <f>SUBSTITUTE(tblShipments[[#This Row],[Gateway]], CHAR(10), " ")</f>
        <v xml:space="preserve">AWB No. Gateway Port Gateway EGM No. Gateway EGM Date Gateway Site ID Error Code N.A.  INNSA1  137366  2017-10-23 00:00:00.0  INNSA1  S </v>
      </c>
      <c r="Q248" t="s">
        <v>1111</v>
      </c>
    </row>
    <row r="249" spans="1:17" x14ac:dyDescent="0.35">
      <c r="A249" t="s">
        <v>8</v>
      </c>
      <c r="B249">
        <v>9597287</v>
      </c>
      <c r="C249" s="2" t="s">
        <v>1112</v>
      </c>
      <c r="D249" s="2" t="str">
        <f>LEFT(TRIM(MID(SUBSTITUTE(tblShipments[[#This Row],[Details]],CHAR(10)," "), FIND(CHAR(10),tblShipments[[#This Row],[Details]])+1, 50)), 10)</f>
        <v>0506059944</v>
      </c>
      <c r="E249" t="s">
        <v>1113</v>
      </c>
      <c r="F24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49" t="str">
        <f>IF(tblShipments[[#This Row],[EGM no]]="", "Missing EGM", "EGM Submitted")</f>
        <v>EGM Submitted</v>
      </c>
      <c r="H249" t="str">
        <f>IF(OR(ISNUMBER(SEARCH("Released",tblShipments[[#This Row],[ROSL]])),
      ISNUMBER(SEARCH("Scroll",tblShipments[[#This Row],[ROSL]])),
      ISNUMBER(SEARCH("Y",tblShipments[[#This Row],[ROSL]]))),
   "Released",
   "Not Released")</f>
        <v>Released</v>
      </c>
      <c r="I249" t="str">
        <f>IF(OR(tblShipments[[#This Row],[EGM no]]="", tblShipments[[#This Row],[EGM no]]="N.A."), "Not Submitted", "Submitted")</f>
        <v>Submitted</v>
      </c>
      <c r="J249" t="str">
        <f>IF(LEFT(tblShipments[[#This Row],[Gateway_Extracted]],2)="IN","Valid","Invalid")</f>
        <v>Valid</v>
      </c>
      <c r="K249" t="s">
        <v>1094</v>
      </c>
      <c r="L249" t="s">
        <v>1114</v>
      </c>
      <c r="M249" t="s">
        <v>31</v>
      </c>
      <c r="N249" t="s">
        <v>1115</v>
      </c>
      <c r="O249" t="str">
        <f>IFERROR("IN" &amp; _xlfn.TEXTBEFORE(_xlfn.TEXTAFTER(UPPER(tblShipments[[#This Row],[Gateway_clean]]),"IN")," ",1),"")</f>
        <v>INNSA1</v>
      </c>
      <c r="P249" t="str">
        <f>SUBSTITUTE(tblShipments[[#This Row],[Gateway]], CHAR(10), " ")</f>
        <v xml:space="preserve">AWB No. Gateway Port Gateway EGM No. Gateway EGM Date Gateway Site ID Error Code N.A.  INNSA1  137830  2017-10-30 00:00:00.0  INNSA1  S </v>
      </c>
      <c r="Q249" t="s">
        <v>1116</v>
      </c>
    </row>
    <row r="250" spans="1:17" x14ac:dyDescent="0.35">
      <c r="A250" t="s">
        <v>8</v>
      </c>
      <c r="B250">
        <v>9603076</v>
      </c>
      <c r="C250" s="2" t="s">
        <v>1112</v>
      </c>
      <c r="D250" s="2" t="str">
        <f>LEFT(TRIM(MID(SUBSTITUTE(tblShipments[[#This Row],[Details]],CHAR(10)," "), FIND(CHAR(10),tblShipments[[#This Row],[Details]])+1, 50)), 10)</f>
        <v>0597017891</v>
      </c>
      <c r="E250" t="s">
        <v>1117</v>
      </c>
      <c r="F25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0" t="str">
        <f>IF(tblShipments[[#This Row],[EGM no]]="", "Missing EGM", "EGM Submitted")</f>
        <v>EGM Submitted</v>
      </c>
      <c r="H250" t="str">
        <f>IF(OR(ISNUMBER(SEARCH("Released",tblShipments[[#This Row],[ROSL]])),
      ISNUMBER(SEARCH("Scroll",tblShipments[[#This Row],[ROSL]])),
      ISNUMBER(SEARCH("Y",tblShipments[[#This Row],[ROSL]]))),
   "Released",
   "Not Released")</f>
        <v>Released</v>
      </c>
      <c r="I250" t="str">
        <f>IF(OR(tblShipments[[#This Row],[EGM no]]="", tblShipments[[#This Row],[EGM no]]="N.A."), "Not Submitted", "Submitted")</f>
        <v>Submitted</v>
      </c>
      <c r="J250" t="str">
        <f>IF(LEFT(tblShipments[[#This Row],[Gateway_Extracted]],2)="IN","Valid","Invalid")</f>
        <v>Valid</v>
      </c>
      <c r="K250" t="s">
        <v>1118</v>
      </c>
      <c r="L250" t="s">
        <v>1119</v>
      </c>
      <c r="M250" t="s">
        <v>13</v>
      </c>
      <c r="N250" t="s">
        <v>1120</v>
      </c>
      <c r="O250" t="str">
        <f>IFERROR("IN" &amp; _xlfn.TEXTBEFORE(_xlfn.TEXTAFTER(UPPER(tblShipments[[#This Row],[Gateway_clean]]),"IN")," ",1),"")</f>
        <v>INNSA1</v>
      </c>
      <c r="P250" t="str">
        <f>SUBSTITUTE(tblShipments[[#This Row],[Gateway]], CHAR(10), " ")</f>
        <v xml:space="preserve">AWB No. Gateway Port Gateway EGM No. Gateway EGM Date Gateway Site ID Error Code N.A.  INNSA1  138455  2017-11-09 00:00:00.0  INNSA1  S </v>
      </c>
      <c r="Q250" t="s">
        <v>1121</v>
      </c>
    </row>
    <row r="251" spans="1:17" x14ac:dyDescent="0.35">
      <c r="A251" t="s">
        <v>8</v>
      </c>
      <c r="B251">
        <v>9612572</v>
      </c>
      <c r="C251" s="2" t="s">
        <v>1112</v>
      </c>
      <c r="D251" s="2" t="str">
        <f>LEFT(TRIM(MID(SUBSTITUTE(tblShipments[[#This Row],[Details]],CHAR(10)," "), FIND(CHAR(10),tblShipments[[#This Row],[Details]])+1, 50)), 10)</f>
        <v>0597017891</v>
      </c>
      <c r="E251" t="s">
        <v>1122</v>
      </c>
      <c r="F25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1" t="str">
        <f>IF(tblShipments[[#This Row],[EGM no]]="", "Missing EGM", "EGM Submitted")</f>
        <v>EGM Submitted</v>
      </c>
      <c r="H251" t="str">
        <f>IF(OR(ISNUMBER(SEARCH("Released",tblShipments[[#This Row],[ROSL]])),
      ISNUMBER(SEARCH("Scroll",tblShipments[[#This Row],[ROSL]])),
      ISNUMBER(SEARCH("Y",tblShipments[[#This Row],[ROSL]]))),
   "Released",
   "Not Released")</f>
        <v>Released</v>
      </c>
      <c r="I251" t="str">
        <f>IF(OR(tblShipments[[#This Row],[EGM no]]="", tblShipments[[#This Row],[EGM no]]="N.A."), "Not Submitted", "Submitted")</f>
        <v>Submitted</v>
      </c>
      <c r="J251" t="str">
        <f>IF(LEFT(tblShipments[[#This Row],[Gateway_Extracted]],2)="IN","Valid","Invalid")</f>
        <v>Valid</v>
      </c>
      <c r="K251" t="s">
        <v>1123</v>
      </c>
      <c r="L251" t="s">
        <v>1124</v>
      </c>
      <c r="M251" t="s">
        <v>13</v>
      </c>
      <c r="N251" t="s">
        <v>1125</v>
      </c>
      <c r="O251" t="str">
        <f>IFERROR("IN" &amp; _xlfn.TEXTBEFORE(_xlfn.TEXTAFTER(UPPER(tblShipments[[#This Row],[Gateway_clean]]),"IN")," ",1),"")</f>
        <v>INNSA1</v>
      </c>
      <c r="P251" t="str">
        <f>SUBSTITUTE(tblShipments[[#This Row],[Gateway]], CHAR(10), " ")</f>
        <v xml:space="preserve">AWB No. Gateway Port Gateway EGM No. Gateway EGM Date Gateway Site ID Error Code N.A.  INNSA1  138732  2017-11-14 00:00:00.0  INNSA1  S </v>
      </c>
      <c r="Q251" t="s">
        <v>1126</v>
      </c>
    </row>
    <row r="252" spans="1:17" x14ac:dyDescent="0.35">
      <c r="A252" t="s">
        <v>8</v>
      </c>
      <c r="B252">
        <v>9626392</v>
      </c>
      <c r="C252" s="2" t="s">
        <v>1127</v>
      </c>
      <c r="D252" s="2" t="str">
        <f>LEFT(TRIM(MID(SUBSTITUTE(tblShipments[[#This Row],[Details]],CHAR(10)," "), FIND(CHAR(10),tblShipments[[#This Row],[Details]])+1, 50)), 10)</f>
        <v>0504038966</v>
      </c>
      <c r="E252" t="s">
        <v>1128</v>
      </c>
      <c r="F25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2" t="str">
        <f>IF(tblShipments[[#This Row],[EGM no]]="", "Missing EGM", "EGM Submitted")</f>
        <v>EGM Submitted</v>
      </c>
      <c r="H252" t="str">
        <f>IF(OR(ISNUMBER(SEARCH("Released",tblShipments[[#This Row],[ROSL]])),
      ISNUMBER(SEARCH("Scroll",tblShipments[[#This Row],[ROSL]])),
      ISNUMBER(SEARCH("Y",tblShipments[[#This Row],[ROSL]]))),
   "Released",
   "Not Released")</f>
        <v>Released</v>
      </c>
      <c r="I252" t="str">
        <f>IF(OR(tblShipments[[#This Row],[EGM no]]="", tblShipments[[#This Row],[EGM no]]="N.A."), "Not Submitted", "Submitted")</f>
        <v>Submitted</v>
      </c>
      <c r="J252" t="str">
        <f>IF(LEFT(tblShipments[[#This Row],[Gateway_Extracted]],2)="IN","Valid","Invalid")</f>
        <v>Valid</v>
      </c>
      <c r="K252" t="s">
        <v>1129</v>
      </c>
      <c r="L252" t="s">
        <v>1130</v>
      </c>
      <c r="M252" t="s">
        <v>13</v>
      </c>
      <c r="N252" t="s">
        <v>1131</v>
      </c>
      <c r="O252" t="str">
        <f>IFERROR("IN" &amp; _xlfn.TEXTBEFORE(_xlfn.TEXTAFTER(UPPER(tblShipments[[#This Row],[Gateway_clean]]),"IN")," ",1),"")</f>
        <v>INNSA1</v>
      </c>
      <c r="P252" t="str">
        <f>SUBSTITUTE(tblShipments[[#This Row],[Gateway]], CHAR(10), " ")</f>
        <v xml:space="preserve">AWB No. Gateway Port Gateway EGM No. Gateway EGM Date Gateway Site ID Error Code N.A.  INNSA1  137889  2017-10-31 00:00:00.0  INNSA1  S </v>
      </c>
      <c r="Q252" t="s">
        <v>1132</v>
      </c>
    </row>
    <row r="253" spans="1:17" x14ac:dyDescent="0.35">
      <c r="A253" t="s">
        <v>8</v>
      </c>
      <c r="B253">
        <v>9653631</v>
      </c>
      <c r="C253" s="2" t="s">
        <v>1133</v>
      </c>
      <c r="D253" s="2" t="str">
        <f>LEFT(TRIM(MID(SUBSTITUTE(tblShipments[[#This Row],[Details]],CHAR(10)," "), FIND(CHAR(10),tblShipments[[#This Row],[Details]])+1, 50)), 10)</f>
        <v>0511002459</v>
      </c>
      <c r="E253" t="s">
        <v>1134</v>
      </c>
      <c r="F25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3" t="str">
        <f>IF(tblShipments[[#This Row],[EGM no]]="", "Missing EGM", "EGM Submitted")</f>
        <v>EGM Submitted</v>
      </c>
      <c r="H253" t="str">
        <f>IF(OR(ISNUMBER(SEARCH("Released",tblShipments[[#This Row],[ROSL]])),
      ISNUMBER(SEARCH("Scroll",tblShipments[[#This Row],[ROSL]])),
      ISNUMBER(SEARCH("Y",tblShipments[[#This Row],[ROSL]]))),
   "Released",
   "Not Released")</f>
        <v>Released</v>
      </c>
      <c r="I253" t="str">
        <f>IF(OR(tblShipments[[#This Row],[EGM no]]="", tblShipments[[#This Row],[EGM no]]="N.A."), "Not Submitted", "Submitted")</f>
        <v>Submitted</v>
      </c>
      <c r="J253" t="str">
        <f>IF(LEFT(tblShipments[[#This Row],[Gateway_Extracted]],2)="IN","Valid","Invalid")</f>
        <v>Valid</v>
      </c>
      <c r="K253" t="s">
        <v>1135</v>
      </c>
      <c r="L253" t="s">
        <v>1136</v>
      </c>
      <c r="M253" t="s">
        <v>13</v>
      </c>
      <c r="N253" t="s">
        <v>1137</v>
      </c>
      <c r="O253" t="str">
        <f>IFERROR("IN" &amp; _xlfn.TEXTBEFORE(_xlfn.TEXTAFTER(UPPER(tblShipments[[#This Row],[Gateway_clean]]),"IN")," ",1),"")</f>
        <v>INNSA1</v>
      </c>
      <c r="P253" t="str">
        <f>SUBSTITUTE(tblShipments[[#This Row],[Gateway]], CHAR(10), " ")</f>
        <v xml:space="preserve">AWB No. Gateway Port Gateway EGM No. Gateway EGM Date Gateway Site ID Error Code N.A.  INNSA1  138837  2017-11-15 00:00:00.0  INNSA1  S </v>
      </c>
      <c r="Q253" t="s">
        <v>1138</v>
      </c>
    </row>
    <row r="254" spans="1:17" x14ac:dyDescent="0.35">
      <c r="A254" t="s">
        <v>8</v>
      </c>
      <c r="B254">
        <v>9675183</v>
      </c>
      <c r="C254" s="2" t="s">
        <v>1139</v>
      </c>
      <c r="D254" s="2" t="str">
        <f>LEFT(TRIM(MID(SUBSTITUTE(tblShipments[[#This Row],[Details]],CHAR(10)," "), FIND(CHAR(10),tblShipments[[#This Row],[Details]])+1, 50)), 10)</f>
        <v>0288014952</v>
      </c>
      <c r="E254" t="s">
        <v>1140</v>
      </c>
      <c r="F25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4" t="str">
        <f>IF(tblShipments[[#This Row],[EGM no]]="", "Missing EGM", "EGM Submitted")</f>
        <v>EGM Submitted</v>
      </c>
      <c r="H254" t="str">
        <f>IF(OR(ISNUMBER(SEARCH("Released",tblShipments[[#This Row],[ROSL]])),
      ISNUMBER(SEARCH("Scroll",tblShipments[[#This Row],[ROSL]])),
      ISNUMBER(SEARCH("Y",tblShipments[[#This Row],[ROSL]]))),
   "Released",
   "Not Released")</f>
        <v>Released</v>
      </c>
      <c r="I254" t="str">
        <f>IF(OR(tblShipments[[#This Row],[EGM no]]="", tblShipments[[#This Row],[EGM no]]="N.A."), "Not Submitted", "Submitted")</f>
        <v>Submitted</v>
      </c>
      <c r="J254" t="str">
        <f>IF(LEFT(tblShipments[[#This Row],[Gateway_Extracted]],2)="IN","Valid","Invalid")</f>
        <v>Valid</v>
      </c>
      <c r="K254" t="s">
        <v>1141</v>
      </c>
      <c r="L254" t="s">
        <v>1142</v>
      </c>
      <c r="M254" t="s">
        <v>13</v>
      </c>
      <c r="N254" t="s">
        <v>1143</v>
      </c>
      <c r="O254" t="str">
        <f>IFERROR("IN" &amp; _xlfn.TEXTBEFORE(_xlfn.TEXTAFTER(UPPER(tblShipments[[#This Row],[Gateway_clean]]),"IN")," ",1),"")</f>
        <v>INNSA1</v>
      </c>
      <c r="P254" t="str">
        <f>SUBSTITUTE(tblShipments[[#This Row],[Gateway]], CHAR(10), " ")</f>
        <v xml:space="preserve">AWB No. Gateway Port Gateway EGM No. Gateway EGM Date Gateway Site ID Error Code N.A.  INNSA1  N.A.  N.A.  N.A.  N.A. </v>
      </c>
      <c r="Q254" t="s">
        <v>26</v>
      </c>
    </row>
    <row r="255" spans="1:17" x14ac:dyDescent="0.35">
      <c r="A255" t="s">
        <v>8</v>
      </c>
      <c r="B255">
        <v>9683009</v>
      </c>
      <c r="C255" s="2" t="s">
        <v>1139</v>
      </c>
      <c r="D255" s="2" t="str">
        <f>LEFT(TRIM(MID(SUBSTITUTE(tblShipments[[#This Row],[Details]],CHAR(10)," "), FIND(CHAR(10),tblShipments[[#This Row],[Details]])+1, 50)), 10)</f>
        <v>3014016713</v>
      </c>
      <c r="E255" t="s">
        <v>1144</v>
      </c>
      <c r="F25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5" t="str">
        <f>IF(tblShipments[[#This Row],[EGM no]]="", "Missing EGM", "EGM Submitted")</f>
        <v>EGM Submitted</v>
      </c>
      <c r="H255" t="str">
        <f>IF(OR(ISNUMBER(SEARCH("Released",tblShipments[[#This Row],[ROSL]])),
      ISNUMBER(SEARCH("Scroll",tblShipments[[#This Row],[ROSL]])),
      ISNUMBER(SEARCH("Y",tblShipments[[#This Row],[ROSL]]))),
   "Released",
   "Not Released")</f>
        <v>Released</v>
      </c>
      <c r="I255" t="str">
        <f>IF(OR(tblShipments[[#This Row],[EGM no]]="", tblShipments[[#This Row],[EGM no]]="N.A."), "Not Submitted", "Submitted")</f>
        <v>Submitted</v>
      </c>
      <c r="J255" t="str">
        <f>IF(LEFT(tblShipments[[#This Row],[Gateway_Extracted]],2)="IN","Valid","Invalid")</f>
        <v>Valid</v>
      </c>
      <c r="K255" t="s">
        <v>1123</v>
      </c>
      <c r="L255" t="s">
        <v>1145</v>
      </c>
      <c r="M255" t="s">
        <v>13</v>
      </c>
      <c r="N255" t="s">
        <v>1146</v>
      </c>
      <c r="O255" t="str">
        <f>IFERROR("IN" &amp; _xlfn.TEXTBEFORE(_xlfn.TEXTAFTER(UPPER(tblShipments[[#This Row],[Gateway_clean]]),"IN")," ",1),"")</f>
        <v>INNSA1</v>
      </c>
      <c r="P255" t="str">
        <f>SUBSTITUTE(tblShipments[[#This Row],[Gateway]], CHAR(10), " ")</f>
        <v xml:space="preserve">AWB No. Gateway Port Gateway EGM No. Gateway EGM Date Gateway Site ID Error Code N.A.  INNSA1  138138  2017-11-03 00:00:00.0  INNSA1  S </v>
      </c>
      <c r="Q255" t="s">
        <v>1091</v>
      </c>
    </row>
    <row r="256" spans="1:17" x14ac:dyDescent="0.35">
      <c r="A256" t="s">
        <v>8</v>
      </c>
      <c r="B256">
        <v>9683904</v>
      </c>
      <c r="C256" s="2" t="s">
        <v>1139</v>
      </c>
      <c r="D256" s="2" t="str">
        <f>LEFT(TRIM(MID(SUBSTITUTE(tblShipments[[#This Row],[Details]],CHAR(10)," "), FIND(CHAR(10),tblShipments[[#This Row],[Details]])+1, 50)), 10)</f>
        <v>3303004897</v>
      </c>
      <c r="E256" t="s">
        <v>1147</v>
      </c>
      <c r="F25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6" t="str">
        <f>IF(tblShipments[[#This Row],[EGM no]]="", "Missing EGM", "EGM Submitted")</f>
        <v>EGM Submitted</v>
      </c>
      <c r="H256" t="str">
        <f>IF(OR(ISNUMBER(SEARCH("Released",tblShipments[[#This Row],[ROSL]])),
      ISNUMBER(SEARCH("Scroll",tblShipments[[#This Row],[ROSL]])),
      ISNUMBER(SEARCH("Y",tblShipments[[#This Row],[ROSL]]))),
   "Released",
   "Not Released")</f>
        <v>Released</v>
      </c>
      <c r="I256" t="str">
        <f>IF(OR(tblShipments[[#This Row],[EGM no]]="", tblShipments[[#This Row],[EGM no]]="N.A."), "Not Submitted", "Submitted")</f>
        <v>Submitted</v>
      </c>
      <c r="J256" t="str">
        <f>IF(LEFT(tblShipments[[#This Row],[Gateway_Extracted]],2)="IN","Valid","Invalid")</f>
        <v>Valid</v>
      </c>
      <c r="K256" t="s">
        <v>1148</v>
      </c>
      <c r="L256" t="s">
        <v>1149</v>
      </c>
      <c r="M256" t="s">
        <v>31</v>
      </c>
      <c r="N256" t="s">
        <v>1150</v>
      </c>
      <c r="O256" t="str">
        <f>IFERROR("IN" &amp; _xlfn.TEXTBEFORE(_xlfn.TEXTAFTER(UPPER(tblShipments[[#This Row],[Gateway_clean]]),"IN")," ",1),"")</f>
        <v>INMUN1</v>
      </c>
      <c r="P256" t="str">
        <f>SUBSTITUTE(tblShipments[[#This Row],[Gateway]], CHAR(10), " ")</f>
        <v xml:space="preserve">AWB No. Gateway Port Gateway EGM No. Gateway EGM Date Gateway Site ID Error Code N.A.  INMUN1  140630  2017-12-13 00:00:00.0  INMUN1  S </v>
      </c>
      <c r="Q256" t="s">
        <v>1151</v>
      </c>
    </row>
    <row r="257" spans="1:17" x14ac:dyDescent="0.35">
      <c r="A257" t="s">
        <v>8</v>
      </c>
      <c r="B257">
        <v>9687200</v>
      </c>
      <c r="C257" s="2" t="s">
        <v>1139</v>
      </c>
      <c r="D257" s="2" t="str">
        <f>LEFT(TRIM(MID(SUBSTITUTE(tblShipments[[#This Row],[Details]],CHAR(10)," "), FIND(CHAR(10),tblShipments[[#This Row],[Details]])+1, 50)), 10)</f>
        <v>0506074285</v>
      </c>
      <c r="E257" t="s">
        <v>1152</v>
      </c>
      <c r="F25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7" t="str">
        <f>IF(tblShipments[[#This Row],[EGM no]]="", "Missing EGM", "EGM Submitted")</f>
        <v>EGM Submitted</v>
      </c>
      <c r="H257" t="str">
        <f>IF(OR(ISNUMBER(SEARCH("Released",tblShipments[[#This Row],[ROSL]])),
      ISNUMBER(SEARCH("Scroll",tblShipments[[#This Row],[ROSL]])),
      ISNUMBER(SEARCH("Y",tblShipments[[#This Row],[ROSL]]))),
   "Released",
   "Not Released")</f>
        <v>Released</v>
      </c>
      <c r="I257" t="str">
        <f>IF(OR(tblShipments[[#This Row],[EGM no]]="", tblShipments[[#This Row],[EGM no]]="N.A."), "Not Submitted", "Submitted")</f>
        <v>Submitted</v>
      </c>
      <c r="J257" t="str">
        <f>IF(LEFT(tblShipments[[#This Row],[Gateway_Extracted]],2)="IN","Valid","Invalid")</f>
        <v>Valid</v>
      </c>
      <c r="K257" t="s">
        <v>1129</v>
      </c>
      <c r="L257" t="s">
        <v>1153</v>
      </c>
      <c r="M257" t="s">
        <v>1154</v>
      </c>
      <c r="N257" t="s">
        <v>1155</v>
      </c>
      <c r="O257" t="str">
        <f>IFERROR("IN" &amp; _xlfn.TEXTBEFORE(_xlfn.TEXTAFTER(UPPER(tblShipments[[#This Row],[Gateway_clean]]),"IN")," ",1),"")</f>
        <v>INNSA1</v>
      </c>
      <c r="P257" t="str">
        <f>SUBSTITUTE(tblShipments[[#This Row],[Gateway]], CHAR(10), " ")</f>
        <v xml:space="preserve">AWB No. Gateway Port Gateway EGM No. Gateway EGM Date Gateway Site ID Error Code N.A.  INNSA1  N.A.  N.A.  N.A.  N.A. </v>
      </c>
      <c r="Q257" t="s">
        <v>26</v>
      </c>
    </row>
    <row r="258" spans="1:17" x14ac:dyDescent="0.35">
      <c r="A258" t="s">
        <v>8</v>
      </c>
      <c r="B258">
        <v>9721864</v>
      </c>
      <c r="C258" s="2" t="s">
        <v>1156</v>
      </c>
      <c r="D258" s="2" t="str">
        <f>LEFT(TRIM(MID(SUBSTITUTE(tblShipments[[#This Row],[Details]],CHAR(10)," "), FIND(CHAR(10),tblShipments[[#This Row],[Details]])+1, 50)), 10)</f>
        <v>0598032801</v>
      </c>
      <c r="E258" t="s">
        <v>1157</v>
      </c>
      <c r="F25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8" t="str">
        <f>IF(tblShipments[[#This Row],[EGM no]]="", "Missing EGM", "EGM Submitted")</f>
        <v>EGM Submitted</v>
      </c>
      <c r="H258" t="str">
        <f>IF(OR(ISNUMBER(SEARCH("Released",tblShipments[[#This Row],[ROSL]])),
      ISNUMBER(SEARCH("Scroll",tblShipments[[#This Row],[ROSL]])),
      ISNUMBER(SEARCH("Y",tblShipments[[#This Row],[ROSL]]))),
   "Released",
   "Not Released")</f>
        <v>Released</v>
      </c>
      <c r="I258" t="str">
        <f>IF(OR(tblShipments[[#This Row],[EGM no]]="", tblShipments[[#This Row],[EGM no]]="N.A."), "Not Submitted", "Submitted")</f>
        <v>Submitted</v>
      </c>
      <c r="J258" t="str">
        <f>IF(LEFT(tblShipments[[#This Row],[Gateway_Extracted]],2)="IN","Valid","Invalid")</f>
        <v>Valid</v>
      </c>
      <c r="K258" t="s">
        <v>1123</v>
      </c>
      <c r="L258" t="s">
        <v>1158</v>
      </c>
      <c r="M258" t="s">
        <v>13</v>
      </c>
      <c r="N258" t="s">
        <v>1159</v>
      </c>
      <c r="O258" t="str">
        <f>IFERROR("IN" &amp; _xlfn.TEXTBEFORE(_xlfn.TEXTAFTER(UPPER(tblShipments[[#This Row],[Gateway_clean]]),"IN")," ",1),"")</f>
        <v>INMUN1</v>
      </c>
      <c r="P258" t="str">
        <f>SUBSTITUTE(tblShipments[[#This Row],[Gateway]], CHAR(10), " ")</f>
        <v xml:space="preserve">AWB No. Gateway Port Gateway EGM No. Gateway EGM Date Gateway Site ID Error Code N.A.  INMUN1  138363  2017-11-07 00:00:00.0  INMUN1  S </v>
      </c>
      <c r="Q258" t="s">
        <v>1160</v>
      </c>
    </row>
    <row r="259" spans="1:17" x14ac:dyDescent="0.35">
      <c r="A259" t="s">
        <v>8</v>
      </c>
      <c r="B259">
        <v>9725059</v>
      </c>
      <c r="C259" s="2" t="s">
        <v>1156</v>
      </c>
      <c r="D259" s="2" t="str">
        <f>LEFT(TRIM(MID(SUBSTITUTE(tblShipments[[#This Row],[Details]],CHAR(10)," "), FIND(CHAR(10),tblShipments[[#This Row],[Details]])+1, 50)), 10)</f>
        <v>0515933520</v>
      </c>
      <c r="E259" t="s">
        <v>1161</v>
      </c>
      <c r="F25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59" t="str">
        <f>IF(tblShipments[[#This Row],[EGM no]]="", "Missing EGM", "EGM Submitted")</f>
        <v>EGM Submitted</v>
      </c>
      <c r="H259" t="str">
        <f>IF(OR(ISNUMBER(SEARCH("Released",tblShipments[[#This Row],[ROSL]])),
      ISNUMBER(SEARCH("Scroll",tblShipments[[#This Row],[ROSL]])),
      ISNUMBER(SEARCH("Y",tblShipments[[#This Row],[ROSL]]))),
   "Released",
   "Not Released")</f>
        <v>Released</v>
      </c>
      <c r="I259" t="str">
        <f>IF(OR(tblShipments[[#This Row],[EGM no]]="", tblShipments[[#This Row],[EGM no]]="N.A."), "Not Submitted", "Submitted")</f>
        <v>Submitted</v>
      </c>
      <c r="J259" t="str">
        <f>IF(LEFT(tblShipments[[#This Row],[Gateway_Extracted]],2)="IN","Valid","Invalid")</f>
        <v>Valid</v>
      </c>
      <c r="K259" t="s">
        <v>1099</v>
      </c>
      <c r="L259" t="s">
        <v>1109</v>
      </c>
      <c r="M259" t="s">
        <v>13</v>
      </c>
      <c r="N259" t="s">
        <v>1162</v>
      </c>
      <c r="O259" t="str">
        <f>IFERROR("IN" &amp; _xlfn.TEXTBEFORE(_xlfn.TEXTAFTER(UPPER(tblShipments[[#This Row],[Gateway_clean]]),"IN")," ",1),"")</f>
        <v>INNSA1</v>
      </c>
      <c r="P259" t="str">
        <f>SUBSTITUTE(tblShipments[[#This Row],[Gateway]], CHAR(10), " ")</f>
        <v xml:space="preserve">AWB No. Gateway Port Gateway EGM No. Gateway EGM Date Gateway Site ID Error Code N.A.  INNSA1  137353  2017-10-23 00:00:00.0  INNSA1  C </v>
      </c>
      <c r="Q259" t="s">
        <v>1163</v>
      </c>
    </row>
    <row r="260" spans="1:17" x14ac:dyDescent="0.35">
      <c r="A260" t="s">
        <v>8</v>
      </c>
      <c r="B260">
        <v>9731029</v>
      </c>
      <c r="C260" s="2" t="s">
        <v>1156</v>
      </c>
      <c r="D260" s="2" t="str">
        <f>LEFT(TRIM(MID(SUBSTITUTE(tblShipments[[#This Row],[Details]],CHAR(10)," "), FIND(CHAR(10),tblShipments[[#This Row],[Details]])+1, 50)), 10)</f>
        <v>0507062884</v>
      </c>
      <c r="E260" t="s">
        <v>1164</v>
      </c>
      <c r="F26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0" t="str">
        <f>IF(tblShipments[[#This Row],[EGM no]]="", "Missing EGM", "EGM Submitted")</f>
        <v>EGM Submitted</v>
      </c>
      <c r="H260" t="str">
        <f>IF(OR(ISNUMBER(SEARCH("Released",tblShipments[[#This Row],[ROSL]])),
      ISNUMBER(SEARCH("Scroll",tblShipments[[#This Row],[ROSL]])),
      ISNUMBER(SEARCH("Y",tblShipments[[#This Row],[ROSL]]))),
   "Released",
   "Not Released")</f>
        <v>Released</v>
      </c>
      <c r="I260" t="str">
        <f>IF(OR(tblShipments[[#This Row],[EGM no]]="", tblShipments[[#This Row],[EGM no]]="N.A."), "Not Submitted", "Submitted")</f>
        <v>Submitted</v>
      </c>
      <c r="J260" t="str">
        <f>IF(LEFT(tblShipments[[#This Row],[Gateway_Extracted]],2)="IN","Valid","Invalid")</f>
        <v>Valid</v>
      </c>
      <c r="K260" t="s">
        <v>1099</v>
      </c>
      <c r="L260" t="s">
        <v>1165</v>
      </c>
      <c r="M260" t="s">
        <v>13</v>
      </c>
      <c r="N260" t="s">
        <v>1166</v>
      </c>
      <c r="O260" t="str">
        <f>IFERROR("IN" &amp; _xlfn.TEXTBEFORE(_xlfn.TEXTAFTER(UPPER(tblShipments[[#This Row],[Gateway_clean]]),"IN")," ",1),"")</f>
        <v>INMUN1</v>
      </c>
      <c r="P260" t="str">
        <f>SUBSTITUTE(tblShipments[[#This Row],[Gateway]], CHAR(10), " ")</f>
        <v xml:space="preserve">AWB No. Gateway Port Gateway EGM No. Gateway EGM Date Gateway Site ID Error Code N.A.  INMUN1  137950  2017-11-01 00:00:00.0  INMUN1  S </v>
      </c>
      <c r="Q260" t="s">
        <v>1167</v>
      </c>
    </row>
    <row r="261" spans="1:17" x14ac:dyDescent="0.35">
      <c r="A261" t="s">
        <v>8</v>
      </c>
      <c r="B261">
        <v>9736929</v>
      </c>
      <c r="C261" s="2" t="s">
        <v>1168</v>
      </c>
      <c r="D261" s="2" t="str">
        <f>LEFT(TRIM(MID(SUBSTITUTE(tblShipments[[#This Row],[Details]],CHAR(10)," "), FIND(CHAR(10),tblShipments[[#This Row],[Details]])+1, 50)), 10)</f>
        <v>0515019933</v>
      </c>
      <c r="E261" t="s">
        <v>1169</v>
      </c>
      <c r="F26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1" t="str">
        <f>IF(tblShipments[[#This Row],[EGM no]]="", "Missing EGM", "EGM Submitted")</f>
        <v>EGM Submitted</v>
      </c>
      <c r="H261" t="str">
        <f>IF(OR(ISNUMBER(SEARCH("Released",tblShipments[[#This Row],[ROSL]])),
      ISNUMBER(SEARCH("Scroll",tblShipments[[#This Row],[ROSL]])),
      ISNUMBER(SEARCH("Y",tblShipments[[#This Row],[ROSL]]))),
   "Released",
   "Not Released")</f>
        <v>Released</v>
      </c>
      <c r="I261" t="str">
        <f>IF(OR(tblShipments[[#This Row],[EGM no]]="", tblShipments[[#This Row],[EGM no]]="N.A."), "Not Submitted", "Submitted")</f>
        <v>Submitted</v>
      </c>
      <c r="J261" t="str">
        <f>IF(LEFT(tblShipments[[#This Row],[Gateway_Extracted]],2)="IN","Valid","Invalid")</f>
        <v>Valid</v>
      </c>
      <c r="K261" t="s">
        <v>1123</v>
      </c>
      <c r="L261" t="s">
        <v>1170</v>
      </c>
      <c r="M261" t="s">
        <v>13</v>
      </c>
      <c r="N261" t="s">
        <v>1171</v>
      </c>
      <c r="O261" t="str">
        <f>IFERROR("IN" &amp; _xlfn.TEXTBEFORE(_xlfn.TEXTAFTER(UPPER(tblShipments[[#This Row],[Gateway_clean]]),"IN")," ",1),"")</f>
        <v>INMUN1</v>
      </c>
      <c r="P261" t="str">
        <f>SUBSTITUTE(tblShipments[[#This Row],[Gateway]], CHAR(10), " ")</f>
        <v xml:space="preserve">AWB No. Gateway Port Gateway EGM No. Gateway EGM Date Gateway Site ID Error Code N.A.  INMUN1  141255  2017-12-23 00:00:00.0  INMUN1  S </v>
      </c>
      <c r="Q261" t="s">
        <v>1172</v>
      </c>
    </row>
    <row r="262" spans="1:17" x14ac:dyDescent="0.35">
      <c r="A262" t="s">
        <v>8</v>
      </c>
      <c r="B262">
        <v>9738912</v>
      </c>
      <c r="C262" s="2" t="s">
        <v>1168</v>
      </c>
      <c r="D262" s="2" t="str">
        <f>LEFT(TRIM(MID(SUBSTITUTE(tblShipments[[#This Row],[Details]],CHAR(10)," "), FIND(CHAR(10),tblShipments[[#This Row],[Details]])+1, 50)), 10)</f>
        <v>0615002285</v>
      </c>
      <c r="E262" t="s">
        <v>1173</v>
      </c>
      <c r="F26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2" t="str">
        <f>IF(tblShipments[[#This Row],[EGM no]]="", "Missing EGM", "EGM Submitted")</f>
        <v>EGM Submitted</v>
      </c>
      <c r="H262" t="str">
        <f>IF(OR(ISNUMBER(SEARCH("Released",tblShipments[[#This Row],[ROSL]])),
      ISNUMBER(SEARCH("Scroll",tblShipments[[#This Row],[ROSL]])),
      ISNUMBER(SEARCH("Y",tblShipments[[#This Row],[ROSL]]))),
   "Released",
   "Not Released")</f>
        <v>Released</v>
      </c>
      <c r="I262" t="str">
        <f>IF(OR(tblShipments[[#This Row],[EGM no]]="", tblShipments[[#This Row],[EGM no]]="N.A."), "Not Submitted", "Submitted")</f>
        <v>Submitted</v>
      </c>
      <c r="J262" t="str">
        <f>IF(LEFT(tblShipments[[#This Row],[Gateway_Extracted]],2)="IN","Valid","Invalid")</f>
        <v>Valid</v>
      </c>
      <c r="K262" t="s">
        <v>1174</v>
      </c>
      <c r="L262" t="s">
        <v>1175</v>
      </c>
      <c r="M262" t="s">
        <v>13</v>
      </c>
      <c r="N262" t="s">
        <v>1176</v>
      </c>
      <c r="O262" t="str">
        <f>IFERROR("IN" &amp; _xlfn.TEXTBEFORE(_xlfn.TEXTAFTER(UPPER(tblShipments[[#This Row],[Gateway_clean]]),"IN")," ",1),"")</f>
        <v>INMUN1</v>
      </c>
      <c r="P262" t="str">
        <f>SUBSTITUTE(tblShipments[[#This Row],[Gateway]], CHAR(10), " ")</f>
        <v xml:space="preserve">AWB No. Gateway Port Gateway EGM No. Gateway EGM Date Gateway Site ID Error Code N.A.  INMUN1  151099  2018-05-28 00:00:00.0  INMUN1  S </v>
      </c>
      <c r="Q262" t="s">
        <v>1177</v>
      </c>
    </row>
    <row r="263" spans="1:17" x14ac:dyDescent="0.35">
      <c r="A263" t="s">
        <v>8</v>
      </c>
      <c r="B263">
        <v>9741196</v>
      </c>
      <c r="C263" s="2" t="s">
        <v>1168</v>
      </c>
      <c r="D263" s="2" t="str">
        <f>LEFT(TRIM(MID(SUBSTITUTE(tblShipments[[#This Row],[Details]],CHAR(10)," "), FIND(CHAR(10),tblShipments[[#This Row],[Details]])+1, 50)), 10)</f>
        <v>0504008455</v>
      </c>
      <c r="E263" t="s">
        <v>1178</v>
      </c>
      <c r="F26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3" t="str">
        <f>IF(tblShipments[[#This Row],[EGM no]]="", "Missing EGM", "EGM Submitted")</f>
        <v>EGM Submitted</v>
      </c>
      <c r="H263" t="str">
        <f>IF(OR(ISNUMBER(SEARCH("Released",tblShipments[[#This Row],[ROSL]])),
      ISNUMBER(SEARCH("Scroll",tblShipments[[#This Row],[ROSL]])),
      ISNUMBER(SEARCH("Y",tblShipments[[#This Row],[ROSL]]))),
   "Released",
   "Not Released")</f>
        <v>Released</v>
      </c>
      <c r="I263" t="str">
        <f>IF(OR(tblShipments[[#This Row],[EGM no]]="", tblShipments[[#This Row],[EGM no]]="N.A."), "Not Submitted", "Submitted")</f>
        <v>Submitted</v>
      </c>
      <c r="J263" t="str">
        <f>IF(LEFT(tblShipments[[#This Row],[Gateway_Extracted]],2)="IN","Valid","Invalid")</f>
        <v>Valid</v>
      </c>
      <c r="K263" t="s">
        <v>1099</v>
      </c>
      <c r="L263" t="s">
        <v>1179</v>
      </c>
      <c r="M263" t="s">
        <v>13</v>
      </c>
      <c r="N263" t="s">
        <v>1180</v>
      </c>
      <c r="O263" t="str">
        <f>IFERROR("IN" &amp; _xlfn.TEXTBEFORE(_xlfn.TEXTAFTER(UPPER(tblShipments[[#This Row],[Gateway_clean]]),"IN")," ",1),"")</f>
        <v>INNSA1</v>
      </c>
      <c r="P263" t="str">
        <f>SUBSTITUTE(tblShipments[[#This Row],[Gateway]], CHAR(10), " ")</f>
        <v xml:space="preserve">AWB No. Gateway Port Gateway EGM No. Gateway EGM Date Gateway Site ID Error Code N.A.  INNSA1  137370  2017-10-23 00:00:00.0  INNSA1  C </v>
      </c>
      <c r="Q263" t="s">
        <v>1181</v>
      </c>
    </row>
    <row r="264" spans="1:17" x14ac:dyDescent="0.35">
      <c r="A264" t="s">
        <v>8</v>
      </c>
      <c r="B264">
        <v>9776960</v>
      </c>
      <c r="C264" s="2" t="s">
        <v>1182</v>
      </c>
      <c r="D264" s="2" t="str">
        <f>LEFT(TRIM(MID(SUBSTITUTE(tblShipments[[#This Row],[Details]],CHAR(10)," "), FIND(CHAR(10),tblShipments[[#This Row],[Details]])+1, 50)), 10)</f>
        <v>0597017891</v>
      </c>
      <c r="E264" t="s">
        <v>1183</v>
      </c>
      <c r="F26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4" t="str">
        <f>IF(tblShipments[[#This Row],[EGM no]]="", "Missing EGM", "EGM Submitted")</f>
        <v>EGM Submitted</v>
      </c>
      <c r="H264" t="str">
        <f>IF(OR(ISNUMBER(SEARCH("Released",tblShipments[[#This Row],[ROSL]])),
      ISNUMBER(SEARCH("Scroll",tblShipments[[#This Row],[ROSL]])),
      ISNUMBER(SEARCH("Y",tblShipments[[#This Row],[ROSL]]))),
   "Released",
   "Not Released")</f>
        <v>Released</v>
      </c>
      <c r="I264" t="str">
        <f>IF(OR(tblShipments[[#This Row],[EGM no]]="", tblShipments[[#This Row],[EGM no]]="N.A."), "Not Submitted", "Submitted")</f>
        <v>Submitted</v>
      </c>
      <c r="J264" t="str">
        <f>IF(LEFT(tblShipments[[#This Row],[Gateway_Extracted]],2)="IN","Valid","Invalid")</f>
        <v>Valid</v>
      </c>
      <c r="K264" t="s">
        <v>1184</v>
      </c>
      <c r="L264" t="s">
        <v>1185</v>
      </c>
      <c r="M264" t="s">
        <v>13</v>
      </c>
      <c r="N264" t="s">
        <v>1186</v>
      </c>
      <c r="O264" t="str">
        <f>IFERROR("IN" &amp; _xlfn.TEXTBEFORE(_xlfn.TEXTAFTER(UPPER(tblShipments[[#This Row],[Gateway_clean]]),"IN")," ",1),"")</f>
        <v>INNSA1</v>
      </c>
      <c r="P264" t="str">
        <f>SUBSTITUTE(tblShipments[[#This Row],[Gateway]], CHAR(10), " ")</f>
        <v xml:space="preserve">AWB No. Gateway Port Gateway EGM No. Gateway EGM Date Gateway Site ID Error Code N.A.  INNSA1  138710  2017-11-13 00:00:00.0  INNSA1  S </v>
      </c>
      <c r="Q264" t="s">
        <v>1187</v>
      </c>
    </row>
    <row r="265" spans="1:17" x14ac:dyDescent="0.35">
      <c r="A265" t="s">
        <v>8</v>
      </c>
      <c r="B265">
        <v>9786910</v>
      </c>
      <c r="C265" s="2" t="s">
        <v>1188</v>
      </c>
      <c r="D265" s="2" t="str">
        <f>LEFT(TRIM(MID(SUBSTITUTE(tblShipments[[#This Row],[Details]],CHAR(10)," "), FIND(CHAR(10),tblShipments[[#This Row],[Details]])+1, 50)), 10)</f>
        <v>0515019372</v>
      </c>
      <c r="E265" t="s">
        <v>1189</v>
      </c>
      <c r="F26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5" t="str">
        <f>IF(tblShipments[[#This Row],[EGM no]]="", "Missing EGM", "EGM Submitted")</f>
        <v>EGM Submitted</v>
      </c>
      <c r="H265" t="str">
        <f>IF(OR(ISNUMBER(SEARCH("Released",tblShipments[[#This Row],[ROSL]])),
      ISNUMBER(SEARCH("Scroll",tblShipments[[#This Row],[ROSL]])),
      ISNUMBER(SEARCH("Y",tblShipments[[#This Row],[ROSL]]))),
   "Released",
   "Not Released")</f>
        <v>Released</v>
      </c>
      <c r="I265" t="str">
        <f>IF(OR(tblShipments[[#This Row],[EGM no]]="", tblShipments[[#This Row],[EGM no]]="N.A."), "Not Submitted", "Submitted")</f>
        <v>Submitted</v>
      </c>
      <c r="J265" t="str">
        <f>IF(LEFT(tblShipments[[#This Row],[Gateway_Extracted]],2)="IN","Valid","Invalid")</f>
        <v>Valid</v>
      </c>
      <c r="K265" t="s">
        <v>1108</v>
      </c>
      <c r="L265" t="s">
        <v>1190</v>
      </c>
      <c r="M265" t="s">
        <v>13</v>
      </c>
      <c r="N265" t="s">
        <v>1191</v>
      </c>
      <c r="O265" t="str">
        <f>IFERROR("IN" &amp; _xlfn.TEXTBEFORE(_xlfn.TEXTAFTER(UPPER(tblShipments[[#This Row],[Gateway_clean]]),"IN")," ",1),"")</f>
        <v>INMUN1</v>
      </c>
      <c r="P265" t="str">
        <f>SUBSTITUTE(tblShipments[[#This Row],[Gateway]], CHAR(10), " ")</f>
        <v xml:space="preserve">AWB No. Gateway Port Gateway EGM No. Gateway EGM Date Gateway Site ID Error Code N.A.  INMUN1  139000  2017-11-17 00:00:00.0  INMUN1  S </v>
      </c>
      <c r="Q265" t="s">
        <v>1192</v>
      </c>
    </row>
    <row r="266" spans="1:17" x14ac:dyDescent="0.35">
      <c r="A266" t="s">
        <v>8</v>
      </c>
      <c r="B266">
        <v>9791045</v>
      </c>
      <c r="C266" s="2" t="s">
        <v>1188</v>
      </c>
      <c r="D266" s="2" t="str">
        <f>LEFT(TRIM(MID(SUBSTITUTE(tblShipments[[#This Row],[Details]],CHAR(10)," "), FIND(CHAR(10),tblShipments[[#This Row],[Details]])+1, 50)), 10)</f>
        <v>0500075158</v>
      </c>
      <c r="E266" t="s">
        <v>1193</v>
      </c>
      <c r="F26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6" t="str">
        <f>IF(tblShipments[[#This Row],[EGM no]]="", "Missing EGM", "EGM Submitted")</f>
        <v>EGM Submitted</v>
      </c>
      <c r="H266" t="str">
        <f>IF(OR(ISNUMBER(SEARCH("Released",tblShipments[[#This Row],[ROSL]])),
      ISNUMBER(SEARCH("Scroll",tblShipments[[#This Row],[ROSL]])),
      ISNUMBER(SEARCH("Y",tblShipments[[#This Row],[ROSL]]))),
   "Released",
   "Not Released")</f>
        <v>Released</v>
      </c>
      <c r="I266" t="str">
        <f>IF(OR(tblShipments[[#This Row],[EGM no]]="", tblShipments[[#This Row],[EGM no]]="N.A."), "Not Submitted", "Submitted")</f>
        <v>Submitted</v>
      </c>
      <c r="J266" t="str">
        <f>IF(LEFT(tblShipments[[#This Row],[Gateway_Extracted]],2)="IN","Valid","Invalid")</f>
        <v>Valid</v>
      </c>
      <c r="K266" t="s">
        <v>1108</v>
      </c>
      <c r="L266" t="s">
        <v>1194</v>
      </c>
      <c r="M266" t="s">
        <v>1195</v>
      </c>
      <c r="N266" t="s">
        <v>1196</v>
      </c>
      <c r="O266" t="str">
        <f>IFERROR("IN" &amp; _xlfn.TEXTBEFORE(_xlfn.TEXTAFTER(UPPER(tblShipments[[#This Row],[Gateway_clean]]),"IN")," ",1),"")</f>
        <v>INMUN1</v>
      </c>
      <c r="P266" t="str">
        <f>SUBSTITUTE(tblShipments[[#This Row],[Gateway]], CHAR(10), " ")</f>
        <v xml:space="preserve">AWB No. Gateway Port Gateway EGM No. Gateway EGM Date Gateway Site ID Error Code N.A.  INMUN1  138685  2017-11-13 00:00:00.0  INMUN1  S </v>
      </c>
      <c r="Q266" t="s">
        <v>1197</v>
      </c>
    </row>
    <row r="267" spans="1:17" x14ac:dyDescent="0.35">
      <c r="A267" t="s">
        <v>8</v>
      </c>
      <c r="B267">
        <v>9802291</v>
      </c>
      <c r="C267" s="2" t="s">
        <v>1188</v>
      </c>
      <c r="D267" s="2" t="str">
        <f>LEFT(TRIM(MID(SUBSTITUTE(tblShipments[[#This Row],[Details]],CHAR(10)," "), FIND(CHAR(10),tblShipments[[#This Row],[Details]])+1, 50)), 10)</f>
        <v>0512057273</v>
      </c>
      <c r="E267" t="s">
        <v>1198</v>
      </c>
      <c r="F26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7" t="str">
        <f>IF(tblShipments[[#This Row],[EGM no]]="", "Missing EGM", "EGM Submitted")</f>
        <v>EGM Submitted</v>
      </c>
      <c r="H267" t="str">
        <f>IF(OR(ISNUMBER(SEARCH("Released",tblShipments[[#This Row],[ROSL]])),
      ISNUMBER(SEARCH("Scroll",tblShipments[[#This Row],[ROSL]])),
      ISNUMBER(SEARCH("Y",tblShipments[[#This Row],[ROSL]]))),
   "Released",
   "Not Released")</f>
        <v>Released</v>
      </c>
      <c r="I267" t="str">
        <f>IF(OR(tblShipments[[#This Row],[EGM no]]="", tblShipments[[#This Row],[EGM no]]="N.A."), "Not Submitted", "Submitted")</f>
        <v>Submitted</v>
      </c>
      <c r="J267" t="str">
        <f>IF(LEFT(tblShipments[[#This Row],[Gateway_Extracted]],2)="IN","Valid","Invalid")</f>
        <v>Valid</v>
      </c>
      <c r="K267" t="s">
        <v>1184</v>
      </c>
      <c r="L267" t="s">
        <v>1199</v>
      </c>
      <c r="M267" t="s">
        <v>13</v>
      </c>
      <c r="N267" t="s">
        <v>1200</v>
      </c>
      <c r="O267" t="str">
        <f>IFERROR("IN" &amp; _xlfn.TEXTBEFORE(_xlfn.TEXTAFTER(UPPER(tblShipments[[#This Row],[Gateway_clean]]),"IN")," ",1),"")</f>
        <v>INPAV1</v>
      </c>
      <c r="P267" t="str">
        <f>SUBSTITUTE(tblShipments[[#This Row],[Gateway]], CHAR(10), " ")</f>
        <v xml:space="preserve">AWB No. Gateway Port Gateway EGM No. Gateway EGM Date Gateway Site ID Error Code N.A.  INPAV1  137989  2017-11-01 00:00:00.0  INPAV1  S </v>
      </c>
      <c r="Q267" t="s">
        <v>1201</v>
      </c>
    </row>
    <row r="268" spans="1:17" x14ac:dyDescent="0.35">
      <c r="A268" t="s">
        <v>8</v>
      </c>
      <c r="B268">
        <v>9852487</v>
      </c>
      <c r="C268" s="2" t="s">
        <v>1202</v>
      </c>
      <c r="D268" s="2" t="str">
        <f>LEFT(TRIM(MID(SUBSTITUTE(tblShipments[[#This Row],[Details]],CHAR(10)," "), FIND(CHAR(10),tblShipments[[#This Row],[Details]])+1, 50)), 10)</f>
        <v>0504011057</v>
      </c>
      <c r="E268" t="s">
        <v>1203</v>
      </c>
      <c r="F26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8" t="str">
        <f>IF(tblShipments[[#This Row],[EGM no]]="", "Missing EGM", "EGM Submitted")</f>
        <v>EGM Submitted</v>
      </c>
      <c r="H268" t="str">
        <f>IF(OR(ISNUMBER(SEARCH("Released",tblShipments[[#This Row],[ROSL]])),
      ISNUMBER(SEARCH("Scroll",tblShipments[[#This Row],[ROSL]])),
      ISNUMBER(SEARCH("Y",tblShipments[[#This Row],[ROSL]]))),
   "Released",
   "Not Released")</f>
        <v>Released</v>
      </c>
      <c r="I268" t="str">
        <f>IF(OR(tblShipments[[#This Row],[EGM no]]="", tblShipments[[#This Row],[EGM no]]="N.A."), "Not Submitted", "Submitted")</f>
        <v>Submitted</v>
      </c>
      <c r="J268" t="str">
        <f>IF(LEFT(tblShipments[[#This Row],[Gateway_Extracted]],2)="IN","Valid","Invalid")</f>
        <v>Valid</v>
      </c>
      <c r="K268" t="s">
        <v>1204</v>
      </c>
      <c r="L268" t="s">
        <v>1205</v>
      </c>
      <c r="M268" t="s">
        <v>13</v>
      </c>
      <c r="N268" t="s">
        <v>1206</v>
      </c>
      <c r="O268" t="str">
        <f>IFERROR("IN" &amp; _xlfn.TEXTBEFORE(_xlfn.TEXTAFTER(UPPER(tblShipments[[#This Row],[Gateway_clean]]),"IN")," ",1),"")</f>
        <v>INMUN1</v>
      </c>
      <c r="P268" t="str">
        <f>SUBSTITUTE(tblShipments[[#This Row],[Gateway]], CHAR(10), " ")</f>
        <v xml:space="preserve">AWB No. Gateway Port Gateway EGM No. Gateway EGM Date Gateway Site ID Error Code N.A.  INMUN1  139245  2017-11-21 00:00:00.0  INMUN1  S </v>
      </c>
      <c r="Q268" t="s">
        <v>1207</v>
      </c>
    </row>
    <row r="269" spans="1:17" x14ac:dyDescent="0.35">
      <c r="A269" t="s">
        <v>8</v>
      </c>
      <c r="B269">
        <v>9929860</v>
      </c>
      <c r="C269" s="2" t="s">
        <v>1208</v>
      </c>
      <c r="D269" s="2" t="str">
        <f>LEFT(TRIM(MID(SUBSTITUTE(tblShipments[[#This Row],[Details]],CHAR(10)," "), FIND(CHAR(10),tblShipments[[#This Row],[Details]])+1, 50)), 10)</f>
        <v>5212012333</v>
      </c>
      <c r="E269" t="s">
        <v>1209</v>
      </c>
      <c r="F26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69" t="str">
        <f>IF(tblShipments[[#This Row],[EGM no]]="", "Missing EGM", "EGM Submitted")</f>
        <v>EGM Submitted</v>
      </c>
      <c r="H269" t="str">
        <f>IF(OR(ISNUMBER(SEARCH("Released",tblShipments[[#This Row],[ROSL]])),
      ISNUMBER(SEARCH("Scroll",tblShipments[[#This Row],[ROSL]])),
      ISNUMBER(SEARCH("Y",tblShipments[[#This Row],[ROSL]]))),
   "Released",
   "Not Released")</f>
        <v>Released</v>
      </c>
      <c r="I269" t="str">
        <f>IF(OR(tblShipments[[#This Row],[EGM no]]="", tblShipments[[#This Row],[EGM no]]="N.A."), "Not Submitted", "Submitted")</f>
        <v>Submitted</v>
      </c>
      <c r="J269" t="str">
        <f>IF(LEFT(tblShipments[[#This Row],[Gateway_Extracted]],2)="IN","Valid","Invalid")</f>
        <v>Valid</v>
      </c>
      <c r="K269" t="s">
        <v>1210</v>
      </c>
      <c r="L269" t="s">
        <v>1211</v>
      </c>
      <c r="M269" t="s">
        <v>1212</v>
      </c>
      <c r="N269" t="s">
        <v>1213</v>
      </c>
      <c r="O269" t="str">
        <f>IFERROR("IN" &amp; _xlfn.TEXTBEFORE(_xlfn.TEXTAFTER(UPPER(tblShipments[[#This Row],[Gateway_clean]]),"IN")," ",1),"")</f>
        <v>INMUN1</v>
      </c>
      <c r="P269" t="str">
        <f>SUBSTITUTE(tblShipments[[#This Row],[Gateway]], CHAR(10), " ")</f>
        <v xml:space="preserve">AWB No. Gateway Port Gateway EGM No. Gateway EGM Date Gateway Site ID Error Code N.A.  INMUN1  139240  2017-11-21 00:00:00.0  INMUN1  S </v>
      </c>
      <c r="Q269" t="s">
        <v>1214</v>
      </c>
    </row>
    <row r="270" spans="1:17" x14ac:dyDescent="0.35">
      <c r="A270" t="s">
        <v>8</v>
      </c>
      <c r="B270">
        <v>9949379</v>
      </c>
      <c r="C270" s="2" t="s">
        <v>1208</v>
      </c>
      <c r="D270" s="2" t="str">
        <f>LEFT(TRIM(MID(SUBSTITUTE(tblShipments[[#This Row],[Details]],CHAR(10)," "), FIND(CHAR(10),tblShipments[[#This Row],[Details]])+1, 50)), 10)</f>
        <v>0314004173</v>
      </c>
      <c r="E270" t="s">
        <v>1215</v>
      </c>
      <c r="F27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0" t="str">
        <f>IF(tblShipments[[#This Row],[EGM no]]="", "Missing EGM", "EGM Submitted")</f>
        <v>EGM Submitted</v>
      </c>
      <c r="H270" t="str">
        <f>IF(OR(ISNUMBER(SEARCH("Released",tblShipments[[#This Row],[ROSL]])),
      ISNUMBER(SEARCH("Scroll",tblShipments[[#This Row],[ROSL]])),
      ISNUMBER(SEARCH("Y",tblShipments[[#This Row],[ROSL]]))),
   "Released",
   "Not Released")</f>
        <v>Released</v>
      </c>
      <c r="I270" t="str">
        <f>IF(OR(tblShipments[[#This Row],[EGM no]]="", tblShipments[[#This Row],[EGM no]]="N.A."), "Not Submitted", "Submitted")</f>
        <v>Submitted</v>
      </c>
      <c r="J270" t="str">
        <f>IF(LEFT(tblShipments[[#This Row],[Gateway_Extracted]],2)="IN","Valid","Invalid")</f>
        <v>Valid</v>
      </c>
      <c r="K270" t="s">
        <v>1216</v>
      </c>
      <c r="L270" t="s">
        <v>1217</v>
      </c>
      <c r="M270" t="s">
        <v>13</v>
      </c>
      <c r="N270" t="s">
        <v>1218</v>
      </c>
      <c r="O270" t="str">
        <f>IFERROR("IN" &amp; _xlfn.TEXTBEFORE(_xlfn.TEXTAFTER(UPPER(tblShipments[[#This Row],[Gateway_clean]]),"IN")," ",1),"")</f>
        <v>INNSA1</v>
      </c>
      <c r="P270" t="str">
        <f>SUBSTITUTE(tblShipments[[#This Row],[Gateway]], CHAR(10), " ")</f>
        <v xml:space="preserve">AWB No. Gateway Port Gateway EGM No. Gateway EGM Date Gateway Site ID Error Code N.A.  INNSA1  138732  2017-11-14 00:00:00.0  INNSA1  S </v>
      </c>
      <c r="Q270" t="s">
        <v>1126</v>
      </c>
    </row>
    <row r="271" spans="1:17" x14ac:dyDescent="0.35">
      <c r="A271" t="s">
        <v>8</v>
      </c>
      <c r="B271">
        <v>9962200</v>
      </c>
      <c r="C271" s="2" t="s">
        <v>1219</v>
      </c>
      <c r="D271" s="2" t="str">
        <f>LEFT(TRIM(MID(SUBSTITUTE(tblShipments[[#This Row],[Details]],CHAR(10)," "), FIND(CHAR(10),tblShipments[[#This Row],[Details]])+1, 50)), 10)</f>
        <v>0588044440</v>
      </c>
      <c r="E271" t="s">
        <v>1220</v>
      </c>
      <c r="F27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1" t="str">
        <f>IF(tblShipments[[#This Row],[EGM no]]="", "Missing EGM", "EGM Submitted")</f>
        <v>EGM Submitted</v>
      </c>
      <c r="H271" t="str">
        <f>IF(OR(ISNUMBER(SEARCH("Released",tblShipments[[#This Row],[ROSL]])),
      ISNUMBER(SEARCH("Scroll",tblShipments[[#This Row],[ROSL]])),
      ISNUMBER(SEARCH("Y",tblShipments[[#This Row],[ROSL]]))),
   "Released",
   "Not Released")</f>
        <v>Released</v>
      </c>
      <c r="I271" t="str">
        <f>IF(OR(tblShipments[[#This Row],[EGM no]]="", tblShipments[[#This Row],[EGM no]]="N.A."), "Not Submitted", "Submitted")</f>
        <v>Submitted</v>
      </c>
      <c r="J271" t="str">
        <f>IF(LEFT(tblShipments[[#This Row],[Gateway_Extracted]],2)="IN","Valid","Invalid")</f>
        <v>Valid</v>
      </c>
      <c r="K271" t="s">
        <v>1221</v>
      </c>
      <c r="L271" t="s">
        <v>1222</v>
      </c>
      <c r="M271" t="s">
        <v>13</v>
      </c>
      <c r="N271" t="s">
        <v>1223</v>
      </c>
      <c r="O271" t="str">
        <f>IFERROR("IN" &amp; _xlfn.TEXTBEFORE(_xlfn.TEXTAFTER(UPPER(tblShipments[[#This Row],[Gateway_clean]]),"IN")," ",1),"")</f>
        <v>INNSA1</v>
      </c>
      <c r="P271" t="str">
        <f>SUBSTITUTE(tblShipments[[#This Row],[Gateway]], CHAR(10), " ")</f>
        <v xml:space="preserve">AWB No. Gateway Port Gateway EGM No. Gateway EGM Date Gateway Site ID Error Code N.A.  INNSA1  N.A.  N.A.  N.A.  N.A. </v>
      </c>
      <c r="Q271" t="s">
        <v>26</v>
      </c>
    </row>
    <row r="272" spans="1:17" x14ac:dyDescent="0.35">
      <c r="A272" t="s">
        <v>8</v>
      </c>
      <c r="B272">
        <v>9962305</v>
      </c>
      <c r="C272" s="2" t="s">
        <v>1219</v>
      </c>
      <c r="D272" s="2" t="str">
        <f>LEFT(TRIM(MID(SUBSTITUTE(tblShipments[[#This Row],[Details]],CHAR(10)," "), FIND(CHAR(10),tblShipments[[#This Row],[Details]])+1, 50)), 10)</f>
        <v>0588044440</v>
      </c>
      <c r="E272" t="s">
        <v>1224</v>
      </c>
      <c r="F27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2" t="str">
        <f>IF(tblShipments[[#This Row],[EGM no]]="", "Missing EGM", "EGM Submitted")</f>
        <v>EGM Submitted</v>
      </c>
      <c r="H272" t="str">
        <f>IF(OR(ISNUMBER(SEARCH("Released",tblShipments[[#This Row],[ROSL]])),
      ISNUMBER(SEARCH("Scroll",tblShipments[[#This Row],[ROSL]])),
      ISNUMBER(SEARCH("Y",tblShipments[[#This Row],[ROSL]]))),
   "Released",
   "Not Released")</f>
        <v>Released</v>
      </c>
      <c r="I272" t="str">
        <f>IF(OR(tblShipments[[#This Row],[EGM no]]="", tblShipments[[#This Row],[EGM no]]="N.A."), "Not Submitted", "Submitted")</f>
        <v>Submitted</v>
      </c>
      <c r="J272" t="str">
        <f>IF(LEFT(tblShipments[[#This Row],[Gateway_Extracted]],2)="IN","Valid","Invalid")</f>
        <v>Valid</v>
      </c>
      <c r="K272" t="s">
        <v>1225</v>
      </c>
      <c r="L272" t="s">
        <v>1226</v>
      </c>
      <c r="M272" t="s">
        <v>13</v>
      </c>
      <c r="N272" t="s">
        <v>1227</v>
      </c>
      <c r="O272" t="str">
        <f>IFERROR("IN" &amp; _xlfn.TEXTBEFORE(_xlfn.TEXTAFTER(UPPER(tblShipments[[#This Row],[Gateway_clean]]),"IN")," ",1),"")</f>
        <v>INNSA1</v>
      </c>
      <c r="P272" t="str">
        <f>SUBSTITUTE(tblShipments[[#This Row],[Gateway]], CHAR(10), " ")</f>
        <v xml:space="preserve">AWB No. Gateway Port Gateway EGM No. Gateway EGM Date Gateway Site ID Error Code N.A.  INNSA1  N.A.  N.A.  N.A.  N.A. </v>
      </c>
      <c r="Q272" t="s">
        <v>26</v>
      </c>
    </row>
    <row r="273" spans="1:17" x14ac:dyDescent="0.35">
      <c r="A273" t="s">
        <v>8</v>
      </c>
      <c r="B273">
        <v>1023575</v>
      </c>
      <c r="C273" s="2" t="s">
        <v>1228</v>
      </c>
      <c r="D273" s="2" t="str">
        <f>LEFT(TRIM(MID(SUBSTITUTE(tblShipments[[#This Row],[Details]],CHAR(10)," "), FIND(CHAR(10),tblShipments[[#This Row],[Details]])+1, 50)), 10)</f>
        <v>0506012905</v>
      </c>
      <c r="E273" t="s">
        <v>1229</v>
      </c>
      <c r="F27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3" t="str">
        <f>IF(tblShipments[[#This Row],[EGM no]]="", "Missing EGM", "EGM Submitted")</f>
        <v>EGM Submitted</v>
      </c>
      <c r="H273" t="str">
        <f>IF(OR(ISNUMBER(SEARCH("Released",tblShipments[[#This Row],[ROSL]])),
      ISNUMBER(SEARCH("Scroll",tblShipments[[#This Row],[ROSL]])),
      ISNUMBER(SEARCH("Y",tblShipments[[#This Row],[ROSL]]))),
   "Released",
   "Not Released")</f>
        <v>Released</v>
      </c>
      <c r="I273" t="str">
        <f>IF(OR(tblShipments[[#This Row],[EGM no]]="", tblShipments[[#This Row],[EGM no]]="N.A."), "Not Submitted", "Submitted")</f>
        <v>Submitted</v>
      </c>
      <c r="J273" t="str">
        <f>IF(LEFT(tblShipments[[#This Row],[Gateway_Extracted]],2)="IN","Valid","Invalid")</f>
        <v>Valid</v>
      </c>
      <c r="K273" t="s">
        <v>1230</v>
      </c>
      <c r="L273" t="s">
        <v>1231</v>
      </c>
      <c r="M273" t="s">
        <v>31</v>
      </c>
      <c r="N273" t="s">
        <v>1232</v>
      </c>
      <c r="O273" t="str">
        <f>IFERROR("IN" &amp; _xlfn.TEXTBEFORE(_xlfn.TEXTAFTER(UPPER(tblShipments[[#This Row],[Gateway_clean]]),"IN")," ",1),"")</f>
        <v>INNSA1</v>
      </c>
      <c r="P273" t="str">
        <f>SUBSTITUTE(tblShipments[[#This Row],[Gateway]], CHAR(10), " ")</f>
        <v xml:space="preserve">AWB No. Gateway Port Gateway EGM No. Gateway EGM Date Gateway Site ID Error Code N.A.  INNSA1  139142  2017-11-20 00:00:00.0  INNSA1  S </v>
      </c>
      <c r="Q273" t="s">
        <v>1233</v>
      </c>
    </row>
    <row r="274" spans="1:17" x14ac:dyDescent="0.35">
      <c r="A274" t="s">
        <v>8</v>
      </c>
      <c r="B274">
        <v>1031757</v>
      </c>
      <c r="C274" s="2" t="s">
        <v>1234</v>
      </c>
      <c r="D274" s="2" t="str">
        <f>LEFT(TRIM(MID(SUBSTITUTE(tblShipments[[#This Row],[Details]],CHAR(10)," "), FIND(CHAR(10),tblShipments[[#This Row],[Details]])+1, 50)), 10)</f>
        <v>0507004761</v>
      </c>
      <c r="E274" t="s">
        <v>1235</v>
      </c>
      <c r="F27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4" t="str">
        <f>IF(tblShipments[[#This Row],[EGM no]]="", "Missing EGM", "EGM Submitted")</f>
        <v>EGM Submitted</v>
      </c>
      <c r="H274" t="str">
        <f>IF(OR(ISNUMBER(SEARCH("Released",tblShipments[[#This Row],[ROSL]])),
      ISNUMBER(SEARCH("Scroll",tblShipments[[#This Row],[ROSL]])),
      ISNUMBER(SEARCH("Y",tblShipments[[#This Row],[ROSL]]))),
   "Released",
   "Not Released")</f>
        <v>Released</v>
      </c>
      <c r="I274" t="str">
        <f>IF(OR(tblShipments[[#This Row],[EGM no]]="", tblShipments[[#This Row],[EGM no]]="N.A."), "Not Submitted", "Submitted")</f>
        <v>Submitted</v>
      </c>
      <c r="J274" t="str">
        <f>IF(LEFT(tblShipments[[#This Row],[Gateway_Extracted]],2)="IN","Valid","Invalid")</f>
        <v>Valid</v>
      </c>
      <c r="K274" t="s">
        <v>1236</v>
      </c>
      <c r="L274" t="s">
        <v>1237</v>
      </c>
      <c r="M274" t="s">
        <v>13</v>
      </c>
      <c r="N274" t="s">
        <v>1238</v>
      </c>
      <c r="O274" t="str">
        <f>IFERROR("IN" &amp; _xlfn.TEXTBEFORE(_xlfn.TEXTAFTER(UPPER(tblShipments[[#This Row],[Gateway_clean]]),"IN")," ",1),"")</f>
        <v>INNSA1</v>
      </c>
      <c r="P274" t="str">
        <f>SUBSTITUTE(tblShipments[[#This Row],[Gateway]], CHAR(10), " ")</f>
        <v xml:space="preserve">AWB No. Gateway Port Gateway EGM No. Gateway EGM Date Gateway Site ID Error Code N.A.  INNSA1  137386  2017-10-23 00:00:00.0  INNSA1  S </v>
      </c>
      <c r="Q274" t="s">
        <v>1239</v>
      </c>
    </row>
    <row r="275" spans="1:17" x14ac:dyDescent="0.35">
      <c r="A275" t="s">
        <v>8</v>
      </c>
      <c r="B275">
        <v>1042281</v>
      </c>
      <c r="C275" s="2" t="s">
        <v>1234</v>
      </c>
      <c r="D275" s="2" t="str">
        <f>LEFT(TRIM(MID(SUBSTITUTE(tblShipments[[#This Row],[Details]],CHAR(10)," "), FIND(CHAR(10),tblShipments[[#This Row],[Details]])+1, 50)), 10)</f>
        <v>0515015504</v>
      </c>
      <c r="E275" t="s">
        <v>1240</v>
      </c>
      <c r="F27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5" t="str">
        <f>IF(tblShipments[[#This Row],[EGM no]]="", "Missing EGM", "EGM Submitted")</f>
        <v>EGM Submitted</v>
      </c>
      <c r="H275" t="str">
        <f>IF(OR(ISNUMBER(SEARCH("Released",tblShipments[[#This Row],[ROSL]])),
      ISNUMBER(SEARCH("Scroll",tblShipments[[#This Row],[ROSL]])),
      ISNUMBER(SEARCH("Y",tblShipments[[#This Row],[ROSL]]))),
   "Released",
   "Not Released")</f>
        <v>Released</v>
      </c>
      <c r="I275" t="str">
        <f>IF(OR(tblShipments[[#This Row],[EGM no]]="", tblShipments[[#This Row],[EGM no]]="N.A."), "Not Submitted", "Submitted")</f>
        <v>Submitted</v>
      </c>
      <c r="J275" t="str">
        <f>IF(LEFT(tblShipments[[#This Row],[Gateway_Extracted]],2)="IN","Valid","Invalid")</f>
        <v>Valid</v>
      </c>
      <c r="K275" t="s">
        <v>1241</v>
      </c>
      <c r="L275" t="s">
        <v>1242</v>
      </c>
      <c r="M275" t="s">
        <v>13</v>
      </c>
      <c r="N275" t="s">
        <v>1243</v>
      </c>
      <c r="O275" t="str">
        <f>IFERROR("IN" &amp; _xlfn.TEXTBEFORE(_xlfn.TEXTAFTER(UPPER(tblShipments[[#This Row],[Gateway_clean]]),"IN")," ",1),"")</f>
        <v>INMUN1</v>
      </c>
      <c r="P275" t="str">
        <f>SUBSTITUTE(tblShipments[[#This Row],[Gateway]], CHAR(10), " ")</f>
        <v xml:space="preserve">AWB No. Gateway Port Gateway EGM No. Gateway EGM Date Gateway Site ID Error Code N.A.  INMUN1  140712  2017-12-15 00:00:00.0  INMUN1  S </v>
      </c>
      <c r="Q275" t="s">
        <v>1244</v>
      </c>
    </row>
    <row r="276" spans="1:17" x14ac:dyDescent="0.35">
      <c r="A276" t="s">
        <v>8</v>
      </c>
      <c r="B276">
        <v>1046425</v>
      </c>
      <c r="C276" s="2" t="s">
        <v>1234</v>
      </c>
      <c r="D276" s="2" t="str">
        <f>LEFT(TRIM(MID(SUBSTITUTE(tblShipments[[#This Row],[Details]],CHAR(10)," "), FIND(CHAR(10),tblShipments[[#This Row],[Details]])+1, 50)), 10)</f>
        <v>3091000621</v>
      </c>
      <c r="E276" t="s">
        <v>1245</v>
      </c>
      <c r="F27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6" t="str">
        <f>IF(tblShipments[[#This Row],[EGM no]]="", "Missing EGM", "EGM Submitted")</f>
        <v>EGM Submitted</v>
      </c>
      <c r="H276" t="str">
        <f>IF(OR(ISNUMBER(SEARCH("Released",tblShipments[[#This Row],[ROSL]])),
      ISNUMBER(SEARCH("Scroll",tblShipments[[#This Row],[ROSL]])),
      ISNUMBER(SEARCH("Y",tblShipments[[#This Row],[ROSL]]))),
   "Released",
   "Not Released")</f>
        <v>Released</v>
      </c>
      <c r="I276" t="str">
        <f>IF(OR(tblShipments[[#This Row],[EGM no]]="", tblShipments[[#This Row],[EGM no]]="N.A."), "Not Submitted", "Submitted")</f>
        <v>Submitted</v>
      </c>
      <c r="J276" t="str">
        <f>IF(LEFT(tblShipments[[#This Row],[Gateway_Extracted]],2)="IN","Valid","Invalid")</f>
        <v>Valid</v>
      </c>
      <c r="K276" t="s">
        <v>1246</v>
      </c>
      <c r="L276" t="s">
        <v>1247</v>
      </c>
      <c r="M276" t="s">
        <v>1248</v>
      </c>
      <c r="N276" t="s">
        <v>1249</v>
      </c>
      <c r="O276" t="str">
        <f>IFERROR("IN" &amp; _xlfn.TEXTBEFORE(_xlfn.TEXTAFTER(UPPER(tblShipments[[#This Row],[Gateway_clean]]),"IN")," ",1),"")</f>
        <v>INPAV1</v>
      </c>
      <c r="P276" t="str">
        <f>SUBSTITUTE(tblShipments[[#This Row],[Gateway]], CHAR(10), " ")</f>
        <v xml:space="preserve">AWB No. Gateway Port Gateway EGM No. Gateway EGM Date Gateway Site ID Error Code N.A.  INPAV1  137999  2017-11-01 00:00:00.0  INPAV1  S </v>
      </c>
      <c r="Q276" t="s">
        <v>1250</v>
      </c>
    </row>
    <row r="277" spans="1:17" x14ac:dyDescent="0.35">
      <c r="A277" t="s">
        <v>8</v>
      </c>
      <c r="B277">
        <v>1054151</v>
      </c>
      <c r="C277" s="2" t="s">
        <v>1251</v>
      </c>
      <c r="D277" s="2" t="str">
        <f>LEFT(TRIM(MID(SUBSTITUTE(tblShipments[[#This Row],[Details]],CHAR(10)," "), FIND(CHAR(10),tblShipments[[#This Row],[Details]])+1, 50)), 10)</f>
        <v>0505000873</v>
      </c>
      <c r="E277" t="s">
        <v>1252</v>
      </c>
      <c r="F27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7" t="str">
        <f>IF(tblShipments[[#This Row],[EGM no]]="", "Missing EGM", "EGM Submitted")</f>
        <v>EGM Submitted</v>
      </c>
      <c r="H277" t="str">
        <f>IF(OR(ISNUMBER(SEARCH("Released",tblShipments[[#This Row],[ROSL]])),
      ISNUMBER(SEARCH("Scroll",tblShipments[[#This Row],[ROSL]])),
      ISNUMBER(SEARCH("Y",tblShipments[[#This Row],[ROSL]]))),
   "Released",
   "Not Released")</f>
        <v>Released</v>
      </c>
      <c r="I277" t="str">
        <f>IF(OR(tblShipments[[#This Row],[EGM no]]="", tblShipments[[#This Row],[EGM no]]="N.A."), "Not Submitted", "Submitted")</f>
        <v>Submitted</v>
      </c>
      <c r="J277" t="str">
        <f>IF(LEFT(tblShipments[[#This Row],[Gateway_Extracted]],2)="IN","Valid","Invalid")</f>
        <v>Valid</v>
      </c>
      <c r="K277" t="s">
        <v>1253</v>
      </c>
      <c r="L277" t="s">
        <v>1254</v>
      </c>
      <c r="M277" t="s">
        <v>13</v>
      </c>
      <c r="N277" t="s">
        <v>1255</v>
      </c>
      <c r="O277" t="str">
        <f>IFERROR("IN" &amp; _xlfn.TEXTBEFORE(_xlfn.TEXTAFTER(UPPER(tblShipments[[#This Row],[Gateway_clean]]),"IN")," ",1),"")</f>
        <v>INNSA1</v>
      </c>
      <c r="P277" t="str">
        <f>SUBSTITUTE(tblShipments[[#This Row],[Gateway]], CHAR(10), " ")</f>
        <v xml:space="preserve">AWB No. Gateway Port Gateway EGM No. Gateway EGM Date Gateway Site ID Error Code N.A.  INNSA1  138641  2017-11-13 00:00:00.0  INNSA1  S </v>
      </c>
      <c r="Q277" t="s">
        <v>1256</v>
      </c>
    </row>
    <row r="278" spans="1:17" x14ac:dyDescent="0.35">
      <c r="A278" t="s">
        <v>8</v>
      </c>
      <c r="B278">
        <v>1062588</v>
      </c>
      <c r="C278" s="2" t="s">
        <v>1251</v>
      </c>
      <c r="D278" s="2" t="str">
        <f>LEFT(TRIM(MID(SUBSTITUTE(tblShipments[[#This Row],[Details]],CHAR(10)," "), FIND(CHAR(10),tblShipments[[#This Row],[Details]])+1, 50)), 10)</f>
        <v>1414003447</v>
      </c>
      <c r="E278" t="s">
        <v>1257</v>
      </c>
      <c r="F27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8" t="str">
        <f>IF(tblShipments[[#This Row],[EGM no]]="", "Missing EGM", "EGM Submitted")</f>
        <v>EGM Submitted</v>
      </c>
      <c r="H278" t="str">
        <f>IF(OR(ISNUMBER(SEARCH("Released",tblShipments[[#This Row],[ROSL]])),
      ISNUMBER(SEARCH("Scroll",tblShipments[[#This Row],[ROSL]])),
      ISNUMBER(SEARCH("Y",tblShipments[[#This Row],[ROSL]]))),
   "Released",
   "Not Released")</f>
        <v>Released</v>
      </c>
      <c r="I278" t="str">
        <f>IF(OR(tblShipments[[#This Row],[EGM no]]="", tblShipments[[#This Row],[EGM no]]="N.A."), "Not Submitted", "Submitted")</f>
        <v>Submitted</v>
      </c>
      <c r="J278" t="str">
        <f>IF(LEFT(tblShipments[[#This Row],[Gateway_Extracted]],2)="IN","Valid","Invalid")</f>
        <v>Valid</v>
      </c>
      <c r="K278" t="s">
        <v>1258</v>
      </c>
      <c r="L278" t="s">
        <v>1259</v>
      </c>
      <c r="M278" t="s">
        <v>13</v>
      </c>
      <c r="N278" t="s">
        <v>1260</v>
      </c>
      <c r="O278" t="str">
        <f>IFERROR("IN" &amp; _xlfn.TEXTBEFORE(_xlfn.TEXTAFTER(UPPER(tblShipments[[#This Row],[Gateway_clean]]),"IN")," ",1),"")</f>
        <v>INMUN1</v>
      </c>
      <c r="P278" t="str">
        <f>SUBSTITUTE(tblShipments[[#This Row],[Gateway]], CHAR(10), " ")</f>
        <v xml:space="preserve">AWB No. Gateway Port Gateway EGM No. Gateway EGM Date Gateway Site ID Error Code N.A.  INMUN1  139344  2017-11-22 00:00:00.0  INMUN1  S </v>
      </c>
      <c r="Q278" t="s">
        <v>1261</v>
      </c>
    </row>
    <row r="279" spans="1:17" x14ac:dyDescent="0.35">
      <c r="A279" t="s">
        <v>8</v>
      </c>
      <c r="B279">
        <v>1064566</v>
      </c>
      <c r="C279" s="2" t="s">
        <v>1251</v>
      </c>
      <c r="D279" s="2" t="str">
        <f>LEFT(TRIM(MID(SUBSTITUTE(tblShipments[[#This Row],[Details]],CHAR(10)," "), FIND(CHAR(10),tblShipments[[#This Row],[Details]])+1, 50)), 10)</f>
        <v>0500075158</v>
      </c>
      <c r="E279" t="s">
        <v>1262</v>
      </c>
      <c r="F27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79" t="str">
        <f>IF(tblShipments[[#This Row],[EGM no]]="", "Missing EGM", "EGM Submitted")</f>
        <v>EGM Submitted</v>
      </c>
      <c r="H279" t="str">
        <f>IF(OR(ISNUMBER(SEARCH("Released",tblShipments[[#This Row],[ROSL]])),
      ISNUMBER(SEARCH("Scroll",tblShipments[[#This Row],[ROSL]])),
      ISNUMBER(SEARCH("Y",tblShipments[[#This Row],[ROSL]]))),
   "Released",
   "Not Released")</f>
        <v>Released</v>
      </c>
      <c r="I279" t="str">
        <f>IF(OR(tblShipments[[#This Row],[EGM no]]="", tblShipments[[#This Row],[EGM no]]="N.A."), "Not Submitted", "Submitted")</f>
        <v>Submitted</v>
      </c>
      <c r="J279" t="str">
        <f>IF(LEFT(tblShipments[[#This Row],[Gateway_Extracted]],2)="IN","Valid","Invalid")</f>
        <v>Invalid</v>
      </c>
      <c r="K279" t="s">
        <v>1263</v>
      </c>
      <c r="L279" t="s">
        <v>1264</v>
      </c>
      <c r="M279" t="s">
        <v>1265</v>
      </c>
      <c r="N279" t="s">
        <v>1266</v>
      </c>
      <c r="O279" t="str">
        <f>IFERROR("IN" &amp; _xlfn.TEXTBEFORE(_xlfn.TEXTAFTER(UPPER(tblShipments[[#This Row],[Gateway_clean]]),"IN")," ",1),"")</f>
        <v/>
      </c>
      <c r="P279" t="str">
        <f>SUBSTITUTE(tblShipments[[#This Row],[Gateway]], CHAR(10), " ")</f>
        <v>Please Wait....</v>
      </c>
      <c r="Q279" t="s">
        <v>105</v>
      </c>
    </row>
    <row r="280" spans="1:17" x14ac:dyDescent="0.35">
      <c r="A280" t="s">
        <v>8</v>
      </c>
      <c r="B280">
        <v>1071189</v>
      </c>
      <c r="C280" s="2" t="s">
        <v>1251</v>
      </c>
      <c r="D280" s="2" t="str">
        <f>LEFT(TRIM(MID(SUBSTITUTE(tblShipments[[#This Row],[Details]],CHAR(10)," "), FIND(CHAR(10),tblShipments[[#This Row],[Details]])+1, 50)), 10)</f>
        <v>0509047491</v>
      </c>
      <c r="E280" t="s">
        <v>1267</v>
      </c>
      <c r="F28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0" t="str">
        <f>IF(tblShipments[[#This Row],[EGM no]]="", "Missing EGM", "EGM Submitted")</f>
        <v>EGM Submitted</v>
      </c>
      <c r="H280" t="str">
        <f>IF(OR(ISNUMBER(SEARCH("Released",tblShipments[[#This Row],[ROSL]])),
      ISNUMBER(SEARCH("Scroll",tblShipments[[#This Row],[ROSL]])),
      ISNUMBER(SEARCH("Y",tblShipments[[#This Row],[ROSL]]))),
   "Released",
   "Not Released")</f>
        <v>Released</v>
      </c>
      <c r="I280" t="str">
        <f>IF(OR(tblShipments[[#This Row],[EGM no]]="", tblShipments[[#This Row],[EGM no]]="N.A."), "Not Submitted", "Submitted")</f>
        <v>Submitted</v>
      </c>
      <c r="J280" t="str">
        <f>IF(LEFT(tblShipments[[#This Row],[Gateway_Extracted]],2)="IN","Valid","Invalid")</f>
        <v>Valid</v>
      </c>
      <c r="K280" t="s">
        <v>1241</v>
      </c>
      <c r="L280" t="s">
        <v>1268</v>
      </c>
      <c r="M280" t="s">
        <v>13</v>
      </c>
      <c r="N280" t="s">
        <v>1269</v>
      </c>
      <c r="O280" t="str">
        <f>IFERROR("IN" &amp; _xlfn.TEXTBEFORE(_xlfn.TEXTAFTER(UPPER(tblShipments[[#This Row],[Gateway_clean]]),"IN")," ",1),"")</f>
        <v>INNSA1</v>
      </c>
      <c r="P280" t="str">
        <f>SUBSTITUTE(tblShipments[[#This Row],[Gateway]], CHAR(10), " ")</f>
        <v xml:space="preserve">AWB No. Gateway Port Gateway EGM No. Gateway EGM Date Gateway Site ID Error Code N.A.  INNSA1  139138  2017-11-20 00:00:00.0  INNSA1  S </v>
      </c>
      <c r="Q280" t="s">
        <v>1270</v>
      </c>
    </row>
    <row r="281" spans="1:17" x14ac:dyDescent="0.35">
      <c r="A281" t="s">
        <v>8</v>
      </c>
      <c r="B281">
        <v>1071710</v>
      </c>
      <c r="C281" s="2" t="s">
        <v>1251</v>
      </c>
      <c r="D281" s="2" t="str">
        <f>LEFT(TRIM(MID(SUBSTITUTE(tblShipments[[#This Row],[Details]],CHAR(10)," "), FIND(CHAR(10),tblShipments[[#This Row],[Details]])+1, 50)), 10)</f>
        <v>3307004344</v>
      </c>
      <c r="E281" t="s">
        <v>1271</v>
      </c>
      <c r="F28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1" t="str">
        <f>IF(tblShipments[[#This Row],[EGM no]]="", "Missing EGM", "EGM Submitted")</f>
        <v>EGM Submitted</v>
      </c>
      <c r="H281" t="str">
        <f>IF(OR(ISNUMBER(SEARCH("Released",tblShipments[[#This Row],[ROSL]])),
      ISNUMBER(SEARCH("Scroll",tblShipments[[#This Row],[ROSL]])),
      ISNUMBER(SEARCH("Y",tblShipments[[#This Row],[ROSL]]))),
   "Released",
   "Not Released")</f>
        <v>Released</v>
      </c>
      <c r="I281" t="str">
        <f>IF(OR(tblShipments[[#This Row],[EGM no]]="", tblShipments[[#This Row],[EGM no]]="N.A."), "Not Submitted", "Submitted")</f>
        <v>Submitted</v>
      </c>
      <c r="J281" t="str">
        <f>IF(LEFT(tblShipments[[#This Row],[Gateway_Extracted]],2)="IN","Valid","Invalid")</f>
        <v>Valid</v>
      </c>
      <c r="K281" t="s">
        <v>1241</v>
      </c>
      <c r="L281" t="s">
        <v>1272</v>
      </c>
      <c r="M281" t="s">
        <v>13</v>
      </c>
      <c r="N281" t="s">
        <v>1273</v>
      </c>
      <c r="O281" t="str">
        <f>IFERROR("IN" &amp; _xlfn.TEXTBEFORE(_xlfn.TEXTAFTER(UPPER(tblShipments[[#This Row],[Gateway_clean]]),"IN")," ",1),"")</f>
        <v>INNSA1</v>
      </c>
      <c r="P281" t="str">
        <f>SUBSTITUTE(tblShipments[[#This Row],[Gateway]], CHAR(10), " ")</f>
        <v xml:space="preserve">AWB No. Gateway Port Gateway EGM No. Gateway EGM Date Gateway Site ID Error Code N.A.  INNSA1  138478  2017-11-09 00:00:00.0  INNSA1  S </v>
      </c>
      <c r="Q281" t="s">
        <v>1274</v>
      </c>
    </row>
    <row r="282" spans="1:17" x14ac:dyDescent="0.35">
      <c r="A282" t="s">
        <v>8</v>
      </c>
      <c r="B282">
        <v>1072758</v>
      </c>
      <c r="C282" s="2" t="s">
        <v>1251</v>
      </c>
      <c r="D282" s="2" t="str">
        <f>LEFT(TRIM(MID(SUBSTITUTE(tblShipments[[#This Row],[Details]],CHAR(10)," "), FIND(CHAR(10),tblShipments[[#This Row],[Details]])+1, 50)), 10)</f>
        <v>0709012331</v>
      </c>
      <c r="E282" t="s">
        <v>1275</v>
      </c>
      <c r="F28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2" t="str">
        <f>IF(tblShipments[[#This Row],[EGM no]]="", "Missing EGM", "EGM Submitted")</f>
        <v>EGM Submitted</v>
      </c>
      <c r="H282" t="str">
        <f>IF(OR(ISNUMBER(SEARCH("Released",tblShipments[[#This Row],[ROSL]])),
      ISNUMBER(SEARCH("Scroll",tblShipments[[#This Row],[ROSL]])),
      ISNUMBER(SEARCH("Y",tblShipments[[#This Row],[ROSL]]))),
   "Released",
   "Not Released")</f>
        <v>Released</v>
      </c>
      <c r="I282" t="str">
        <f>IF(OR(tblShipments[[#This Row],[EGM no]]="", tblShipments[[#This Row],[EGM no]]="N.A."), "Not Submitted", "Submitted")</f>
        <v>Submitted</v>
      </c>
      <c r="J282" t="str">
        <f>IF(LEFT(tblShipments[[#This Row],[Gateway_Extracted]],2)="IN","Valid","Invalid")</f>
        <v>Valid</v>
      </c>
      <c r="K282" t="s">
        <v>1253</v>
      </c>
      <c r="L282" t="s">
        <v>1276</v>
      </c>
      <c r="M282" t="s">
        <v>13</v>
      </c>
      <c r="N282" t="s">
        <v>1277</v>
      </c>
      <c r="O282" t="str">
        <f>IFERROR("IN" &amp; _xlfn.TEXTBEFORE(_xlfn.TEXTAFTER(UPPER(tblShipments[[#This Row],[Gateway_clean]]),"IN")," ",1),"")</f>
        <v>INMUN1</v>
      </c>
      <c r="P282" t="str">
        <f>SUBSTITUTE(tblShipments[[#This Row],[Gateway]], CHAR(10), " ")</f>
        <v xml:space="preserve">AWB No. Gateway Port Gateway EGM No. Gateway EGM Date Gateway Site ID Error Code N.A.  INMUN1  139513  2017-11-24 00:00:00.0  INMUN1  S </v>
      </c>
      <c r="Q282" t="s">
        <v>1278</v>
      </c>
    </row>
    <row r="283" spans="1:17" x14ac:dyDescent="0.35">
      <c r="A283" t="s">
        <v>8</v>
      </c>
      <c r="B283">
        <v>1073185</v>
      </c>
      <c r="C283" s="2" t="s">
        <v>1251</v>
      </c>
      <c r="D283" s="2" t="str">
        <f>LEFT(TRIM(MID(SUBSTITUTE(tblShipments[[#This Row],[Details]],CHAR(10)," "), FIND(CHAR(10),tblShipments[[#This Row],[Details]])+1, 50)), 10)</f>
        <v>0598045783</v>
      </c>
      <c r="E283" t="s">
        <v>1279</v>
      </c>
      <c r="F28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3" t="str">
        <f>IF(tblShipments[[#This Row],[EGM no]]="", "Missing EGM", "EGM Submitted")</f>
        <v>EGM Submitted</v>
      </c>
      <c r="H283" t="str">
        <f>IF(OR(ISNUMBER(SEARCH("Released",tblShipments[[#This Row],[ROSL]])),
      ISNUMBER(SEARCH("Scroll",tblShipments[[#This Row],[ROSL]])),
      ISNUMBER(SEARCH("Y",tblShipments[[#This Row],[ROSL]]))),
   "Released",
   "Not Released")</f>
        <v>Released</v>
      </c>
      <c r="I283" t="str">
        <f>IF(OR(tblShipments[[#This Row],[EGM no]]="", tblShipments[[#This Row],[EGM no]]="N.A."), "Not Submitted", "Submitted")</f>
        <v>Submitted</v>
      </c>
      <c r="J283" t="str">
        <f>IF(LEFT(tblShipments[[#This Row],[Gateway_Extracted]],2)="IN","Valid","Invalid")</f>
        <v>Valid</v>
      </c>
      <c r="K283" t="s">
        <v>1280</v>
      </c>
      <c r="L283" t="s">
        <v>1281</v>
      </c>
      <c r="M283" t="s">
        <v>31</v>
      </c>
      <c r="N283" t="s">
        <v>1282</v>
      </c>
      <c r="O283" t="str">
        <f>IFERROR("IN" &amp; _xlfn.TEXTBEFORE(_xlfn.TEXTAFTER(UPPER(tblShipments[[#This Row],[Gateway_clean]]),"IN")," ",1),"")</f>
        <v>INMUN1</v>
      </c>
      <c r="P283" t="str">
        <f>SUBSTITUTE(tblShipments[[#This Row],[Gateway]], CHAR(10), " ")</f>
        <v xml:space="preserve">AWB No. Gateway Port Gateway EGM No. Gateway EGM Date Gateway Site ID Error Code N.A.  INMUN1  140625  2017-12-13 00:00:00.0  INMUN1  S </v>
      </c>
      <c r="Q283" t="s">
        <v>1283</v>
      </c>
    </row>
    <row r="284" spans="1:17" x14ac:dyDescent="0.35">
      <c r="A284" t="s">
        <v>8</v>
      </c>
      <c r="B284">
        <v>1090894</v>
      </c>
      <c r="C284" s="2" t="s">
        <v>1284</v>
      </c>
      <c r="D284" s="2" t="str">
        <f>LEFT(TRIM(MID(SUBSTITUTE(tblShipments[[#This Row],[Details]],CHAR(10)," "), FIND(CHAR(10),tblShipments[[#This Row],[Details]])+1, 50)), 10)</f>
        <v>0595059040</v>
      </c>
      <c r="E284" t="s">
        <v>1285</v>
      </c>
      <c r="F28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4" t="str">
        <f>IF(tblShipments[[#This Row],[EGM no]]="", "Missing EGM", "EGM Submitted")</f>
        <v>EGM Submitted</v>
      </c>
      <c r="H284" t="str">
        <f>IF(OR(ISNUMBER(SEARCH("Released",tblShipments[[#This Row],[ROSL]])),
      ISNUMBER(SEARCH("Scroll",tblShipments[[#This Row],[ROSL]])),
      ISNUMBER(SEARCH("Y",tblShipments[[#This Row],[ROSL]]))),
   "Released",
   "Not Released")</f>
        <v>Released</v>
      </c>
      <c r="I284" t="str">
        <f>IF(OR(tblShipments[[#This Row],[EGM no]]="", tblShipments[[#This Row],[EGM no]]="N.A."), "Not Submitted", "Submitted")</f>
        <v>Submitted</v>
      </c>
      <c r="J284" t="str">
        <f>IF(LEFT(tblShipments[[#This Row],[Gateway_Extracted]],2)="IN","Valid","Invalid")</f>
        <v>Valid</v>
      </c>
      <c r="K284" t="s">
        <v>1286</v>
      </c>
      <c r="L284" t="s">
        <v>1287</v>
      </c>
      <c r="M284" t="s">
        <v>13</v>
      </c>
      <c r="N284" t="s">
        <v>1288</v>
      </c>
      <c r="O284" t="str">
        <f>IFERROR("IN" &amp; _xlfn.TEXTBEFORE(_xlfn.TEXTAFTER(UPPER(tblShipments[[#This Row],[Gateway_clean]]),"IN")," ",1),"")</f>
        <v>INNSA1</v>
      </c>
      <c r="P284" t="str">
        <f>SUBSTITUTE(tblShipments[[#This Row],[Gateway]], CHAR(10), " ")</f>
        <v xml:space="preserve">AWB No. Gateway Port Gateway EGM No. Gateway EGM Date Gateway Site ID Error Code N.A.  INNSA1  N.A.  N.A.  N.A.  N.A. </v>
      </c>
      <c r="Q284" t="s">
        <v>26</v>
      </c>
    </row>
    <row r="285" spans="1:17" x14ac:dyDescent="0.35">
      <c r="A285" t="s">
        <v>8</v>
      </c>
      <c r="B285">
        <v>1099071</v>
      </c>
      <c r="C285" s="2" t="s">
        <v>1284</v>
      </c>
      <c r="D285" s="2" t="str">
        <f>LEFT(TRIM(MID(SUBSTITUTE(tblShipments[[#This Row],[Details]],CHAR(10)," "), FIND(CHAR(10),tblShipments[[#This Row],[Details]])+1, 50)), 10)</f>
        <v>0592023052</v>
      </c>
      <c r="E285" t="s">
        <v>1289</v>
      </c>
      <c r="F28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5" t="str">
        <f>IF(tblShipments[[#This Row],[EGM no]]="", "Missing EGM", "EGM Submitted")</f>
        <v>EGM Submitted</v>
      </c>
      <c r="H285" t="str">
        <f>IF(OR(ISNUMBER(SEARCH("Released",tblShipments[[#This Row],[ROSL]])),
      ISNUMBER(SEARCH("Scroll",tblShipments[[#This Row],[ROSL]])),
      ISNUMBER(SEARCH("Y",tblShipments[[#This Row],[ROSL]]))),
   "Released",
   "Not Released")</f>
        <v>Released</v>
      </c>
      <c r="I285" t="str">
        <f>IF(OR(tblShipments[[#This Row],[EGM no]]="", tblShipments[[#This Row],[EGM no]]="N.A."), "Not Submitted", "Submitted")</f>
        <v>Submitted</v>
      </c>
      <c r="J285" t="str">
        <f>IF(LEFT(tblShipments[[#This Row],[Gateway_Extracted]],2)="IN","Valid","Invalid")</f>
        <v>Valid</v>
      </c>
      <c r="K285" t="s">
        <v>1263</v>
      </c>
      <c r="L285" t="s">
        <v>1290</v>
      </c>
      <c r="M285" t="s">
        <v>13</v>
      </c>
      <c r="N285" t="s">
        <v>1291</v>
      </c>
      <c r="O285" t="str">
        <f>IFERROR("IN" &amp; _xlfn.TEXTBEFORE(_xlfn.TEXTAFTER(UPPER(tblShipments[[#This Row],[Gateway_clean]]),"IN")," ",1),"")</f>
        <v>INNSA1</v>
      </c>
      <c r="P285" t="str">
        <f>SUBSTITUTE(tblShipments[[#This Row],[Gateway]], CHAR(10), " ")</f>
        <v xml:space="preserve">AWB No. Gateway Port Gateway EGM No. Gateway EGM Date Gateway Site ID Error Code N.A.  INNSA1  139301  2017-11-22 00:00:00.0  INNSA1  S </v>
      </c>
      <c r="Q285" t="s">
        <v>1292</v>
      </c>
    </row>
    <row r="286" spans="1:17" x14ac:dyDescent="0.35">
      <c r="A286" t="s">
        <v>8</v>
      </c>
      <c r="B286">
        <v>1168946</v>
      </c>
      <c r="C286" s="2" t="s">
        <v>1293</v>
      </c>
      <c r="D286" s="2" t="str">
        <f>LEFT(TRIM(MID(SUBSTITUTE(tblShipments[[#This Row],[Details]],CHAR(10)," "), FIND(CHAR(10),tblShipments[[#This Row],[Details]])+1, 50)), 10)</f>
        <v>0504011057</v>
      </c>
      <c r="E286" t="s">
        <v>1294</v>
      </c>
      <c r="F28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6" t="str">
        <f>IF(tblShipments[[#This Row],[EGM no]]="", "Missing EGM", "EGM Submitted")</f>
        <v>EGM Submitted</v>
      </c>
      <c r="H286" t="str">
        <f>IF(OR(ISNUMBER(SEARCH("Released",tblShipments[[#This Row],[ROSL]])),
      ISNUMBER(SEARCH("Scroll",tblShipments[[#This Row],[ROSL]])),
      ISNUMBER(SEARCH("Y",tblShipments[[#This Row],[ROSL]]))),
   "Released",
   "Not Released")</f>
        <v>Released</v>
      </c>
      <c r="I286" t="str">
        <f>IF(OR(tblShipments[[#This Row],[EGM no]]="", tblShipments[[#This Row],[EGM no]]="N.A."), "Not Submitted", "Submitted")</f>
        <v>Submitted</v>
      </c>
      <c r="J286" t="str">
        <f>IF(LEFT(tblShipments[[#This Row],[Gateway_Extracted]],2)="IN","Valid","Invalid")</f>
        <v>Valid</v>
      </c>
      <c r="K286" t="s">
        <v>1225</v>
      </c>
      <c r="L286" t="s">
        <v>1295</v>
      </c>
      <c r="M286" t="s">
        <v>13</v>
      </c>
      <c r="N286" t="s">
        <v>1296</v>
      </c>
      <c r="O286" t="str">
        <f>IFERROR("IN" &amp; _xlfn.TEXTBEFORE(_xlfn.TEXTAFTER(UPPER(tblShipments[[#This Row],[Gateway_clean]]),"IN")," ",1),"")</f>
        <v>INMUN1</v>
      </c>
      <c r="P286" t="str">
        <f>SUBSTITUTE(tblShipments[[#This Row],[Gateway]], CHAR(10), " ")</f>
        <v xml:space="preserve">AWB No. Gateway Port Gateway EGM No. Gateway EGM Date Gateway Site ID Error Code N.A.  INMUN1  140199  2017-12-06 00:00:00.0  INMUN1  S </v>
      </c>
      <c r="Q286" t="s">
        <v>1297</v>
      </c>
    </row>
    <row r="287" spans="1:17" x14ac:dyDescent="0.35">
      <c r="A287" t="s">
        <v>8</v>
      </c>
      <c r="B287">
        <v>1181054</v>
      </c>
      <c r="C287" s="2" t="s">
        <v>1298</v>
      </c>
      <c r="D287" s="2" t="str">
        <f>LEFT(TRIM(MID(SUBSTITUTE(tblShipments[[#This Row],[Details]],CHAR(10)," "), FIND(CHAR(10),tblShipments[[#This Row],[Details]])+1, 50)), 10)</f>
        <v>0589043838</v>
      </c>
      <c r="E287" t="s">
        <v>1299</v>
      </c>
      <c r="F28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7" t="str">
        <f>IF(tblShipments[[#This Row],[EGM no]]="", "Missing EGM", "EGM Submitted")</f>
        <v>EGM Submitted</v>
      </c>
      <c r="H287" t="str">
        <f>IF(OR(ISNUMBER(SEARCH("Released",tblShipments[[#This Row],[ROSL]])),
      ISNUMBER(SEARCH("Scroll",tblShipments[[#This Row],[ROSL]])),
      ISNUMBER(SEARCH("Y",tblShipments[[#This Row],[ROSL]]))),
   "Released",
   "Not Released")</f>
        <v>Released</v>
      </c>
      <c r="I287" t="str">
        <f>IF(OR(tblShipments[[#This Row],[EGM no]]="", tblShipments[[#This Row],[EGM no]]="N.A."), "Not Submitted", "Submitted")</f>
        <v>Submitted</v>
      </c>
      <c r="J287" t="str">
        <f>IF(LEFT(tblShipments[[#This Row],[Gateway_Extracted]],2)="IN","Valid","Invalid")</f>
        <v>Valid</v>
      </c>
      <c r="K287" t="s">
        <v>1300</v>
      </c>
      <c r="L287" t="s">
        <v>1301</v>
      </c>
      <c r="M287" t="s">
        <v>13</v>
      </c>
      <c r="N287" t="s">
        <v>1302</v>
      </c>
      <c r="O287" t="str">
        <f>IFERROR("IN" &amp; _xlfn.TEXTBEFORE(_xlfn.TEXTAFTER(UPPER(tblShipments[[#This Row],[Gateway_clean]]),"IN")," ",1),"")</f>
        <v>INNSA1</v>
      </c>
      <c r="P287" t="str">
        <f>SUBSTITUTE(tblShipments[[#This Row],[Gateway]], CHAR(10), " ")</f>
        <v xml:space="preserve">AWB No. Gateway Port Gateway EGM No. Gateway EGM Date Gateway Site ID Error Code N.A.  INNSA1  139557  2017-11-27 00:00:00.0  INNSA1  S </v>
      </c>
      <c r="Q287" t="s">
        <v>1303</v>
      </c>
    </row>
    <row r="288" spans="1:17" x14ac:dyDescent="0.35">
      <c r="A288" t="s">
        <v>8</v>
      </c>
      <c r="B288">
        <v>1192194</v>
      </c>
      <c r="C288" s="2" t="s">
        <v>1298</v>
      </c>
      <c r="D288" s="2" t="str">
        <f>LEFT(TRIM(MID(SUBSTITUTE(tblShipments[[#This Row],[Details]],CHAR(10)," "), FIND(CHAR(10),tblShipments[[#This Row],[Details]])+1, 50)), 10)</f>
        <v>0507051360</v>
      </c>
      <c r="E288" t="s">
        <v>1304</v>
      </c>
      <c r="F28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8" t="str">
        <f>IF(tblShipments[[#This Row],[EGM no]]="", "Missing EGM", "EGM Submitted")</f>
        <v>EGM Submitted</v>
      </c>
      <c r="H288" t="str">
        <f>IF(OR(ISNUMBER(SEARCH("Released",tblShipments[[#This Row],[ROSL]])),
      ISNUMBER(SEARCH("Scroll",tblShipments[[#This Row],[ROSL]])),
      ISNUMBER(SEARCH("Y",tblShipments[[#This Row],[ROSL]]))),
   "Released",
   "Not Released")</f>
        <v>Released</v>
      </c>
      <c r="I288" t="str">
        <f>IF(OR(tblShipments[[#This Row],[EGM no]]="", tblShipments[[#This Row],[EGM no]]="N.A."), "Not Submitted", "Submitted")</f>
        <v>Submitted</v>
      </c>
      <c r="J288" t="str">
        <f>IF(LEFT(tblShipments[[#This Row],[Gateway_Extracted]],2)="IN","Valid","Invalid")</f>
        <v>Valid</v>
      </c>
      <c r="K288" t="s">
        <v>1305</v>
      </c>
      <c r="L288" t="s">
        <v>1306</v>
      </c>
      <c r="M288" t="s">
        <v>13</v>
      </c>
      <c r="N288" t="s">
        <v>1307</v>
      </c>
      <c r="O288" t="str">
        <f>IFERROR("IN" &amp; _xlfn.TEXTBEFORE(_xlfn.TEXTAFTER(UPPER(tblShipments[[#This Row],[Gateway_clean]]),"IN")," ",1),"")</f>
        <v>INNSA1</v>
      </c>
      <c r="P288" t="str">
        <f>SUBSTITUTE(tblShipments[[#This Row],[Gateway]], CHAR(10), " ")</f>
        <v xml:space="preserve">AWB No. Gateway Port Gateway EGM No. Gateway EGM Date Gateway Site ID Error Code N.A.  INNSA1  139647  2017-11-28 00:00:00.0  INNSA1  S </v>
      </c>
      <c r="Q288" t="s">
        <v>1308</v>
      </c>
    </row>
    <row r="289" spans="1:17" x14ac:dyDescent="0.35">
      <c r="A289" t="s">
        <v>8</v>
      </c>
      <c r="B289">
        <v>1197442</v>
      </c>
      <c r="C289" s="2" t="s">
        <v>1298</v>
      </c>
      <c r="D289" s="2" t="str">
        <f>LEFT(TRIM(MID(SUBSTITUTE(tblShipments[[#This Row],[Details]],CHAR(10)," "), FIND(CHAR(10),tblShipments[[#This Row],[Details]])+1, 50)), 10)</f>
        <v>0592006832</v>
      </c>
      <c r="E289" t="s">
        <v>1309</v>
      </c>
      <c r="F28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89" t="str">
        <f>IF(tblShipments[[#This Row],[EGM no]]="", "Missing EGM", "EGM Submitted")</f>
        <v>EGM Submitted</v>
      </c>
      <c r="H289" t="str">
        <f>IF(OR(ISNUMBER(SEARCH("Released",tblShipments[[#This Row],[ROSL]])),
      ISNUMBER(SEARCH("Scroll",tblShipments[[#This Row],[ROSL]])),
      ISNUMBER(SEARCH("Y",tblShipments[[#This Row],[ROSL]]))),
   "Released",
   "Not Released")</f>
        <v>Released</v>
      </c>
      <c r="I289" t="str">
        <f>IF(OR(tblShipments[[#This Row],[EGM no]]="", tblShipments[[#This Row],[EGM no]]="N.A."), "Not Submitted", "Submitted")</f>
        <v>Submitted</v>
      </c>
      <c r="J289" t="str">
        <f>IF(LEFT(tblShipments[[#This Row],[Gateway_Extracted]],2)="IN","Valid","Invalid")</f>
        <v>Valid</v>
      </c>
      <c r="K289" t="s">
        <v>1310</v>
      </c>
      <c r="L289" t="s">
        <v>1311</v>
      </c>
      <c r="M289" t="s">
        <v>31</v>
      </c>
      <c r="N289" t="s">
        <v>1312</v>
      </c>
      <c r="O289" t="str">
        <f>IFERROR("IN" &amp; _xlfn.TEXTBEFORE(_xlfn.TEXTAFTER(UPPER(tblShipments[[#This Row],[Gateway_clean]]),"IN")," ",1),"")</f>
        <v>INNSA1</v>
      </c>
      <c r="P289" t="str">
        <f>SUBSTITUTE(tblShipments[[#This Row],[Gateway]], CHAR(10), " ")</f>
        <v xml:space="preserve">AWB No. Gateway Port Gateway EGM No. Gateway EGM Date Gateway Site ID Error Code N.A.  INNSA1  139757  2017-11-29 00:00:00.0  INNSA1  S </v>
      </c>
      <c r="Q289" t="s">
        <v>1313</v>
      </c>
    </row>
    <row r="290" spans="1:17" x14ac:dyDescent="0.35">
      <c r="A290" t="s">
        <v>8</v>
      </c>
      <c r="B290">
        <v>1206147</v>
      </c>
      <c r="C290" s="2" t="s">
        <v>1314</v>
      </c>
      <c r="D290" s="2" t="str">
        <f>LEFT(TRIM(MID(SUBSTITUTE(tblShipments[[#This Row],[Details]],CHAR(10)," "), FIND(CHAR(10),tblShipments[[#This Row],[Details]])+1, 50)), 10)</f>
        <v>0510019439</v>
      </c>
      <c r="E290" t="s">
        <v>1315</v>
      </c>
      <c r="F29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0" t="str">
        <f>IF(tblShipments[[#This Row],[EGM no]]="", "Missing EGM", "EGM Submitted")</f>
        <v>EGM Submitted</v>
      </c>
      <c r="H290" t="str">
        <f>IF(OR(ISNUMBER(SEARCH("Released",tblShipments[[#This Row],[ROSL]])),
      ISNUMBER(SEARCH("Scroll",tblShipments[[#This Row],[ROSL]])),
      ISNUMBER(SEARCH("Y",tblShipments[[#This Row],[ROSL]]))),
   "Released",
   "Not Released")</f>
        <v>Released</v>
      </c>
      <c r="I290" t="str">
        <f>IF(OR(tblShipments[[#This Row],[EGM no]]="", tblShipments[[#This Row],[EGM no]]="N.A."), "Not Submitted", "Submitted")</f>
        <v>Submitted</v>
      </c>
      <c r="J290" t="str">
        <f>IF(LEFT(tblShipments[[#This Row],[Gateway_Extracted]],2)="IN","Valid","Invalid")</f>
        <v>Valid</v>
      </c>
      <c r="K290" t="s">
        <v>1316</v>
      </c>
      <c r="L290" t="s">
        <v>1317</v>
      </c>
      <c r="M290" t="s">
        <v>31</v>
      </c>
      <c r="N290" t="s">
        <v>1318</v>
      </c>
      <c r="O290" t="str">
        <f>IFERROR("IN" &amp; _xlfn.TEXTBEFORE(_xlfn.TEXTAFTER(UPPER(tblShipments[[#This Row],[Gateway_clean]]),"IN")," ",1),"")</f>
        <v>INMUN1</v>
      </c>
      <c r="P290" t="str">
        <f>SUBSTITUTE(tblShipments[[#This Row],[Gateway]], CHAR(10), " ")</f>
        <v xml:space="preserve">AWB No. Gateway Port Gateway EGM No. Gateway EGM Date Gateway Site ID Error Code N.A.  INMUN1  141045  2017-12-20 00:00:00.0  INMUN1  S </v>
      </c>
      <c r="Q290" t="s">
        <v>1319</v>
      </c>
    </row>
    <row r="291" spans="1:17" x14ac:dyDescent="0.35">
      <c r="A291" t="s">
        <v>8</v>
      </c>
      <c r="B291">
        <v>1220745</v>
      </c>
      <c r="C291" s="2" t="s">
        <v>1314</v>
      </c>
      <c r="D291" s="2" t="str">
        <f>LEFT(TRIM(MID(SUBSTITUTE(tblShipments[[#This Row],[Details]],CHAR(10)," "), FIND(CHAR(10),tblShipments[[#This Row],[Details]])+1, 50)), 10)</f>
        <v>0515933520</v>
      </c>
      <c r="E291" t="s">
        <v>1320</v>
      </c>
      <c r="F29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1" t="str">
        <f>IF(tblShipments[[#This Row],[EGM no]]="", "Missing EGM", "EGM Submitted")</f>
        <v>EGM Submitted</v>
      </c>
      <c r="H291" t="str">
        <f>IF(OR(ISNUMBER(SEARCH("Released",tblShipments[[#This Row],[ROSL]])),
      ISNUMBER(SEARCH("Scroll",tblShipments[[#This Row],[ROSL]])),
      ISNUMBER(SEARCH("Y",tblShipments[[#This Row],[ROSL]]))),
   "Released",
   "Not Released")</f>
        <v>Released</v>
      </c>
      <c r="I291" t="str">
        <f>IF(OR(tblShipments[[#This Row],[EGM no]]="", tblShipments[[#This Row],[EGM no]]="N.A."), "Not Submitted", "Submitted")</f>
        <v>Submitted</v>
      </c>
      <c r="J291" t="str">
        <f>IF(LEFT(tblShipments[[#This Row],[Gateway_Extracted]],2)="IN","Valid","Invalid")</f>
        <v>Valid</v>
      </c>
      <c r="K291" t="s">
        <v>1321</v>
      </c>
      <c r="L291" t="s">
        <v>1322</v>
      </c>
      <c r="M291" t="s">
        <v>13</v>
      </c>
      <c r="N291" t="s">
        <v>1323</v>
      </c>
      <c r="O291" t="str">
        <f>IFERROR("IN" &amp; _xlfn.TEXTBEFORE(_xlfn.TEXTAFTER(UPPER(tblShipments[[#This Row],[Gateway_clean]]),"IN")," ",1),"")</f>
        <v>INNSA1</v>
      </c>
      <c r="P291" t="str">
        <f>SUBSTITUTE(tblShipments[[#This Row],[Gateway]], CHAR(10), " ")</f>
        <v xml:space="preserve">AWB No. Gateway Port Gateway EGM No. Gateway EGM Date Gateway Site ID Error Code N.A.  INNSA1  138234  2017-11-06 00:00:00.0  INNSA1  S </v>
      </c>
      <c r="Q291" t="s">
        <v>1324</v>
      </c>
    </row>
    <row r="292" spans="1:17" x14ac:dyDescent="0.35">
      <c r="A292" t="s">
        <v>8</v>
      </c>
      <c r="B292">
        <v>1223298</v>
      </c>
      <c r="C292" s="2" t="s">
        <v>1314</v>
      </c>
      <c r="D292" s="2" t="str">
        <f>LEFT(TRIM(MID(SUBSTITUTE(tblShipments[[#This Row],[Details]],CHAR(10)," "), FIND(CHAR(10),tblShipments[[#This Row],[Details]])+1, 50)), 10)</f>
        <v>0514078901</v>
      </c>
      <c r="E292" t="s">
        <v>1325</v>
      </c>
      <c r="F29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2" t="str">
        <f>IF(tblShipments[[#This Row],[EGM no]]="", "Missing EGM", "EGM Submitted")</f>
        <v>EGM Submitted</v>
      </c>
      <c r="H292" t="str">
        <f>IF(OR(ISNUMBER(SEARCH("Released",tblShipments[[#This Row],[ROSL]])),
      ISNUMBER(SEARCH("Scroll",tblShipments[[#This Row],[ROSL]])),
      ISNUMBER(SEARCH("Y",tblShipments[[#This Row],[ROSL]]))),
   "Released",
   "Not Released")</f>
        <v>Released</v>
      </c>
      <c r="I292" t="str">
        <f>IF(OR(tblShipments[[#This Row],[EGM no]]="", tblShipments[[#This Row],[EGM no]]="N.A."), "Not Submitted", "Submitted")</f>
        <v>Submitted</v>
      </c>
      <c r="J292" t="str">
        <f>IF(LEFT(tblShipments[[#This Row],[Gateway_Extracted]],2)="IN","Valid","Invalid")</f>
        <v>Valid</v>
      </c>
      <c r="K292" t="s">
        <v>1326</v>
      </c>
      <c r="L292" t="s">
        <v>1327</v>
      </c>
      <c r="M292" t="s">
        <v>31</v>
      </c>
      <c r="N292" t="s">
        <v>1328</v>
      </c>
      <c r="O292" t="str">
        <f>IFERROR("IN" &amp; _xlfn.TEXTBEFORE(_xlfn.TEXTAFTER(UPPER(tblShipments[[#This Row],[Gateway_clean]]),"IN")," ",1),"")</f>
        <v>INNSA1</v>
      </c>
      <c r="P292" t="str">
        <f>SUBSTITUTE(tblShipments[[#This Row],[Gateway]], CHAR(10), " ")</f>
        <v xml:space="preserve">AWB No. Gateway Port Gateway EGM No. Gateway EGM Date Gateway Site ID Error Code N.A.  INNSA1  N.A.  N.A.  N.A.  N.A. </v>
      </c>
      <c r="Q292" t="s">
        <v>26</v>
      </c>
    </row>
    <row r="293" spans="1:17" x14ac:dyDescent="0.35">
      <c r="A293" t="s">
        <v>8</v>
      </c>
      <c r="B293">
        <v>1223301</v>
      </c>
      <c r="C293" s="2" t="s">
        <v>1314</v>
      </c>
      <c r="D293" s="2" t="str">
        <f>LEFT(TRIM(MID(SUBSTITUTE(tblShipments[[#This Row],[Details]],CHAR(10)," "), FIND(CHAR(10),tblShipments[[#This Row],[Details]])+1, 50)), 10)</f>
        <v>0514078901</v>
      </c>
      <c r="E293" t="s">
        <v>1329</v>
      </c>
      <c r="F29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3" t="str">
        <f>IF(tblShipments[[#This Row],[EGM no]]="", "Missing EGM", "EGM Submitted")</f>
        <v>EGM Submitted</v>
      </c>
      <c r="H293" t="str">
        <f>IF(OR(ISNUMBER(SEARCH("Released",tblShipments[[#This Row],[ROSL]])),
      ISNUMBER(SEARCH("Scroll",tblShipments[[#This Row],[ROSL]])),
      ISNUMBER(SEARCH("Y",tblShipments[[#This Row],[ROSL]]))),
   "Released",
   "Not Released")</f>
        <v>Released</v>
      </c>
      <c r="I293" t="str">
        <f>IF(OR(tblShipments[[#This Row],[EGM no]]="", tblShipments[[#This Row],[EGM no]]="N.A."), "Not Submitted", "Submitted")</f>
        <v>Submitted</v>
      </c>
      <c r="J293" t="str">
        <f>IF(LEFT(tblShipments[[#This Row],[Gateway_Extracted]],2)="IN","Valid","Invalid")</f>
        <v>Valid</v>
      </c>
      <c r="K293" t="s">
        <v>1326</v>
      </c>
      <c r="L293" t="s">
        <v>1327</v>
      </c>
      <c r="M293" t="s">
        <v>31</v>
      </c>
      <c r="N293" t="s">
        <v>1330</v>
      </c>
      <c r="O293" t="str">
        <f>IFERROR("IN" &amp; _xlfn.TEXTBEFORE(_xlfn.TEXTAFTER(UPPER(tblShipments[[#This Row],[Gateway_clean]]),"IN")," ",1),"")</f>
        <v>INNSA1</v>
      </c>
      <c r="P293" t="str">
        <f>SUBSTITUTE(tblShipments[[#This Row],[Gateway]], CHAR(10), " ")</f>
        <v xml:space="preserve">AWB No. Gateway Port Gateway EGM No. Gateway EGM Date Gateway Site ID Error Code N.A.  INNSA1  N.A.  N.A.  N.A.  N.A. </v>
      </c>
      <c r="Q293" t="s">
        <v>26</v>
      </c>
    </row>
    <row r="294" spans="1:17" x14ac:dyDescent="0.35">
      <c r="A294" t="s">
        <v>8</v>
      </c>
      <c r="B294">
        <v>1223387</v>
      </c>
      <c r="C294" s="2" t="s">
        <v>1314</v>
      </c>
      <c r="D294" s="2" t="str">
        <f>LEFT(TRIM(MID(SUBSTITUTE(tblShipments[[#This Row],[Details]],CHAR(10)," "), FIND(CHAR(10),tblShipments[[#This Row],[Details]])+1, 50)), 10)</f>
        <v>0511068212</v>
      </c>
      <c r="E294" t="s">
        <v>1331</v>
      </c>
      <c r="F29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4" t="str">
        <f>IF(tblShipments[[#This Row],[EGM no]]="", "Missing EGM", "EGM Submitted")</f>
        <v>EGM Submitted</v>
      </c>
      <c r="H294" t="str">
        <f>IF(OR(ISNUMBER(SEARCH("Released",tblShipments[[#This Row],[ROSL]])),
      ISNUMBER(SEARCH("Scroll",tblShipments[[#This Row],[ROSL]])),
      ISNUMBER(SEARCH("Y",tblShipments[[#This Row],[ROSL]]))),
   "Released",
   "Not Released")</f>
        <v>Released</v>
      </c>
      <c r="I294" t="str">
        <f>IF(OR(tblShipments[[#This Row],[EGM no]]="", tblShipments[[#This Row],[EGM no]]="N.A."), "Not Submitted", "Submitted")</f>
        <v>Submitted</v>
      </c>
      <c r="J294" t="str">
        <f>IF(LEFT(tblShipments[[#This Row],[Gateway_Extracted]],2)="IN","Valid","Invalid")</f>
        <v>Valid</v>
      </c>
      <c r="K294" t="s">
        <v>1332</v>
      </c>
      <c r="L294" t="s">
        <v>1333</v>
      </c>
      <c r="M294" t="s">
        <v>13</v>
      </c>
      <c r="N294" t="s">
        <v>1334</v>
      </c>
      <c r="O294" t="str">
        <f>IFERROR("IN" &amp; _xlfn.TEXTBEFORE(_xlfn.TEXTAFTER(UPPER(tblShipments[[#This Row],[Gateway_clean]]),"IN")," ",1),"")</f>
        <v>INNSA1</v>
      </c>
      <c r="P294" t="str">
        <f>SUBSTITUTE(tblShipments[[#This Row],[Gateway]], CHAR(10), " ")</f>
        <v xml:space="preserve">AWB No. Gateway Port Gateway EGM No. Gateway EGM Date Gateway Site ID Error Code N.A.  INNSA1  139773  2017-11-29 00:00:00.0  INNSA1  S </v>
      </c>
      <c r="Q294" t="s">
        <v>1335</v>
      </c>
    </row>
    <row r="295" spans="1:17" x14ac:dyDescent="0.35">
      <c r="A295" t="s">
        <v>8</v>
      </c>
      <c r="B295">
        <v>1235474</v>
      </c>
      <c r="C295" s="2" t="s">
        <v>1336</v>
      </c>
      <c r="D295" s="2" t="str">
        <f>LEFT(TRIM(MID(SUBSTITUTE(tblShipments[[#This Row],[Details]],CHAR(10)," "), FIND(CHAR(10),tblShipments[[#This Row],[Details]])+1, 50)), 10)</f>
        <v>3393002155</v>
      </c>
      <c r="E295" t="s">
        <v>1337</v>
      </c>
      <c r="F29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5" t="str">
        <f>IF(tblShipments[[#This Row],[EGM no]]="", "Missing EGM", "EGM Submitted")</f>
        <v>EGM Submitted</v>
      </c>
      <c r="H295" t="str">
        <f>IF(OR(ISNUMBER(SEARCH("Released",tblShipments[[#This Row],[ROSL]])),
      ISNUMBER(SEARCH("Scroll",tblShipments[[#This Row],[ROSL]])),
      ISNUMBER(SEARCH("Y",tblShipments[[#This Row],[ROSL]]))),
   "Released",
   "Not Released")</f>
        <v>Released</v>
      </c>
      <c r="I295" t="str">
        <f>IF(OR(tblShipments[[#This Row],[EGM no]]="", tblShipments[[#This Row],[EGM no]]="N.A."), "Not Submitted", "Submitted")</f>
        <v>Submitted</v>
      </c>
      <c r="J295" t="str">
        <f>IF(LEFT(tblShipments[[#This Row],[Gateway_Extracted]],2)="IN","Valid","Invalid")</f>
        <v>Valid</v>
      </c>
      <c r="K295" t="s">
        <v>1338</v>
      </c>
      <c r="L295" t="s">
        <v>1339</v>
      </c>
      <c r="M295" t="s">
        <v>13</v>
      </c>
      <c r="N295" t="s">
        <v>1340</v>
      </c>
      <c r="O295" t="str">
        <f>IFERROR("IN" &amp; _xlfn.TEXTBEFORE(_xlfn.TEXTAFTER(UPPER(tblShipments[[#This Row],[Gateway_clean]]),"IN")," ",1),"")</f>
        <v>INMUN1</v>
      </c>
      <c r="P295" t="str">
        <f>SUBSTITUTE(tblShipments[[#This Row],[Gateway]], CHAR(10), " ")</f>
        <v xml:space="preserve">AWB No. Gateway Port Gateway EGM No. Gateway EGM Date Gateway Site ID Error Code N.A.  INMUN1  138172  2017-11-03 00:00:00.0  INMUN1  S </v>
      </c>
      <c r="Q295" t="s">
        <v>1341</v>
      </c>
    </row>
    <row r="296" spans="1:17" x14ac:dyDescent="0.35">
      <c r="A296" t="s">
        <v>8</v>
      </c>
      <c r="B296">
        <v>1247813</v>
      </c>
      <c r="C296" s="2" t="s">
        <v>1336</v>
      </c>
      <c r="D296" s="2" t="str">
        <f>LEFT(TRIM(MID(SUBSTITUTE(tblShipments[[#This Row],[Details]],CHAR(10)," "), FIND(CHAR(10),tblShipments[[#This Row],[Details]])+1, 50)), 10)</f>
        <v>3003005391</v>
      </c>
      <c r="E296" t="s">
        <v>1342</v>
      </c>
      <c r="F29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6" t="str">
        <f>IF(tblShipments[[#This Row],[EGM no]]="", "Missing EGM", "EGM Submitted")</f>
        <v>EGM Submitted</v>
      </c>
      <c r="H296" t="str">
        <f>IF(OR(ISNUMBER(SEARCH("Released",tblShipments[[#This Row],[ROSL]])),
      ISNUMBER(SEARCH("Scroll",tblShipments[[#This Row],[ROSL]])),
      ISNUMBER(SEARCH("Y",tblShipments[[#This Row],[ROSL]]))),
   "Released",
   "Not Released")</f>
        <v>Released</v>
      </c>
      <c r="I296" t="str">
        <f>IF(OR(tblShipments[[#This Row],[EGM no]]="", tblShipments[[#This Row],[EGM no]]="N.A."), "Not Submitted", "Submitted")</f>
        <v>Submitted</v>
      </c>
      <c r="J296" t="str">
        <f>IF(LEFT(tblShipments[[#This Row],[Gateway_Extracted]],2)="IN","Valid","Invalid")</f>
        <v>Valid</v>
      </c>
      <c r="K296" t="s">
        <v>1343</v>
      </c>
      <c r="L296" t="s">
        <v>1344</v>
      </c>
      <c r="M296" t="s">
        <v>13</v>
      </c>
      <c r="N296" t="s">
        <v>1345</v>
      </c>
      <c r="O296" t="str">
        <f>IFERROR("IN" &amp; _xlfn.TEXTBEFORE(_xlfn.TEXTAFTER(UPPER(tblShipments[[#This Row],[Gateway_clean]]),"IN")," ",1),"")</f>
        <v>INPAV1</v>
      </c>
      <c r="P296" t="str">
        <f>SUBSTITUTE(tblShipments[[#This Row],[Gateway]], CHAR(10), " ")</f>
        <v xml:space="preserve">AWB No. Gateway Port Gateway EGM No. Gateway EGM Date Gateway Site ID Error Code N.A.  INPAV1  139653  2017-11-28 00:00:00.0  INPAV1  S </v>
      </c>
      <c r="Q296" t="s">
        <v>1346</v>
      </c>
    </row>
    <row r="297" spans="1:17" x14ac:dyDescent="0.35">
      <c r="A297" t="s">
        <v>8</v>
      </c>
      <c r="B297">
        <v>1249499</v>
      </c>
      <c r="C297" s="2" t="s">
        <v>1336</v>
      </c>
      <c r="D297" s="2" t="str">
        <f>LEFT(TRIM(MID(SUBSTITUTE(tblShipments[[#This Row],[Details]],CHAR(10)," "), FIND(CHAR(10),tblShipments[[#This Row],[Details]])+1, 50)), 10)</f>
        <v>0500075158</v>
      </c>
      <c r="E297" t="s">
        <v>1347</v>
      </c>
      <c r="F29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7" t="str">
        <f>IF(tblShipments[[#This Row],[EGM no]]="", "Missing EGM", "EGM Submitted")</f>
        <v>EGM Submitted</v>
      </c>
      <c r="H297" t="str">
        <f>IF(OR(ISNUMBER(SEARCH("Released",tblShipments[[#This Row],[ROSL]])),
      ISNUMBER(SEARCH("Scroll",tblShipments[[#This Row],[ROSL]])),
      ISNUMBER(SEARCH("Y",tblShipments[[#This Row],[ROSL]]))),
   "Released",
   "Not Released")</f>
        <v>Released</v>
      </c>
      <c r="I297" t="str">
        <f>IF(OR(tblShipments[[#This Row],[EGM no]]="", tblShipments[[#This Row],[EGM no]]="N.A."), "Not Submitted", "Submitted")</f>
        <v>Submitted</v>
      </c>
      <c r="J297" t="str">
        <f>IF(LEFT(tblShipments[[#This Row],[Gateway_Extracted]],2)="IN","Valid","Invalid")</f>
        <v>Valid</v>
      </c>
      <c r="K297" t="s">
        <v>1343</v>
      </c>
      <c r="L297" t="s">
        <v>1348</v>
      </c>
      <c r="M297" t="s">
        <v>1349</v>
      </c>
      <c r="N297" t="s">
        <v>1350</v>
      </c>
      <c r="O297" t="str">
        <f>IFERROR("IN" &amp; _xlfn.TEXTBEFORE(_xlfn.TEXTAFTER(UPPER(tblShipments[[#This Row],[Gateway_clean]]),"IN")," ",1),"")</f>
        <v>INMUN1</v>
      </c>
      <c r="P297" t="str">
        <f>SUBSTITUTE(tblShipments[[#This Row],[Gateway]], CHAR(10), " ")</f>
        <v xml:space="preserve">AWB No. Gateway Port Gateway EGM No. Gateway EGM Date Gateway Site ID Error Code N.A.  INMUN1  138172  2017-11-03 00:00:00.0  INMUN1  S </v>
      </c>
      <c r="Q297" t="s">
        <v>1341</v>
      </c>
    </row>
    <row r="298" spans="1:17" x14ac:dyDescent="0.35">
      <c r="A298" t="s">
        <v>8</v>
      </c>
      <c r="B298">
        <v>1249514</v>
      </c>
      <c r="C298" s="2" t="s">
        <v>1336</v>
      </c>
      <c r="D298" s="2" t="str">
        <f>LEFT(TRIM(MID(SUBSTITUTE(tblShipments[[#This Row],[Details]],CHAR(10)," "), FIND(CHAR(10),tblShipments[[#This Row],[Details]])+1, 50)), 10)</f>
        <v>0500075158</v>
      </c>
      <c r="E298" t="s">
        <v>1351</v>
      </c>
      <c r="F29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8" t="str">
        <f>IF(tblShipments[[#This Row],[EGM no]]="", "Missing EGM", "EGM Submitted")</f>
        <v>EGM Submitted</v>
      </c>
      <c r="H298" t="str">
        <f>IF(OR(ISNUMBER(SEARCH("Released",tblShipments[[#This Row],[ROSL]])),
      ISNUMBER(SEARCH("Scroll",tblShipments[[#This Row],[ROSL]])),
      ISNUMBER(SEARCH("Y",tblShipments[[#This Row],[ROSL]]))),
   "Released",
   "Not Released")</f>
        <v>Released</v>
      </c>
      <c r="I298" t="str">
        <f>IF(OR(tblShipments[[#This Row],[EGM no]]="", tblShipments[[#This Row],[EGM no]]="N.A."), "Not Submitted", "Submitted")</f>
        <v>Submitted</v>
      </c>
      <c r="J298" t="str">
        <f>IF(LEFT(tblShipments[[#This Row],[Gateway_Extracted]],2)="IN","Valid","Invalid")</f>
        <v>Valid</v>
      </c>
      <c r="K298" t="s">
        <v>1343</v>
      </c>
      <c r="L298" t="s">
        <v>1348</v>
      </c>
      <c r="M298" t="s">
        <v>1352</v>
      </c>
      <c r="N298" t="s">
        <v>1353</v>
      </c>
      <c r="O298" t="str">
        <f>IFERROR("IN" &amp; _xlfn.TEXTBEFORE(_xlfn.TEXTAFTER(UPPER(tblShipments[[#This Row],[Gateway_clean]]),"IN")," ",1),"")</f>
        <v>INMUN1</v>
      </c>
      <c r="P298" t="str">
        <f>SUBSTITUTE(tblShipments[[#This Row],[Gateway]], CHAR(10), " ")</f>
        <v xml:space="preserve">AWB No. Gateway Port Gateway EGM No. Gateway EGM Date Gateway Site ID Error Code N.A.  INMUN1  138172  2017-11-03 00:00:00.0  INMUN1  S </v>
      </c>
      <c r="Q298" t="s">
        <v>1341</v>
      </c>
    </row>
    <row r="299" spans="1:17" x14ac:dyDescent="0.35">
      <c r="A299" t="s">
        <v>8</v>
      </c>
      <c r="B299">
        <v>1252402</v>
      </c>
      <c r="C299" s="2" t="s">
        <v>1336</v>
      </c>
      <c r="D299" s="2" t="str">
        <f>LEFT(TRIM(MID(SUBSTITUTE(tblShipments[[#This Row],[Details]],CHAR(10)," "), FIND(CHAR(10),tblShipments[[#This Row],[Details]])+1, 50)), 10)</f>
        <v>0509003061</v>
      </c>
      <c r="E299" t="s">
        <v>1354</v>
      </c>
      <c r="F29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299" t="str">
        <f>IF(tblShipments[[#This Row],[EGM no]]="", "Missing EGM", "EGM Submitted")</f>
        <v>EGM Submitted</v>
      </c>
      <c r="H299" t="str">
        <f>IF(OR(ISNUMBER(SEARCH("Released",tblShipments[[#This Row],[ROSL]])),
      ISNUMBER(SEARCH("Scroll",tblShipments[[#This Row],[ROSL]])),
      ISNUMBER(SEARCH("Y",tblShipments[[#This Row],[ROSL]]))),
   "Released",
   "Not Released")</f>
        <v>Released</v>
      </c>
      <c r="I299" t="str">
        <f>IF(OR(tblShipments[[#This Row],[EGM no]]="", tblShipments[[#This Row],[EGM no]]="N.A."), "Not Submitted", "Submitted")</f>
        <v>Submitted</v>
      </c>
      <c r="J299" t="str">
        <f>IF(LEFT(tblShipments[[#This Row],[Gateway_Extracted]],2)="IN","Valid","Invalid")</f>
        <v>Valid</v>
      </c>
      <c r="K299" t="s">
        <v>1355</v>
      </c>
      <c r="L299" t="s">
        <v>1356</v>
      </c>
      <c r="M299" t="s">
        <v>13</v>
      </c>
      <c r="N299" t="s">
        <v>1357</v>
      </c>
      <c r="O299" t="str">
        <f>IFERROR("IN" &amp; _xlfn.TEXTBEFORE(_xlfn.TEXTAFTER(UPPER(tblShipments[[#This Row],[Gateway_clean]]),"IN")," ",1),"")</f>
        <v>INMUN1</v>
      </c>
      <c r="P299" t="str">
        <f>SUBSTITUTE(tblShipments[[#This Row],[Gateway]], CHAR(10), " ")</f>
        <v xml:space="preserve">AWB No. Gateway Port Gateway EGM No. Gateway EGM Date Gateway Site ID Error Code N.A.  INMUN1  138681  2017-11-13 00:00:00.0  INMUN1  S </v>
      </c>
      <c r="Q299" t="s">
        <v>1358</v>
      </c>
    </row>
    <row r="300" spans="1:17" x14ac:dyDescent="0.35">
      <c r="A300" t="s">
        <v>8</v>
      </c>
      <c r="B300">
        <v>1254519</v>
      </c>
      <c r="C300" s="2" t="s">
        <v>1336</v>
      </c>
      <c r="D300" s="2" t="str">
        <f>LEFT(TRIM(MID(SUBSTITUTE(tblShipments[[#This Row],[Details]],CHAR(10)," "), FIND(CHAR(10),tblShipments[[#This Row],[Details]])+1, 50)), 10)</f>
        <v>0509003061</v>
      </c>
      <c r="E300" t="s">
        <v>1359</v>
      </c>
      <c r="F30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0" t="str">
        <f>IF(tblShipments[[#This Row],[EGM no]]="", "Missing EGM", "EGM Submitted")</f>
        <v>EGM Submitted</v>
      </c>
      <c r="H300" t="str">
        <f>IF(OR(ISNUMBER(SEARCH("Released",tblShipments[[#This Row],[ROSL]])),
      ISNUMBER(SEARCH("Scroll",tblShipments[[#This Row],[ROSL]])),
      ISNUMBER(SEARCH("Y",tblShipments[[#This Row],[ROSL]]))),
   "Released",
   "Not Released")</f>
        <v>Released</v>
      </c>
      <c r="I300" t="str">
        <f>IF(OR(tblShipments[[#This Row],[EGM no]]="", tblShipments[[#This Row],[EGM no]]="N.A."), "Not Submitted", "Submitted")</f>
        <v>Submitted</v>
      </c>
      <c r="J300" t="str">
        <f>IF(LEFT(tblShipments[[#This Row],[Gateway_Extracted]],2)="IN","Valid","Invalid")</f>
        <v>Valid</v>
      </c>
      <c r="K300" t="s">
        <v>1360</v>
      </c>
      <c r="L300" t="s">
        <v>1356</v>
      </c>
      <c r="M300" t="s">
        <v>13</v>
      </c>
      <c r="N300" t="s">
        <v>1361</v>
      </c>
      <c r="O300" t="str">
        <f>IFERROR("IN" &amp; _xlfn.TEXTBEFORE(_xlfn.TEXTAFTER(UPPER(tblShipments[[#This Row],[Gateway_clean]]),"IN")," ",1),"")</f>
        <v>INMUN1</v>
      </c>
      <c r="P300" t="str">
        <f>SUBSTITUTE(tblShipments[[#This Row],[Gateway]], CHAR(10), " ")</f>
        <v xml:space="preserve">AWB No. Gateway Port Gateway EGM No. Gateway EGM Date Gateway Site ID Error Code N.A.  INMUN1  138991  2017-11-17 00:00:00.0  INMUN1  S </v>
      </c>
      <c r="Q300" t="s">
        <v>1362</v>
      </c>
    </row>
    <row r="301" spans="1:17" x14ac:dyDescent="0.35">
      <c r="A301" t="s">
        <v>8</v>
      </c>
      <c r="B301">
        <v>1254838</v>
      </c>
      <c r="C301" s="2" t="s">
        <v>1336</v>
      </c>
      <c r="D301" s="2" t="str">
        <f>LEFT(TRIM(MID(SUBSTITUTE(tblShipments[[#This Row],[Details]],CHAR(10)," "), FIND(CHAR(10),tblShipments[[#This Row],[Details]])+1, 50)), 10)</f>
        <v>0512064172</v>
      </c>
      <c r="E301" t="s">
        <v>1363</v>
      </c>
      <c r="F30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1" t="str">
        <f>IF(tblShipments[[#This Row],[EGM no]]="", "Missing EGM", "EGM Submitted")</f>
        <v>EGM Submitted</v>
      </c>
      <c r="H301" t="str">
        <f>IF(OR(ISNUMBER(SEARCH("Released",tblShipments[[#This Row],[ROSL]])),
      ISNUMBER(SEARCH("Scroll",tblShipments[[#This Row],[ROSL]])),
      ISNUMBER(SEARCH("Y",tblShipments[[#This Row],[ROSL]]))),
   "Released",
   "Not Released")</f>
        <v>Released</v>
      </c>
      <c r="I301" t="str">
        <f>IF(OR(tblShipments[[#This Row],[EGM no]]="", tblShipments[[#This Row],[EGM no]]="N.A."), "Not Submitted", "Submitted")</f>
        <v>Submitted</v>
      </c>
      <c r="J301" t="str">
        <f>IF(LEFT(tblShipments[[#This Row],[Gateway_Extracted]],2)="IN","Valid","Invalid")</f>
        <v>Valid</v>
      </c>
      <c r="K301" t="s">
        <v>1364</v>
      </c>
      <c r="L301" t="s">
        <v>1365</v>
      </c>
      <c r="M301" t="s">
        <v>1366</v>
      </c>
      <c r="N301" t="s">
        <v>1367</v>
      </c>
      <c r="O301" t="str">
        <f>IFERROR("IN" &amp; _xlfn.TEXTBEFORE(_xlfn.TEXTAFTER(UPPER(tblShipments[[#This Row],[Gateway_clean]]),"IN")," ",1),"")</f>
        <v>INMUN1</v>
      </c>
      <c r="P301" t="str">
        <f>SUBSTITUTE(tblShipments[[#This Row],[Gateway]], CHAR(10), " ")</f>
        <v xml:space="preserve">AWB No. Gateway Port Gateway EGM No. Gateway EGM Date Gateway Site ID Error Code N.A.  INMUN1  140232  2017-12-07 00:00:00.0  INMUN1  S </v>
      </c>
      <c r="Q301" t="s">
        <v>1368</v>
      </c>
    </row>
    <row r="302" spans="1:17" x14ac:dyDescent="0.35">
      <c r="A302" t="s">
        <v>8</v>
      </c>
      <c r="B302">
        <v>1255601</v>
      </c>
      <c r="C302" s="2" t="s">
        <v>1336</v>
      </c>
      <c r="D302" s="2" t="str">
        <f>LEFT(TRIM(MID(SUBSTITUTE(tblShipments[[#This Row],[Details]],CHAR(10)," "), FIND(CHAR(10),tblShipments[[#This Row],[Details]])+1, 50)), 10)</f>
        <v>0513021612</v>
      </c>
      <c r="E302" t="s">
        <v>1369</v>
      </c>
      <c r="F30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2" t="str">
        <f>IF(tblShipments[[#This Row],[EGM no]]="", "Missing EGM", "EGM Submitted")</f>
        <v>EGM Submitted</v>
      </c>
      <c r="H302" t="str">
        <f>IF(OR(ISNUMBER(SEARCH("Released",tblShipments[[#This Row],[ROSL]])),
      ISNUMBER(SEARCH("Scroll",tblShipments[[#This Row],[ROSL]])),
      ISNUMBER(SEARCH("Y",tblShipments[[#This Row],[ROSL]]))),
   "Released",
   "Not Released")</f>
        <v>Released</v>
      </c>
      <c r="I302" t="str">
        <f>IF(OR(tblShipments[[#This Row],[EGM no]]="", tblShipments[[#This Row],[EGM no]]="N.A."), "Not Submitted", "Submitted")</f>
        <v>Submitted</v>
      </c>
      <c r="J302" t="str">
        <f>IF(LEFT(tblShipments[[#This Row],[Gateway_Extracted]],2)="IN","Valid","Invalid")</f>
        <v>Valid</v>
      </c>
      <c r="K302" t="s">
        <v>1364</v>
      </c>
      <c r="L302" t="s">
        <v>1370</v>
      </c>
      <c r="M302" t="s">
        <v>13</v>
      </c>
      <c r="N302" t="s">
        <v>1371</v>
      </c>
      <c r="O302" t="str">
        <f>IFERROR("IN" &amp; _xlfn.TEXTBEFORE(_xlfn.TEXTAFTER(UPPER(tblShipments[[#This Row],[Gateway_clean]]),"IN")," ",1),"")</f>
        <v>INNSA1</v>
      </c>
      <c r="P302" t="str">
        <f>SUBSTITUTE(tblShipments[[#This Row],[Gateway]], CHAR(10), " ")</f>
        <v xml:space="preserve">AWB No. Gateway Port Gateway EGM No. Gateway EGM Date Gateway Site ID Error Code N.A.  INNSA1  139792  2017-11-30 00:00:00.0  INNSA1  S </v>
      </c>
      <c r="Q302" t="s">
        <v>1372</v>
      </c>
    </row>
    <row r="303" spans="1:17" x14ac:dyDescent="0.35">
      <c r="A303" t="s">
        <v>8</v>
      </c>
      <c r="B303">
        <v>1269121</v>
      </c>
      <c r="C303" s="2" t="s">
        <v>1373</v>
      </c>
      <c r="D303" s="2" t="str">
        <f>LEFT(TRIM(MID(SUBSTITUTE(tblShipments[[#This Row],[Details]],CHAR(10)," "), FIND(CHAR(10),tblShipments[[#This Row],[Details]])+1, 50)), 10)</f>
        <v>0516526065</v>
      </c>
      <c r="E303" t="s">
        <v>1374</v>
      </c>
      <c r="F30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3" t="str">
        <f>IF(tblShipments[[#This Row],[EGM no]]="", "Missing EGM", "EGM Submitted")</f>
        <v>EGM Submitted</v>
      </c>
      <c r="H303" t="str">
        <f>IF(OR(ISNUMBER(SEARCH("Released",tblShipments[[#This Row],[ROSL]])),
      ISNUMBER(SEARCH("Scroll",tblShipments[[#This Row],[ROSL]])),
      ISNUMBER(SEARCH("Y",tblShipments[[#This Row],[ROSL]]))),
   "Released",
   "Not Released")</f>
        <v>Released</v>
      </c>
      <c r="I303" t="str">
        <f>IF(OR(tblShipments[[#This Row],[EGM no]]="", tblShipments[[#This Row],[EGM no]]="N.A."), "Not Submitted", "Submitted")</f>
        <v>Submitted</v>
      </c>
      <c r="J303" t="str">
        <f>IF(LEFT(tblShipments[[#This Row],[Gateway_Extracted]],2)="IN","Valid","Invalid")</f>
        <v>Valid</v>
      </c>
      <c r="K303" t="s">
        <v>1364</v>
      </c>
      <c r="L303" t="s">
        <v>1375</v>
      </c>
      <c r="M303" t="s">
        <v>13</v>
      </c>
      <c r="N303" t="s">
        <v>1376</v>
      </c>
      <c r="O303" t="str">
        <f>IFERROR("IN" &amp; _xlfn.TEXTBEFORE(_xlfn.TEXTAFTER(UPPER(tblShipments[[#This Row],[Gateway_clean]]),"IN")," ",1),"")</f>
        <v>INPAV1</v>
      </c>
      <c r="P303" t="str">
        <f>SUBSTITUTE(tblShipments[[#This Row],[Gateway]], CHAR(10), " ")</f>
        <v xml:space="preserve">AWB No. Gateway Port Gateway EGM No. Gateway EGM Date Gateway Site ID Error Code N.A.  INPAV1  139963  2017-12-04 00:00:00.0  INPAV1  S </v>
      </c>
      <c r="Q303" t="s">
        <v>1377</v>
      </c>
    </row>
    <row r="304" spans="1:17" x14ac:dyDescent="0.35">
      <c r="A304" t="s">
        <v>8</v>
      </c>
      <c r="B304">
        <v>1274037</v>
      </c>
      <c r="C304" s="2" t="s">
        <v>1373</v>
      </c>
      <c r="D304" s="2" t="str">
        <f>LEFT(TRIM(MID(SUBSTITUTE(tblShipments[[#This Row],[Details]],CHAR(10)," "), FIND(CHAR(10),tblShipments[[#This Row],[Details]])+1, 50)), 10)</f>
        <v>0504077104</v>
      </c>
      <c r="E304" t="s">
        <v>1378</v>
      </c>
      <c r="F30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4" t="str">
        <f>IF(tblShipments[[#This Row],[EGM no]]="", "Missing EGM", "EGM Submitted")</f>
        <v>EGM Submitted</v>
      </c>
      <c r="H304" t="str">
        <f>IF(OR(ISNUMBER(SEARCH("Released",tblShipments[[#This Row],[ROSL]])),
      ISNUMBER(SEARCH("Scroll",tblShipments[[#This Row],[ROSL]])),
      ISNUMBER(SEARCH("Y",tblShipments[[#This Row],[ROSL]]))),
   "Released",
   "Not Released")</f>
        <v>Released</v>
      </c>
      <c r="I304" t="str">
        <f>IF(OR(tblShipments[[#This Row],[EGM no]]="", tblShipments[[#This Row],[EGM no]]="N.A."), "Not Submitted", "Submitted")</f>
        <v>Submitted</v>
      </c>
      <c r="J304" t="str">
        <f>IF(LEFT(tblShipments[[#This Row],[Gateway_Extracted]],2)="IN","Valid","Invalid")</f>
        <v>Valid</v>
      </c>
      <c r="K304" t="s">
        <v>1379</v>
      </c>
      <c r="L304" t="s">
        <v>1380</v>
      </c>
      <c r="M304" t="s">
        <v>13</v>
      </c>
      <c r="N304" t="s">
        <v>1381</v>
      </c>
      <c r="O304" t="str">
        <f>IFERROR("IN" &amp; _xlfn.TEXTBEFORE(_xlfn.TEXTAFTER(UPPER(tblShipments[[#This Row],[Gateway_clean]]),"IN")," ",1),"")</f>
        <v>INMUN1</v>
      </c>
      <c r="P304" t="str">
        <f>SUBSTITUTE(tblShipments[[#This Row],[Gateway]], CHAR(10), " ")</f>
        <v xml:space="preserve">AWB No. Gateway Port Gateway EGM No. Gateway EGM Date Gateway Site ID Error Code N.A.  INMUN1  140925  2017-12-19 00:00:00.0  INMUN1  S </v>
      </c>
      <c r="Q304" t="s">
        <v>1382</v>
      </c>
    </row>
    <row r="305" spans="1:17" x14ac:dyDescent="0.35">
      <c r="A305" t="s">
        <v>8</v>
      </c>
      <c r="B305">
        <v>1277877</v>
      </c>
      <c r="C305" s="2" t="s">
        <v>1373</v>
      </c>
      <c r="D305" s="2" t="str">
        <f>LEFT(TRIM(MID(SUBSTITUTE(tblShipments[[#This Row],[Details]],CHAR(10)," "), FIND(CHAR(10),tblShipments[[#This Row],[Details]])+1, 50)), 10)</f>
        <v>0588062359</v>
      </c>
      <c r="E305" t="s">
        <v>1383</v>
      </c>
      <c r="F30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5" t="str">
        <f>IF(tblShipments[[#This Row],[EGM no]]="", "Missing EGM", "EGM Submitted")</f>
        <v>EGM Submitted</v>
      </c>
      <c r="H305" t="str">
        <f>IF(OR(ISNUMBER(SEARCH("Released",tblShipments[[#This Row],[ROSL]])),
      ISNUMBER(SEARCH("Scroll",tblShipments[[#This Row],[ROSL]])),
      ISNUMBER(SEARCH("Y",tblShipments[[#This Row],[ROSL]]))),
   "Released",
   "Not Released")</f>
        <v>Released</v>
      </c>
      <c r="I305" t="str">
        <f>IF(OR(tblShipments[[#This Row],[EGM no]]="", tblShipments[[#This Row],[EGM no]]="N.A."), "Not Submitted", "Submitted")</f>
        <v>Submitted</v>
      </c>
      <c r="J305" t="str">
        <f>IF(LEFT(tblShipments[[#This Row],[Gateway_Extracted]],2)="IN","Valid","Invalid")</f>
        <v>Valid</v>
      </c>
      <c r="K305" t="s">
        <v>1379</v>
      </c>
      <c r="L305" t="s">
        <v>1384</v>
      </c>
      <c r="M305" t="s">
        <v>1385</v>
      </c>
      <c r="N305" t="s">
        <v>1386</v>
      </c>
      <c r="O305" t="str">
        <f>IFERROR("IN" &amp; _xlfn.TEXTBEFORE(_xlfn.TEXTAFTER(UPPER(tblShipments[[#This Row],[Gateway_clean]]),"IN")," ",1),"")</f>
        <v>INNSA1</v>
      </c>
      <c r="P305" t="str">
        <f>SUBSTITUTE(tblShipments[[#This Row],[Gateway]], CHAR(10), " ")</f>
        <v xml:space="preserve">AWB No. Gateway Port Gateway EGM No. Gateway EGM Date Gateway Site ID Error Code N.A.  INNSA1  140047  2017-12-05 00:00:00.0  INNSA1  S </v>
      </c>
      <c r="Q305" t="s">
        <v>1387</v>
      </c>
    </row>
    <row r="306" spans="1:17" x14ac:dyDescent="0.35">
      <c r="A306" t="s">
        <v>8</v>
      </c>
      <c r="B306">
        <v>1277880</v>
      </c>
      <c r="C306" s="2" t="s">
        <v>1373</v>
      </c>
      <c r="D306" s="2" t="str">
        <f>LEFT(TRIM(MID(SUBSTITUTE(tblShipments[[#This Row],[Details]],CHAR(10)," "), FIND(CHAR(10),tblShipments[[#This Row],[Details]])+1, 50)), 10)</f>
        <v>0588062359</v>
      </c>
      <c r="E306" t="s">
        <v>1388</v>
      </c>
      <c r="F30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6" t="str">
        <f>IF(tblShipments[[#This Row],[EGM no]]="", "Missing EGM", "EGM Submitted")</f>
        <v>EGM Submitted</v>
      </c>
      <c r="H306" t="str">
        <f>IF(OR(ISNUMBER(SEARCH("Released",tblShipments[[#This Row],[ROSL]])),
      ISNUMBER(SEARCH("Scroll",tblShipments[[#This Row],[ROSL]])),
      ISNUMBER(SEARCH("Y",tblShipments[[#This Row],[ROSL]]))),
   "Released",
   "Not Released")</f>
        <v>Released</v>
      </c>
      <c r="I306" t="str">
        <f>IF(OR(tblShipments[[#This Row],[EGM no]]="", tblShipments[[#This Row],[EGM no]]="N.A."), "Not Submitted", "Submitted")</f>
        <v>Submitted</v>
      </c>
      <c r="J306" t="str">
        <f>IF(LEFT(tblShipments[[#This Row],[Gateway_Extracted]],2)="IN","Valid","Invalid")</f>
        <v>Valid</v>
      </c>
      <c r="K306" t="s">
        <v>1389</v>
      </c>
      <c r="L306" t="s">
        <v>1384</v>
      </c>
      <c r="M306" t="s">
        <v>1390</v>
      </c>
      <c r="N306" t="s">
        <v>1391</v>
      </c>
      <c r="O306" t="str">
        <f>IFERROR("IN" &amp; _xlfn.TEXTBEFORE(_xlfn.TEXTAFTER(UPPER(tblShipments[[#This Row],[Gateway_clean]]),"IN")," ",1),"")</f>
        <v>INNSA1</v>
      </c>
      <c r="P306" t="str">
        <f>SUBSTITUTE(tblShipments[[#This Row],[Gateway]], CHAR(10), " ")</f>
        <v xml:space="preserve">AWB No. Gateway Port Gateway EGM No. Gateway EGM Date Gateway Site ID Error Code N.A.  INNSA1  140047  2017-12-05 00:00:00.0  INNSA1  S </v>
      </c>
      <c r="Q306" t="s">
        <v>1387</v>
      </c>
    </row>
    <row r="307" spans="1:17" x14ac:dyDescent="0.35">
      <c r="A307" t="s">
        <v>8</v>
      </c>
      <c r="B307">
        <v>1277951</v>
      </c>
      <c r="C307" s="2" t="s">
        <v>1373</v>
      </c>
      <c r="D307" s="2" t="str">
        <f>LEFT(TRIM(MID(SUBSTITUTE(tblShipments[[#This Row],[Details]],CHAR(10)," "), FIND(CHAR(10),tblShipments[[#This Row],[Details]])+1, 50)), 10)</f>
        <v>0588062359</v>
      </c>
      <c r="E307" t="s">
        <v>1392</v>
      </c>
      <c r="F30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7" t="str">
        <f>IF(tblShipments[[#This Row],[EGM no]]="", "Missing EGM", "EGM Submitted")</f>
        <v>EGM Submitted</v>
      </c>
      <c r="H307" t="str">
        <f>IF(OR(ISNUMBER(SEARCH("Released",tblShipments[[#This Row],[ROSL]])),
      ISNUMBER(SEARCH("Scroll",tblShipments[[#This Row],[ROSL]])),
      ISNUMBER(SEARCH("Y",tblShipments[[#This Row],[ROSL]]))),
   "Released",
   "Not Released")</f>
        <v>Released</v>
      </c>
      <c r="I307" t="str">
        <f>IF(OR(tblShipments[[#This Row],[EGM no]]="", tblShipments[[#This Row],[EGM no]]="N.A."), "Not Submitted", "Submitted")</f>
        <v>Submitted</v>
      </c>
      <c r="J307" t="str">
        <f>IF(LEFT(tblShipments[[#This Row],[Gateway_Extracted]],2)="IN","Valid","Invalid")</f>
        <v>Valid</v>
      </c>
      <c r="K307" t="s">
        <v>1389</v>
      </c>
      <c r="L307" t="s">
        <v>1384</v>
      </c>
      <c r="M307" t="s">
        <v>1390</v>
      </c>
      <c r="N307" t="s">
        <v>1391</v>
      </c>
      <c r="O307" t="str">
        <f>IFERROR("IN" &amp; _xlfn.TEXTBEFORE(_xlfn.TEXTAFTER(UPPER(tblShipments[[#This Row],[Gateway_clean]]),"IN")," ",1),"")</f>
        <v>INNSA1</v>
      </c>
      <c r="P307" t="str">
        <f>SUBSTITUTE(tblShipments[[#This Row],[Gateway]], CHAR(10), " ")</f>
        <v xml:space="preserve">AWB No. Gateway Port Gateway EGM No. Gateway EGM Date Gateway Site ID Error Code N.A.  INNSA1  140047  2017-12-05 00:00:00.0  INNSA1  S </v>
      </c>
      <c r="Q307" t="s">
        <v>1387</v>
      </c>
    </row>
    <row r="308" spans="1:17" x14ac:dyDescent="0.35">
      <c r="A308" t="s">
        <v>8</v>
      </c>
      <c r="B308">
        <v>1310855</v>
      </c>
      <c r="C308" s="2" t="s">
        <v>1393</v>
      </c>
      <c r="D308" s="2" t="str">
        <f>LEFT(TRIM(MID(SUBSTITUTE(tblShipments[[#This Row],[Details]],CHAR(10)," "), FIND(CHAR(10),tblShipments[[#This Row],[Details]])+1, 50)), 10)</f>
        <v>0516954725</v>
      </c>
      <c r="E308" t="s">
        <v>1394</v>
      </c>
      <c r="F30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8" t="str">
        <f>IF(tblShipments[[#This Row],[EGM no]]="", "Missing EGM", "EGM Submitted")</f>
        <v>EGM Submitted</v>
      </c>
      <c r="H308" t="str">
        <f>IF(OR(ISNUMBER(SEARCH("Released",tblShipments[[#This Row],[ROSL]])),
      ISNUMBER(SEARCH("Scroll",tblShipments[[#This Row],[ROSL]])),
      ISNUMBER(SEARCH("Y",tblShipments[[#This Row],[ROSL]]))),
   "Released",
   "Not Released")</f>
        <v>Released</v>
      </c>
      <c r="I308" t="str">
        <f>IF(OR(tblShipments[[#This Row],[EGM no]]="", tblShipments[[#This Row],[EGM no]]="N.A."), "Not Submitted", "Submitted")</f>
        <v>Submitted</v>
      </c>
      <c r="J308" t="str">
        <f>IF(LEFT(tblShipments[[#This Row],[Gateway_Extracted]],2)="IN","Valid","Invalid")</f>
        <v>Valid</v>
      </c>
      <c r="K308" t="s">
        <v>1395</v>
      </c>
      <c r="L308" t="s">
        <v>1396</v>
      </c>
      <c r="M308" t="s">
        <v>31</v>
      </c>
      <c r="N308" t="s">
        <v>1397</v>
      </c>
      <c r="O308" t="str">
        <f>IFERROR("IN" &amp; _xlfn.TEXTBEFORE(_xlfn.TEXTAFTER(UPPER(tblShipments[[#This Row],[Gateway_clean]]),"IN")," ",1),"")</f>
        <v>INNSA1</v>
      </c>
      <c r="P308" t="str">
        <f>SUBSTITUTE(tblShipments[[#This Row],[Gateway]], CHAR(10), " ")</f>
        <v xml:space="preserve">AWB No. Gateway Port Gateway EGM No. Gateway EGM Date Gateway Site ID Error Code N.A.  INNSA1  140041  2017-12-05 00:00:00.0  INNSA1  S </v>
      </c>
      <c r="Q308" t="s">
        <v>1398</v>
      </c>
    </row>
    <row r="309" spans="1:17" x14ac:dyDescent="0.35">
      <c r="A309" t="s">
        <v>8</v>
      </c>
      <c r="B309">
        <v>1317115</v>
      </c>
      <c r="C309" s="2" t="s">
        <v>1393</v>
      </c>
      <c r="D309" s="2" t="str">
        <f>LEFT(TRIM(MID(SUBSTITUTE(tblShipments[[#This Row],[Details]],CHAR(10)," "), FIND(CHAR(10),tblShipments[[#This Row],[Details]])+1, 50)), 10)</f>
        <v>0588062359</v>
      </c>
      <c r="E309" t="s">
        <v>1399</v>
      </c>
      <c r="F30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09" t="str">
        <f>IF(tblShipments[[#This Row],[EGM no]]="", "Missing EGM", "EGM Submitted")</f>
        <v>EGM Submitted</v>
      </c>
      <c r="H309" t="str">
        <f>IF(OR(ISNUMBER(SEARCH("Released",tblShipments[[#This Row],[ROSL]])),
      ISNUMBER(SEARCH("Scroll",tblShipments[[#This Row],[ROSL]])),
      ISNUMBER(SEARCH("Y",tblShipments[[#This Row],[ROSL]]))),
   "Released",
   "Not Released")</f>
        <v>Released</v>
      </c>
      <c r="I309" t="str">
        <f>IF(OR(tblShipments[[#This Row],[EGM no]]="", tblShipments[[#This Row],[EGM no]]="N.A."), "Not Submitted", "Submitted")</f>
        <v>Submitted</v>
      </c>
      <c r="J309" t="str">
        <f>IF(LEFT(tblShipments[[#This Row],[Gateway_Extracted]],2)="IN","Valid","Invalid")</f>
        <v>Valid</v>
      </c>
      <c r="K309" t="s">
        <v>1379</v>
      </c>
      <c r="L309" t="s">
        <v>1384</v>
      </c>
      <c r="M309" t="s">
        <v>1400</v>
      </c>
      <c r="N309" t="s">
        <v>1401</v>
      </c>
      <c r="O309" t="str">
        <f>IFERROR("IN" &amp; _xlfn.TEXTBEFORE(_xlfn.TEXTAFTER(UPPER(tblShipments[[#This Row],[Gateway_clean]]),"IN")," ",1),"")</f>
        <v>INNSA1</v>
      </c>
      <c r="P309" t="str">
        <f>SUBSTITUTE(tblShipments[[#This Row],[Gateway]], CHAR(10), " ")</f>
        <v xml:space="preserve">AWB No. Gateway Port Gateway EGM No. Gateway EGM Date Gateway Site ID Error Code N.A.  INNSA1  140047  2017-12-05 00:00:00.0  INNSA1  S </v>
      </c>
      <c r="Q309" t="s">
        <v>1387</v>
      </c>
    </row>
    <row r="310" spans="1:17" x14ac:dyDescent="0.35">
      <c r="A310" t="s">
        <v>8</v>
      </c>
      <c r="B310">
        <v>1318155</v>
      </c>
      <c r="C310" s="2" t="s">
        <v>1393</v>
      </c>
      <c r="D310" s="2" t="str">
        <f>LEFT(TRIM(MID(SUBSTITUTE(tblShipments[[#This Row],[Details]],CHAR(10)," "), FIND(CHAR(10),tblShipments[[#This Row],[Details]])+1, 50)), 10)</f>
        <v>0588062359</v>
      </c>
      <c r="E310" t="s">
        <v>1402</v>
      </c>
      <c r="F31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0" t="str">
        <f>IF(tblShipments[[#This Row],[EGM no]]="", "Missing EGM", "EGM Submitted")</f>
        <v>EGM Submitted</v>
      </c>
      <c r="H310" t="str">
        <f>IF(OR(ISNUMBER(SEARCH("Released",tblShipments[[#This Row],[ROSL]])),
      ISNUMBER(SEARCH("Scroll",tblShipments[[#This Row],[ROSL]])),
      ISNUMBER(SEARCH("Y",tblShipments[[#This Row],[ROSL]]))),
   "Released",
   "Not Released")</f>
        <v>Released</v>
      </c>
      <c r="I310" t="str">
        <f>IF(OR(tblShipments[[#This Row],[EGM no]]="", tblShipments[[#This Row],[EGM no]]="N.A."), "Not Submitted", "Submitted")</f>
        <v>Submitted</v>
      </c>
      <c r="J310" t="str">
        <f>IF(LEFT(tblShipments[[#This Row],[Gateway_Extracted]],2)="IN","Valid","Invalid")</f>
        <v>Valid</v>
      </c>
      <c r="K310" t="s">
        <v>1379</v>
      </c>
      <c r="L310" t="s">
        <v>1403</v>
      </c>
      <c r="M310" t="s">
        <v>1404</v>
      </c>
      <c r="N310" t="s">
        <v>1405</v>
      </c>
      <c r="O310" t="str">
        <f>IFERROR("IN" &amp; _xlfn.TEXTBEFORE(_xlfn.TEXTAFTER(UPPER(tblShipments[[#This Row],[Gateway_clean]]),"IN")," ",1),"")</f>
        <v>INNSA1</v>
      </c>
      <c r="P310" t="str">
        <f>SUBSTITUTE(tblShipments[[#This Row],[Gateway]], CHAR(10), " ")</f>
        <v xml:space="preserve">AWB No. Gateway Port Gateway EGM No. Gateway EGM Date Gateway Site ID Error Code N.A.  INNSA1  140047  2017-12-05 00:00:00.0  INNSA1  S </v>
      </c>
      <c r="Q310" t="s">
        <v>1387</v>
      </c>
    </row>
    <row r="311" spans="1:17" x14ac:dyDescent="0.35">
      <c r="A311" t="s">
        <v>8</v>
      </c>
      <c r="B311">
        <v>1318294</v>
      </c>
      <c r="C311" s="2" t="s">
        <v>1393</v>
      </c>
      <c r="D311" s="2" t="str">
        <f>LEFT(TRIM(MID(SUBSTITUTE(tblShipments[[#This Row],[Details]],CHAR(10)," "), FIND(CHAR(10),tblShipments[[#This Row],[Details]])+1, 50)), 10)</f>
        <v>2203003405</v>
      </c>
      <c r="E311" t="s">
        <v>1406</v>
      </c>
      <c r="F31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1" t="str">
        <f>IF(tblShipments[[#This Row],[EGM no]]="", "Missing EGM", "EGM Submitted")</f>
        <v>EGM Submitted</v>
      </c>
      <c r="H311" t="str">
        <f>IF(OR(ISNUMBER(SEARCH("Released",tblShipments[[#This Row],[ROSL]])),
      ISNUMBER(SEARCH("Scroll",tblShipments[[#This Row],[ROSL]])),
      ISNUMBER(SEARCH("Y",tblShipments[[#This Row],[ROSL]]))),
   "Released",
   "Not Released")</f>
        <v>Released</v>
      </c>
      <c r="I311" t="str">
        <f>IF(OR(tblShipments[[#This Row],[EGM no]]="", tblShipments[[#This Row],[EGM no]]="N.A."), "Not Submitted", "Submitted")</f>
        <v>Submitted</v>
      </c>
      <c r="J311" t="str">
        <f>IF(LEFT(tblShipments[[#This Row],[Gateway_Extracted]],2)="IN","Valid","Invalid")</f>
        <v>Valid</v>
      </c>
      <c r="K311" t="s">
        <v>1355</v>
      </c>
      <c r="L311" t="s">
        <v>1407</v>
      </c>
      <c r="M311" t="s">
        <v>13</v>
      </c>
      <c r="N311" t="s">
        <v>1408</v>
      </c>
      <c r="O311" t="str">
        <f>IFERROR("IN" &amp; _xlfn.TEXTBEFORE(_xlfn.TEXTAFTER(UPPER(tblShipments[[#This Row],[Gateway_clean]]),"IN")," ",1),"")</f>
        <v>INMUN1</v>
      </c>
      <c r="P311" t="str">
        <f>SUBSTITUTE(tblShipments[[#This Row],[Gateway]], CHAR(10), " ")</f>
        <v xml:space="preserve">AWB No. Gateway Port Gateway EGM No. Gateway EGM Date Gateway Site ID Error Code N.A.  INMUN1  139070  2017-11-17 00:00:00.0  INMUN1  S </v>
      </c>
      <c r="Q311" t="s">
        <v>1409</v>
      </c>
    </row>
    <row r="312" spans="1:17" x14ac:dyDescent="0.35">
      <c r="A312" t="s">
        <v>8</v>
      </c>
      <c r="B312">
        <v>1323400</v>
      </c>
      <c r="C312" s="2" t="s">
        <v>1393</v>
      </c>
      <c r="D312" s="2" t="str">
        <f>LEFT(TRIM(MID(SUBSTITUTE(tblShipments[[#This Row],[Details]],CHAR(10)," "), FIND(CHAR(10),tblShipments[[#This Row],[Details]])+1, 50)), 10)</f>
        <v>0505000873</v>
      </c>
      <c r="E312" t="s">
        <v>1410</v>
      </c>
      <c r="F31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2" t="str">
        <f>IF(tblShipments[[#This Row],[EGM no]]="", "Missing EGM", "EGM Submitted")</f>
        <v>EGM Submitted</v>
      </c>
      <c r="H312" t="str">
        <f>IF(OR(ISNUMBER(SEARCH("Released",tblShipments[[#This Row],[ROSL]])),
      ISNUMBER(SEARCH("Scroll",tblShipments[[#This Row],[ROSL]])),
      ISNUMBER(SEARCH("Y",tblShipments[[#This Row],[ROSL]]))),
   "Released",
   "Not Released")</f>
        <v>Released</v>
      </c>
      <c r="I312" t="str">
        <f>IF(OR(tblShipments[[#This Row],[EGM no]]="", tblShipments[[#This Row],[EGM no]]="N.A."), "Not Submitted", "Submitted")</f>
        <v>Submitted</v>
      </c>
      <c r="J312" t="str">
        <f>IF(LEFT(tblShipments[[#This Row],[Gateway_Extracted]],2)="IN","Valid","Invalid")</f>
        <v>Valid</v>
      </c>
      <c r="K312" t="s">
        <v>1411</v>
      </c>
      <c r="L312" t="s">
        <v>1412</v>
      </c>
      <c r="M312" t="s">
        <v>13</v>
      </c>
      <c r="N312" t="s">
        <v>1413</v>
      </c>
      <c r="O312" t="str">
        <f>IFERROR("IN" &amp; _xlfn.TEXTBEFORE(_xlfn.TEXTAFTER(UPPER(tblShipments[[#This Row],[Gateway_clean]]),"IN")," ",1),"")</f>
        <v>INNSA1</v>
      </c>
      <c r="P312" t="str">
        <f>SUBSTITUTE(tblShipments[[#This Row],[Gateway]], CHAR(10), " ")</f>
        <v xml:space="preserve">AWB No. Gateway Port Gateway EGM No. Gateway EGM Date Gateway Site ID Error Code N.A.  INNSA1  139999  2017-12-04 00:00:00.0  INNSA1  S </v>
      </c>
      <c r="Q312" t="s">
        <v>1414</v>
      </c>
    </row>
    <row r="313" spans="1:17" x14ac:dyDescent="0.35">
      <c r="A313" t="s">
        <v>8</v>
      </c>
      <c r="B313">
        <v>1341857</v>
      </c>
      <c r="C313" s="2" t="s">
        <v>1415</v>
      </c>
      <c r="D313" s="2" t="str">
        <f>LEFT(TRIM(MID(SUBSTITUTE(tblShipments[[#This Row],[Details]],CHAR(10)," "), FIND(CHAR(10),tblShipments[[#This Row],[Details]])+1, 50)), 10)</f>
        <v>3000004394</v>
      </c>
      <c r="E313" t="s">
        <v>1416</v>
      </c>
      <c r="F31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3" t="str">
        <f>IF(tblShipments[[#This Row],[EGM no]]="", "Missing EGM", "EGM Submitted")</f>
        <v>EGM Submitted</v>
      </c>
      <c r="H313" t="str">
        <f>IF(OR(ISNUMBER(SEARCH("Released",tblShipments[[#This Row],[ROSL]])),
      ISNUMBER(SEARCH("Scroll",tblShipments[[#This Row],[ROSL]])),
      ISNUMBER(SEARCH("Y",tblShipments[[#This Row],[ROSL]]))),
   "Released",
   "Not Released")</f>
        <v>Released</v>
      </c>
      <c r="I313" t="str">
        <f>IF(OR(tblShipments[[#This Row],[EGM no]]="", tblShipments[[#This Row],[EGM no]]="N.A."), "Not Submitted", "Submitted")</f>
        <v>Submitted</v>
      </c>
      <c r="J313" t="str">
        <f>IF(LEFT(tblShipments[[#This Row],[Gateway_Extracted]],2)="IN","Valid","Invalid")</f>
        <v>Valid</v>
      </c>
      <c r="K313" t="s">
        <v>1417</v>
      </c>
      <c r="L313" t="s">
        <v>1418</v>
      </c>
      <c r="M313" t="s">
        <v>1419</v>
      </c>
      <c r="N313" t="s">
        <v>1420</v>
      </c>
      <c r="O313" t="str">
        <f>IFERROR("IN" &amp; _xlfn.TEXTBEFORE(_xlfn.TEXTAFTER(UPPER(tblShipments[[#This Row],[Gateway_clean]]),"IN")," ",1),"")</f>
        <v>INNSA1</v>
      </c>
      <c r="P313" t="str">
        <f>SUBSTITUTE(tblShipments[[#This Row],[Gateway]], CHAR(10), " ")</f>
        <v xml:space="preserve">AWB No. Gateway Port Gateway EGM No. Gateway EGM Date Gateway Site ID Error Code N.A.  INNSA1  138232  2017-11-06 00:00:00.0  INNSA1  N </v>
      </c>
      <c r="Q313" t="s">
        <v>1421</v>
      </c>
    </row>
    <row r="314" spans="1:17" x14ac:dyDescent="0.35">
      <c r="A314" t="s">
        <v>8</v>
      </c>
      <c r="B314">
        <v>1349436</v>
      </c>
      <c r="C314" s="2" t="s">
        <v>1415</v>
      </c>
      <c r="D314" s="2" t="str">
        <f>LEFT(TRIM(MID(SUBSTITUTE(tblShipments[[#This Row],[Details]],CHAR(10)," "), FIND(CHAR(10),tblShipments[[#This Row],[Details]])+1, 50)), 10)</f>
        <v>0504019392</v>
      </c>
      <c r="E314" t="s">
        <v>1422</v>
      </c>
      <c r="F31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4" t="str">
        <f>IF(tblShipments[[#This Row],[EGM no]]="", "Missing EGM", "EGM Submitted")</f>
        <v>EGM Submitted</v>
      </c>
      <c r="H314" t="str">
        <f>IF(OR(ISNUMBER(SEARCH("Released",tblShipments[[#This Row],[ROSL]])),
      ISNUMBER(SEARCH("Scroll",tblShipments[[#This Row],[ROSL]])),
      ISNUMBER(SEARCH("Y",tblShipments[[#This Row],[ROSL]]))),
   "Released",
   "Not Released")</f>
        <v>Released</v>
      </c>
      <c r="I314" t="str">
        <f>IF(OR(tblShipments[[#This Row],[EGM no]]="", tblShipments[[#This Row],[EGM no]]="N.A."), "Not Submitted", "Submitted")</f>
        <v>Submitted</v>
      </c>
      <c r="J314" t="str">
        <f>IF(LEFT(tblShipments[[#This Row],[Gateway_Extracted]],2)="IN","Valid","Invalid")</f>
        <v>Valid</v>
      </c>
      <c r="K314" t="s">
        <v>1379</v>
      </c>
      <c r="L314" t="s">
        <v>1423</v>
      </c>
      <c r="M314" t="s">
        <v>13</v>
      </c>
      <c r="N314" t="s">
        <v>1424</v>
      </c>
      <c r="O314" t="str">
        <f>IFERROR("IN" &amp; _xlfn.TEXTBEFORE(_xlfn.TEXTAFTER(UPPER(tblShipments[[#This Row],[Gateway_clean]]),"IN")," ",1),"")</f>
        <v>INNSA1</v>
      </c>
      <c r="P314" t="str">
        <f>SUBSTITUTE(tblShipments[[#This Row],[Gateway]], CHAR(10), " ")</f>
        <v xml:space="preserve">AWB No. Gateway Port Gateway EGM No. Gateway EGM Date Gateway Site ID Error Code N.A.  INNSA1  140472  2017-12-12 00:00:00.0  INNSA1  S </v>
      </c>
      <c r="Q314" t="s">
        <v>1425</v>
      </c>
    </row>
    <row r="315" spans="1:17" x14ac:dyDescent="0.35">
      <c r="A315" t="s">
        <v>8</v>
      </c>
      <c r="B315">
        <v>1349513</v>
      </c>
      <c r="C315" s="2" t="s">
        <v>1415</v>
      </c>
      <c r="D315" s="2" t="str">
        <f>LEFT(TRIM(MID(SUBSTITUTE(tblShipments[[#This Row],[Details]],CHAR(10)," "), FIND(CHAR(10),tblShipments[[#This Row],[Details]])+1, 50)), 10)</f>
        <v>0501016481</v>
      </c>
      <c r="E315" t="s">
        <v>1426</v>
      </c>
      <c r="F31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5" t="str">
        <f>IF(tblShipments[[#This Row],[EGM no]]="", "Missing EGM", "EGM Submitted")</f>
        <v>EGM Submitted</v>
      </c>
      <c r="H315" t="str">
        <f>IF(OR(ISNUMBER(SEARCH("Released",tblShipments[[#This Row],[ROSL]])),
      ISNUMBER(SEARCH("Scroll",tblShipments[[#This Row],[ROSL]])),
      ISNUMBER(SEARCH("Y",tblShipments[[#This Row],[ROSL]]))),
   "Released",
   "Not Released")</f>
        <v>Released</v>
      </c>
      <c r="I315" t="str">
        <f>IF(OR(tblShipments[[#This Row],[EGM no]]="", tblShipments[[#This Row],[EGM no]]="N.A."), "Not Submitted", "Submitted")</f>
        <v>Submitted</v>
      </c>
      <c r="J315" t="str">
        <f>IF(LEFT(tblShipments[[#This Row],[Gateway_Extracted]],2)="IN","Valid","Invalid")</f>
        <v>Valid</v>
      </c>
      <c r="K315" t="s">
        <v>1427</v>
      </c>
      <c r="L315" t="s">
        <v>1428</v>
      </c>
      <c r="M315" t="s">
        <v>13</v>
      </c>
      <c r="N315" t="s">
        <v>1429</v>
      </c>
      <c r="O315" t="str">
        <f>IFERROR("IN" &amp; _xlfn.TEXTBEFORE(_xlfn.TEXTAFTER(UPPER(tblShipments[[#This Row],[Gateway_clean]]),"IN")," ",1),"")</f>
        <v>INNSA1</v>
      </c>
      <c r="P315" t="str">
        <f>SUBSTITUTE(tblShipments[[#This Row],[Gateway]], CHAR(10), " ")</f>
        <v xml:space="preserve">AWB No. Gateway Port Gateway EGM No. Gateway EGM Date Gateway Site ID Error Code N.A.  INNSA1  139986  2017-12-04 00:00:00.0  INNSA1  S </v>
      </c>
      <c r="Q315" t="s">
        <v>1430</v>
      </c>
    </row>
    <row r="316" spans="1:17" x14ac:dyDescent="0.35">
      <c r="A316" t="s">
        <v>8</v>
      </c>
      <c r="B316">
        <v>1350667</v>
      </c>
      <c r="C316" s="2" t="s">
        <v>1415</v>
      </c>
      <c r="D316" s="2" t="str">
        <f>LEFT(TRIM(MID(SUBSTITUTE(tblShipments[[#This Row],[Details]],CHAR(10)," "), FIND(CHAR(10),tblShipments[[#This Row],[Details]])+1, 50)), 10)</f>
        <v>0588128180</v>
      </c>
      <c r="E316" t="s">
        <v>1431</v>
      </c>
      <c r="F31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6" t="str">
        <f>IF(tblShipments[[#This Row],[EGM no]]="", "Missing EGM", "EGM Submitted")</f>
        <v>EGM Submitted</v>
      </c>
      <c r="H316" t="str">
        <f>IF(OR(ISNUMBER(SEARCH("Released",tblShipments[[#This Row],[ROSL]])),
      ISNUMBER(SEARCH("Scroll",tblShipments[[#This Row],[ROSL]])),
      ISNUMBER(SEARCH("Y",tblShipments[[#This Row],[ROSL]]))),
   "Released",
   "Not Released")</f>
        <v>Released</v>
      </c>
      <c r="I316" t="str">
        <f>IF(OR(tblShipments[[#This Row],[EGM no]]="", tblShipments[[#This Row],[EGM no]]="N.A."), "Not Submitted", "Submitted")</f>
        <v>Submitted</v>
      </c>
      <c r="J316" t="str">
        <f>IF(LEFT(tblShipments[[#This Row],[Gateway_Extracted]],2)="IN","Valid","Invalid")</f>
        <v>Valid</v>
      </c>
      <c r="K316" t="s">
        <v>1432</v>
      </c>
      <c r="L316" t="s">
        <v>1433</v>
      </c>
      <c r="M316" t="s">
        <v>13</v>
      </c>
      <c r="N316" t="s">
        <v>1434</v>
      </c>
      <c r="O316" t="str">
        <f>IFERROR("IN" &amp; _xlfn.TEXTBEFORE(_xlfn.TEXTAFTER(UPPER(tblShipments[[#This Row],[Gateway_clean]]),"IN")," ",1),"")</f>
        <v>INMUN1</v>
      </c>
      <c r="P316" t="str">
        <f>SUBSTITUTE(tblShipments[[#This Row],[Gateway]], CHAR(10), " ")</f>
        <v xml:space="preserve">AWB No. Gateway Port Gateway EGM No. Gateway EGM Date Gateway Site ID Error Code N.A.  INMUN1  140703  2017-12-14 00:00:00.0  INMUN1  S </v>
      </c>
      <c r="Q316" t="s">
        <v>1435</v>
      </c>
    </row>
    <row r="317" spans="1:17" x14ac:dyDescent="0.35">
      <c r="A317" t="s">
        <v>8</v>
      </c>
      <c r="B317">
        <v>1364053</v>
      </c>
      <c r="C317" s="2" t="s">
        <v>1436</v>
      </c>
      <c r="D317" s="2" t="str">
        <f>LEFT(TRIM(MID(SUBSTITUTE(tblShipments[[#This Row],[Details]],CHAR(10)," "), FIND(CHAR(10),tblShipments[[#This Row],[Details]])+1, 50)), 10)</f>
        <v>0504077171</v>
      </c>
      <c r="E317" t="s">
        <v>1437</v>
      </c>
      <c r="F31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7" t="str">
        <f>IF(tblShipments[[#This Row],[EGM no]]="", "Missing EGM", "EGM Submitted")</f>
        <v>EGM Submitted</v>
      </c>
      <c r="H317" t="str">
        <f>IF(OR(ISNUMBER(SEARCH("Released",tblShipments[[#This Row],[ROSL]])),
      ISNUMBER(SEARCH("Scroll",tblShipments[[#This Row],[ROSL]])),
      ISNUMBER(SEARCH("Y",tblShipments[[#This Row],[ROSL]]))),
   "Released",
   "Not Released")</f>
        <v>Released</v>
      </c>
      <c r="I317" t="str">
        <f>IF(OR(tblShipments[[#This Row],[EGM no]]="", tblShipments[[#This Row],[EGM no]]="N.A."), "Not Submitted", "Submitted")</f>
        <v>Submitted</v>
      </c>
      <c r="J317" t="str">
        <f>IF(LEFT(tblShipments[[#This Row],[Gateway_Extracted]],2)="IN","Valid","Invalid")</f>
        <v>Valid</v>
      </c>
      <c r="K317" t="s">
        <v>1438</v>
      </c>
      <c r="L317" t="s">
        <v>1439</v>
      </c>
      <c r="M317" t="s">
        <v>31</v>
      </c>
      <c r="N317" t="s">
        <v>1440</v>
      </c>
      <c r="O317" t="str">
        <f>IFERROR("IN" &amp; _xlfn.TEXTBEFORE(_xlfn.TEXTAFTER(UPPER(tblShipments[[#This Row],[Gateway_clean]]),"IN")," ",1),"")</f>
        <v>INMUN1</v>
      </c>
      <c r="P317" t="str">
        <f>SUBSTITUTE(tblShipments[[#This Row],[Gateway]], CHAR(10), " ")</f>
        <v xml:space="preserve">AWB No. Gateway Port Gateway EGM No. Gateway EGM Date Gateway Site ID Error Code N.A.  INMUN1  140290  2017-12-07 00:00:00.0  INMUN1  S </v>
      </c>
      <c r="Q317" t="s">
        <v>1441</v>
      </c>
    </row>
    <row r="318" spans="1:17" x14ac:dyDescent="0.35">
      <c r="A318" t="s">
        <v>8</v>
      </c>
      <c r="B318">
        <v>1367821</v>
      </c>
      <c r="C318" s="2" t="s">
        <v>1436</v>
      </c>
      <c r="D318" s="2" t="str">
        <f>LEFT(TRIM(MID(SUBSTITUTE(tblShipments[[#This Row],[Details]],CHAR(10)," "), FIND(CHAR(10),tblShipments[[#This Row],[Details]])+1, 50)), 10)</f>
        <v>0514067969</v>
      </c>
      <c r="E318" t="s">
        <v>1442</v>
      </c>
      <c r="F31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8" t="str">
        <f>IF(tblShipments[[#This Row],[EGM no]]="", "Missing EGM", "EGM Submitted")</f>
        <v>EGM Submitted</v>
      </c>
      <c r="H318" t="str">
        <f>IF(OR(ISNUMBER(SEARCH("Released",tblShipments[[#This Row],[ROSL]])),
      ISNUMBER(SEARCH("Scroll",tblShipments[[#This Row],[ROSL]])),
      ISNUMBER(SEARCH("Y",tblShipments[[#This Row],[ROSL]]))),
   "Released",
   "Not Released")</f>
        <v>Released</v>
      </c>
      <c r="I318" t="str">
        <f>IF(OR(tblShipments[[#This Row],[EGM no]]="", tblShipments[[#This Row],[EGM no]]="N.A."), "Not Submitted", "Submitted")</f>
        <v>Submitted</v>
      </c>
      <c r="J318" t="str">
        <f>IF(LEFT(tblShipments[[#This Row],[Gateway_Extracted]],2)="IN","Valid","Invalid")</f>
        <v>Valid</v>
      </c>
      <c r="K318" t="s">
        <v>1443</v>
      </c>
      <c r="L318" t="s">
        <v>1444</v>
      </c>
      <c r="M318" t="s">
        <v>13</v>
      </c>
      <c r="N318" t="s">
        <v>1445</v>
      </c>
      <c r="O318" t="str">
        <f>IFERROR("IN" &amp; _xlfn.TEXTBEFORE(_xlfn.TEXTAFTER(UPPER(tblShipments[[#This Row],[Gateway_clean]]),"IN")," ",1),"")</f>
        <v>INNSA1</v>
      </c>
      <c r="P318" t="str">
        <f>SUBSTITUTE(tblShipments[[#This Row],[Gateway]], CHAR(10), " ")</f>
        <v xml:space="preserve">AWB No. Gateway Port Gateway EGM No. Gateway EGM Date Gateway Site ID Error Code N.A.  INNSA1  140726  2017-12-15 00:00:00.0  INNSA1  C </v>
      </c>
      <c r="Q318" t="s">
        <v>1446</v>
      </c>
    </row>
    <row r="319" spans="1:17" x14ac:dyDescent="0.35">
      <c r="A319" t="s">
        <v>8</v>
      </c>
      <c r="B319">
        <v>1381867</v>
      </c>
      <c r="C319" s="2" t="s">
        <v>1436</v>
      </c>
      <c r="D319" s="2" t="str">
        <f>LEFT(TRIM(MID(SUBSTITUTE(tblShipments[[#This Row],[Details]],CHAR(10)," "), FIND(CHAR(10),tblShipments[[#This Row],[Details]])+1, 50)), 10)</f>
        <v>0500050139</v>
      </c>
      <c r="E319" t="s">
        <v>1447</v>
      </c>
      <c r="F31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19" t="str">
        <f>IF(tblShipments[[#This Row],[EGM no]]="", "Missing EGM", "EGM Submitted")</f>
        <v>EGM Submitted</v>
      </c>
      <c r="H319" t="str">
        <f>IF(OR(ISNUMBER(SEARCH("Released",tblShipments[[#This Row],[ROSL]])),
      ISNUMBER(SEARCH("Scroll",tblShipments[[#This Row],[ROSL]])),
      ISNUMBER(SEARCH("Y",tblShipments[[#This Row],[ROSL]]))),
   "Released",
   "Not Released")</f>
        <v>Released</v>
      </c>
      <c r="I319" t="str">
        <f>IF(OR(tblShipments[[#This Row],[EGM no]]="", tblShipments[[#This Row],[EGM no]]="N.A."), "Not Submitted", "Submitted")</f>
        <v>Submitted</v>
      </c>
      <c r="J319" t="str">
        <f>IF(LEFT(tblShipments[[#This Row],[Gateway_Extracted]],2)="IN","Valid","Invalid")</f>
        <v>Valid</v>
      </c>
      <c r="K319" t="s">
        <v>1389</v>
      </c>
      <c r="L319" t="s">
        <v>1448</v>
      </c>
      <c r="M319" t="s">
        <v>31</v>
      </c>
      <c r="N319" t="s">
        <v>1449</v>
      </c>
      <c r="O319" t="str">
        <f>IFERROR("IN" &amp; _xlfn.TEXTBEFORE(_xlfn.TEXTAFTER(UPPER(tblShipments[[#This Row],[Gateway_clean]]),"IN")," ",1),"")</f>
        <v>INPAV1</v>
      </c>
      <c r="P319" t="str">
        <f>SUBSTITUTE(tblShipments[[#This Row],[Gateway]], CHAR(10), " ")</f>
        <v xml:space="preserve">AWB No. Gateway Port Gateway EGM No. Gateway EGM Date Gateway Site ID Error Code N.A.  INPAV1  139963  2017-12-04 00:00:00.0  INPAV1  S </v>
      </c>
      <c r="Q319" t="s">
        <v>1377</v>
      </c>
    </row>
    <row r="320" spans="1:17" x14ac:dyDescent="0.35">
      <c r="A320" t="s">
        <v>8</v>
      </c>
      <c r="B320">
        <v>1386534</v>
      </c>
      <c r="C320" s="2" t="s">
        <v>1450</v>
      </c>
      <c r="D320" s="2" t="str">
        <f>LEFT(TRIM(MID(SUBSTITUTE(tblShipments[[#This Row],[Details]],CHAR(10)," "), FIND(CHAR(10),tblShipments[[#This Row],[Details]])+1, 50)), 10)</f>
        <v>0504077171</v>
      </c>
      <c r="E320" t="s">
        <v>1451</v>
      </c>
      <c r="F32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0" t="str">
        <f>IF(tblShipments[[#This Row],[EGM no]]="", "Missing EGM", "EGM Submitted")</f>
        <v>EGM Submitted</v>
      </c>
      <c r="H320" t="str">
        <f>IF(OR(ISNUMBER(SEARCH("Released",tblShipments[[#This Row],[ROSL]])),
      ISNUMBER(SEARCH("Scroll",tblShipments[[#This Row],[ROSL]])),
      ISNUMBER(SEARCH("Y",tblShipments[[#This Row],[ROSL]]))),
   "Released",
   "Not Released")</f>
        <v>Released</v>
      </c>
      <c r="I320" t="str">
        <f>IF(OR(tblShipments[[#This Row],[EGM no]]="", tblShipments[[#This Row],[EGM no]]="N.A."), "Not Submitted", "Submitted")</f>
        <v>Submitted</v>
      </c>
      <c r="J320" t="str">
        <f>IF(LEFT(tblShipments[[#This Row],[Gateway_Extracted]],2)="IN","Valid","Invalid")</f>
        <v>Valid</v>
      </c>
      <c r="K320" t="s">
        <v>1438</v>
      </c>
      <c r="L320" t="s">
        <v>1452</v>
      </c>
      <c r="M320" t="s">
        <v>31</v>
      </c>
      <c r="N320" t="s">
        <v>1453</v>
      </c>
      <c r="O320" t="str">
        <f>IFERROR("IN" &amp; _xlfn.TEXTBEFORE(_xlfn.TEXTAFTER(UPPER(tblShipments[[#This Row],[Gateway_clean]]),"IN")," ",1),"")</f>
        <v>INPAV1</v>
      </c>
      <c r="P320" t="str">
        <f>SUBSTITUTE(tblShipments[[#This Row],[Gateway]], CHAR(10), " ")</f>
        <v xml:space="preserve">AWB No. Gateway Port Gateway EGM No. Gateway EGM Date Gateway Site ID Error Code N.A.  INPAV1  140083  2017-12-05 00:00:00.0  INPAV1  S </v>
      </c>
      <c r="Q320" t="s">
        <v>1454</v>
      </c>
    </row>
    <row r="321" spans="1:17" x14ac:dyDescent="0.35">
      <c r="A321" t="s">
        <v>8</v>
      </c>
      <c r="B321">
        <v>1411047</v>
      </c>
      <c r="C321" s="2" t="s">
        <v>1450</v>
      </c>
      <c r="D321" s="2" t="str">
        <f>LEFT(TRIM(MID(SUBSTITUTE(tblShipments[[#This Row],[Details]],CHAR(10)," "), FIND(CHAR(10),tblShipments[[#This Row],[Details]])+1, 50)), 10)</f>
        <v>0504077171</v>
      </c>
      <c r="E321" t="s">
        <v>1455</v>
      </c>
      <c r="F32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1" t="str">
        <f>IF(tblShipments[[#This Row],[EGM no]]="", "Missing EGM", "EGM Submitted")</f>
        <v>EGM Submitted</v>
      </c>
      <c r="H321" t="str">
        <f>IF(OR(ISNUMBER(SEARCH("Released",tblShipments[[#This Row],[ROSL]])),
      ISNUMBER(SEARCH("Scroll",tblShipments[[#This Row],[ROSL]])),
      ISNUMBER(SEARCH("Y",tblShipments[[#This Row],[ROSL]]))),
   "Released",
   "Not Released")</f>
        <v>Released</v>
      </c>
      <c r="I321" t="str">
        <f>IF(OR(tblShipments[[#This Row],[EGM no]]="", tblShipments[[#This Row],[EGM no]]="N.A."), "Not Submitted", "Submitted")</f>
        <v>Submitted</v>
      </c>
      <c r="J321" t="str">
        <f>IF(LEFT(tblShipments[[#This Row],[Gateway_Extracted]],2)="IN","Valid","Invalid")</f>
        <v>Valid</v>
      </c>
      <c r="K321" t="s">
        <v>1456</v>
      </c>
      <c r="L321" t="s">
        <v>1457</v>
      </c>
      <c r="M321" t="s">
        <v>31</v>
      </c>
      <c r="N321" t="s">
        <v>1458</v>
      </c>
      <c r="O321" t="str">
        <f>IFERROR("IN" &amp; _xlfn.TEXTBEFORE(_xlfn.TEXTAFTER(UPPER(tblShipments[[#This Row],[Gateway_clean]]),"IN")," ",1),"")</f>
        <v>INPAV1</v>
      </c>
      <c r="P321" t="str">
        <f>SUBSTITUTE(tblShipments[[#This Row],[Gateway]], CHAR(10), " ")</f>
        <v xml:space="preserve">AWB No. Gateway Port Gateway EGM No. Gateway EGM Date Gateway Site ID Error Code N.A.  INPAV1  140083  2017-12-05 00:00:00.0  INPAV1  S </v>
      </c>
      <c r="Q321" t="s">
        <v>1454</v>
      </c>
    </row>
    <row r="322" spans="1:17" x14ac:dyDescent="0.35">
      <c r="A322" t="s">
        <v>8</v>
      </c>
      <c r="B322">
        <v>1466520</v>
      </c>
      <c r="C322" s="2" t="s">
        <v>1459</v>
      </c>
      <c r="D322" s="2" t="str">
        <f>LEFT(TRIM(MID(SUBSTITUTE(tblShipments[[#This Row],[Details]],CHAR(10)," "), FIND(CHAR(10),tblShipments[[#This Row],[Details]])+1, 50)), 10)</f>
        <v>0501016481</v>
      </c>
      <c r="E322" t="s">
        <v>1460</v>
      </c>
      <c r="F32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2" t="str">
        <f>IF(tblShipments[[#This Row],[EGM no]]="", "Missing EGM", "EGM Submitted")</f>
        <v>EGM Submitted</v>
      </c>
      <c r="H322" t="str">
        <f>IF(OR(ISNUMBER(SEARCH("Released",tblShipments[[#This Row],[ROSL]])),
      ISNUMBER(SEARCH("Scroll",tblShipments[[#This Row],[ROSL]])),
      ISNUMBER(SEARCH("Y",tblShipments[[#This Row],[ROSL]]))),
   "Released",
   "Not Released")</f>
        <v>Released</v>
      </c>
      <c r="I322" t="str">
        <f>IF(OR(tblShipments[[#This Row],[EGM no]]="", tblShipments[[#This Row],[EGM no]]="N.A."), "Not Submitted", "Submitted")</f>
        <v>Submitted</v>
      </c>
      <c r="J322" t="str">
        <f>IF(LEFT(tblShipments[[#This Row],[Gateway_Extracted]],2)="IN","Valid","Invalid")</f>
        <v>Valid</v>
      </c>
      <c r="K322" t="s">
        <v>1461</v>
      </c>
      <c r="L322" t="s">
        <v>1462</v>
      </c>
      <c r="M322" t="s">
        <v>13</v>
      </c>
      <c r="N322" t="s">
        <v>1463</v>
      </c>
      <c r="O322" t="str">
        <f>IFERROR("IN" &amp; _xlfn.TEXTBEFORE(_xlfn.TEXTAFTER(UPPER(tblShipments[[#This Row],[Gateway_clean]]),"IN")," ",1),"")</f>
        <v>INNSA1</v>
      </c>
      <c r="P322" t="str">
        <f>SUBSTITUTE(tblShipments[[#This Row],[Gateway]], CHAR(10), " ")</f>
        <v xml:space="preserve">AWB No. Gateway Port Gateway EGM No. Gateway EGM Date Gateway Site ID Error Code N.A.  INNSA1  140677  2017-12-14 00:00:00.0  INNSA1  S </v>
      </c>
      <c r="Q322" t="s">
        <v>1464</v>
      </c>
    </row>
    <row r="323" spans="1:17" x14ac:dyDescent="0.35">
      <c r="A323" t="s">
        <v>8</v>
      </c>
      <c r="B323">
        <v>1468626</v>
      </c>
      <c r="C323" s="2" t="s">
        <v>1459</v>
      </c>
      <c r="D323" s="2" t="str">
        <f>LEFT(TRIM(MID(SUBSTITUTE(tblShipments[[#This Row],[Details]],CHAR(10)," "), FIND(CHAR(10),tblShipments[[#This Row],[Details]])+1, 50)), 10)</f>
        <v>0514025026</v>
      </c>
      <c r="E323" t="s">
        <v>1465</v>
      </c>
      <c r="F32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3" t="str">
        <f>IF(tblShipments[[#This Row],[EGM no]]="", "Missing EGM", "EGM Submitted")</f>
        <v>EGM Submitted</v>
      </c>
      <c r="H323" t="str">
        <f>IF(OR(ISNUMBER(SEARCH("Released",tblShipments[[#This Row],[ROSL]])),
      ISNUMBER(SEARCH("Scroll",tblShipments[[#This Row],[ROSL]])),
      ISNUMBER(SEARCH("Y",tblShipments[[#This Row],[ROSL]]))),
   "Released",
   "Not Released")</f>
        <v>Released</v>
      </c>
      <c r="I323" t="str">
        <f>IF(OR(tblShipments[[#This Row],[EGM no]]="", tblShipments[[#This Row],[EGM no]]="N.A."), "Not Submitted", "Submitted")</f>
        <v>Submitted</v>
      </c>
      <c r="J323" t="str">
        <f>IF(LEFT(tblShipments[[#This Row],[Gateway_Extracted]],2)="IN","Valid","Invalid")</f>
        <v>Valid</v>
      </c>
      <c r="K323" t="s">
        <v>1466</v>
      </c>
      <c r="L323" t="s">
        <v>1467</v>
      </c>
      <c r="M323" t="s">
        <v>13</v>
      </c>
      <c r="N323" t="s">
        <v>1468</v>
      </c>
      <c r="O323" t="str">
        <f>IFERROR("IN" &amp; _xlfn.TEXTBEFORE(_xlfn.TEXTAFTER(UPPER(tblShipments[[#This Row],[Gateway_clean]]),"IN")," ",1),"")</f>
        <v>INNSA1</v>
      </c>
      <c r="P323" t="str">
        <f>SUBSTITUTE(tblShipments[[#This Row],[Gateway]], CHAR(10), " ")</f>
        <v xml:space="preserve">AWB No. Gateway Port Gateway EGM No. Gateway EGM Date Gateway Site ID Error Code N.A.  INNSA1  140365  2017-12-08 00:00:00.0  INNSA1  N </v>
      </c>
      <c r="Q323" t="s">
        <v>1469</v>
      </c>
    </row>
    <row r="324" spans="1:17" x14ac:dyDescent="0.35">
      <c r="A324" t="s">
        <v>8</v>
      </c>
      <c r="B324">
        <v>1469621</v>
      </c>
      <c r="C324" s="2" t="s">
        <v>1459</v>
      </c>
      <c r="D324" s="2" t="str">
        <f>LEFT(TRIM(MID(SUBSTITUTE(tblShipments[[#This Row],[Details]],CHAR(10)," "), FIND(CHAR(10),tblShipments[[#This Row],[Details]])+1, 50)), 10)</f>
        <v>0598059113</v>
      </c>
      <c r="E324" t="s">
        <v>1470</v>
      </c>
      <c r="F32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4" t="str">
        <f>IF(tblShipments[[#This Row],[EGM no]]="", "Missing EGM", "EGM Submitted")</f>
        <v>EGM Submitted</v>
      </c>
      <c r="H324" t="str">
        <f>IF(OR(ISNUMBER(SEARCH("Released",tblShipments[[#This Row],[ROSL]])),
      ISNUMBER(SEARCH("Scroll",tblShipments[[#This Row],[ROSL]])),
      ISNUMBER(SEARCH("Y",tblShipments[[#This Row],[ROSL]]))),
   "Released",
   "Not Released")</f>
        <v>Released</v>
      </c>
      <c r="I324" t="str">
        <f>IF(OR(tblShipments[[#This Row],[EGM no]]="", tblShipments[[#This Row],[EGM no]]="N.A."), "Not Submitted", "Submitted")</f>
        <v>Submitted</v>
      </c>
      <c r="J324" t="str">
        <f>IF(LEFT(tblShipments[[#This Row],[Gateway_Extracted]],2)="IN","Valid","Invalid")</f>
        <v>Valid</v>
      </c>
      <c r="K324" t="s">
        <v>1471</v>
      </c>
      <c r="L324" t="s">
        <v>1472</v>
      </c>
      <c r="M324" t="s">
        <v>13</v>
      </c>
      <c r="N324" t="s">
        <v>1473</v>
      </c>
      <c r="O324" t="str">
        <f>IFERROR("IN" &amp; _xlfn.TEXTBEFORE(_xlfn.TEXTAFTER(UPPER(tblShipments[[#This Row],[Gateway_clean]]),"IN")," ",1),"")</f>
        <v>INMUN1</v>
      </c>
      <c r="P324" t="str">
        <f>SUBSTITUTE(tblShipments[[#This Row],[Gateway]], CHAR(10), " ")</f>
        <v xml:space="preserve">AWB No. Gateway Port Gateway EGM No. Gateway EGM Date Gateway Site ID Error Code N.A.  INMUN1  141077  2017-12-21 00:00:00.0  INMUN1  S </v>
      </c>
      <c r="Q324" t="s">
        <v>1474</v>
      </c>
    </row>
    <row r="325" spans="1:17" x14ac:dyDescent="0.35">
      <c r="A325" t="s">
        <v>8</v>
      </c>
      <c r="B325">
        <v>1471253</v>
      </c>
      <c r="C325" s="2" t="s">
        <v>1459</v>
      </c>
      <c r="D325" s="2" t="str">
        <f>LEFT(TRIM(MID(SUBSTITUTE(tblShipments[[#This Row],[Details]],CHAR(10)," "), FIND(CHAR(10),tblShipments[[#This Row],[Details]])+1, 50)), 10)</f>
        <v>0500050139</v>
      </c>
      <c r="E325" t="s">
        <v>1475</v>
      </c>
      <c r="F32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5" t="str">
        <f>IF(tblShipments[[#This Row],[EGM no]]="", "Missing EGM", "EGM Submitted")</f>
        <v>EGM Submitted</v>
      </c>
      <c r="H325" t="str">
        <f>IF(OR(ISNUMBER(SEARCH("Released",tblShipments[[#This Row],[ROSL]])),
      ISNUMBER(SEARCH("Scroll",tblShipments[[#This Row],[ROSL]])),
      ISNUMBER(SEARCH("Y",tblShipments[[#This Row],[ROSL]]))),
   "Released",
   "Not Released")</f>
        <v>Released</v>
      </c>
      <c r="I325" t="str">
        <f>IF(OR(tblShipments[[#This Row],[EGM no]]="", tblShipments[[#This Row],[EGM no]]="N.A."), "Not Submitted", "Submitted")</f>
        <v>Submitted</v>
      </c>
      <c r="J325" t="str">
        <f>IF(LEFT(tblShipments[[#This Row],[Gateway_Extracted]],2)="IN","Valid","Invalid")</f>
        <v>Valid</v>
      </c>
      <c r="K325" t="s">
        <v>1476</v>
      </c>
      <c r="L325" t="s">
        <v>1477</v>
      </c>
      <c r="M325" t="s">
        <v>31</v>
      </c>
      <c r="N325" t="s">
        <v>1478</v>
      </c>
      <c r="O325" t="str">
        <f>IFERROR("IN" &amp; _xlfn.TEXTBEFORE(_xlfn.TEXTAFTER(UPPER(tblShipments[[#This Row],[Gateway_clean]]),"IN")," ",1),"")</f>
        <v>INPAV1</v>
      </c>
      <c r="P325" t="str">
        <f>SUBSTITUTE(tblShipments[[#This Row],[Gateway]], CHAR(10), " ")</f>
        <v xml:space="preserve">AWB No. Gateway Port Gateway EGM No. Gateway EGM Date Gateway Site ID Error Code N.A.  INPAV1  139966  2017-12-04 00:00:00.0  INPAV1  S </v>
      </c>
      <c r="Q325" t="s">
        <v>1479</v>
      </c>
    </row>
    <row r="326" spans="1:17" x14ac:dyDescent="0.35">
      <c r="A326" t="s">
        <v>8</v>
      </c>
      <c r="B326">
        <v>1474614</v>
      </c>
      <c r="C326" s="2" t="s">
        <v>1459</v>
      </c>
      <c r="D326" s="2" t="str">
        <f>LEFT(TRIM(MID(SUBSTITUTE(tblShipments[[#This Row],[Details]],CHAR(10)," "), FIND(CHAR(10),tblShipments[[#This Row],[Details]])+1, 50)), 10)</f>
        <v>0593033043</v>
      </c>
      <c r="E326" t="s">
        <v>1480</v>
      </c>
      <c r="F32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6" t="str">
        <f>IF(tblShipments[[#This Row],[EGM no]]="", "Missing EGM", "EGM Submitted")</f>
        <v>EGM Submitted</v>
      </c>
      <c r="H326" t="str">
        <f>IF(OR(ISNUMBER(SEARCH("Released",tblShipments[[#This Row],[ROSL]])),
      ISNUMBER(SEARCH("Scroll",tblShipments[[#This Row],[ROSL]])),
      ISNUMBER(SEARCH("Y",tblShipments[[#This Row],[ROSL]]))),
   "Released",
   "Not Released")</f>
        <v>Released</v>
      </c>
      <c r="I326" t="str">
        <f>IF(OR(tblShipments[[#This Row],[EGM no]]="", tblShipments[[#This Row],[EGM no]]="N.A."), "Not Submitted", "Submitted")</f>
        <v>Submitted</v>
      </c>
      <c r="J326" t="str">
        <f>IF(LEFT(tblShipments[[#This Row],[Gateway_Extracted]],2)="IN","Valid","Invalid")</f>
        <v>Valid</v>
      </c>
      <c r="K326" t="s">
        <v>1481</v>
      </c>
      <c r="L326" t="s">
        <v>1482</v>
      </c>
      <c r="M326" t="s">
        <v>31</v>
      </c>
      <c r="N326" t="s">
        <v>1483</v>
      </c>
      <c r="O326" t="str">
        <f>IFERROR("IN" &amp; _xlfn.TEXTBEFORE(_xlfn.TEXTAFTER(UPPER(tblShipments[[#This Row],[Gateway_clean]]),"IN")," ",1),"")</f>
        <v>INMUN1</v>
      </c>
      <c r="P326" t="str">
        <f>SUBSTITUTE(tblShipments[[#This Row],[Gateway]], CHAR(10), " ")</f>
        <v xml:space="preserve">AWB No. Gateway Port Gateway EGM No. Gateway EGM Date Gateway Site ID Error Code N.A.  INMUN1  141426  2017-12-27 00:00:00.0  INMUN1  S </v>
      </c>
      <c r="Q326" t="s">
        <v>1484</v>
      </c>
    </row>
    <row r="327" spans="1:17" x14ac:dyDescent="0.35">
      <c r="A327" t="s">
        <v>8</v>
      </c>
      <c r="B327">
        <v>1486982</v>
      </c>
      <c r="C327" s="2" t="s">
        <v>1485</v>
      </c>
      <c r="D327" s="2" t="str">
        <f>LEFT(TRIM(MID(SUBSTITUTE(tblShipments[[#This Row],[Details]],CHAR(10)," "), FIND(CHAR(10),tblShipments[[#This Row],[Details]])+1, 50)), 10)</f>
        <v>0504077171</v>
      </c>
      <c r="E327" t="s">
        <v>1486</v>
      </c>
      <c r="F32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7" t="str">
        <f>IF(tblShipments[[#This Row],[EGM no]]="", "Missing EGM", "EGM Submitted")</f>
        <v>EGM Submitted</v>
      </c>
      <c r="H327" t="str">
        <f>IF(OR(ISNUMBER(SEARCH("Released",tblShipments[[#This Row],[ROSL]])),
      ISNUMBER(SEARCH("Scroll",tblShipments[[#This Row],[ROSL]])),
      ISNUMBER(SEARCH("Y",tblShipments[[#This Row],[ROSL]]))),
   "Released",
   "Not Released")</f>
        <v>Released</v>
      </c>
      <c r="I327" t="str">
        <f>IF(OR(tblShipments[[#This Row],[EGM no]]="", tblShipments[[#This Row],[EGM no]]="N.A."), "Not Submitted", "Submitted")</f>
        <v>Submitted</v>
      </c>
      <c r="J327" t="str">
        <f>IF(LEFT(tblShipments[[#This Row],[Gateway_Extracted]],2)="IN","Valid","Invalid")</f>
        <v>Valid</v>
      </c>
      <c r="K327" t="s">
        <v>1487</v>
      </c>
      <c r="L327" t="s">
        <v>1488</v>
      </c>
      <c r="M327" t="s">
        <v>31</v>
      </c>
      <c r="N327" t="s">
        <v>1489</v>
      </c>
      <c r="O327" t="str">
        <f>IFERROR("IN" &amp; _xlfn.TEXTBEFORE(_xlfn.TEXTAFTER(UPPER(tblShipments[[#This Row],[Gateway_clean]]),"IN")," ",1),"")</f>
        <v>INPAV1</v>
      </c>
      <c r="P327" t="str">
        <f>SUBSTITUTE(tblShipments[[#This Row],[Gateway]], CHAR(10), " ")</f>
        <v xml:space="preserve">AWB No. Gateway Port Gateway EGM No. Gateway EGM Date Gateway Site ID Error Code N.A.  INPAV1  140831  2017-12-18 00:00:00.0  INPAV1  S </v>
      </c>
      <c r="Q327" t="s">
        <v>1490</v>
      </c>
    </row>
    <row r="328" spans="1:17" x14ac:dyDescent="0.35">
      <c r="A328" t="s">
        <v>8</v>
      </c>
      <c r="B328">
        <v>1487575</v>
      </c>
      <c r="C328" s="2" t="s">
        <v>1485</v>
      </c>
      <c r="D328" s="2" t="str">
        <f>LEFT(TRIM(MID(SUBSTITUTE(tblShipments[[#This Row],[Details]],CHAR(10)," "), FIND(CHAR(10),tblShipments[[#This Row],[Details]])+1, 50)), 10)</f>
        <v>0595008844</v>
      </c>
      <c r="E328" t="s">
        <v>1491</v>
      </c>
      <c r="F32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8" t="str">
        <f>IF(tblShipments[[#This Row],[EGM no]]="", "Missing EGM", "EGM Submitted")</f>
        <v>EGM Submitted</v>
      </c>
      <c r="H328" t="str">
        <f>IF(OR(ISNUMBER(SEARCH("Released",tblShipments[[#This Row],[ROSL]])),
      ISNUMBER(SEARCH("Scroll",tblShipments[[#This Row],[ROSL]])),
      ISNUMBER(SEARCH("Y",tblShipments[[#This Row],[ROSL]]))),
   "Released",
   "Not Released")</f>
        <v>Released</v>
      </c>
      <c r="I328" t="str">
        <f>IF(OR(tblShipments[[#This Row],[EGM no]]="", tblShipments[[#This Row],[EGM no]]="N.A."), "Not Submitted", "Submitted")</f>
        <v>Submitted</v>
      </c>
      <c r="J328" t="str">
        <f>IF(LEFT(tblShipments[[#This Row],[Gateway_Extracted]],2)="IN","Valid","Invalid")</f>
        <v>Valid</v>
      </c>
      <c r="K328" t="s">
        <v>1492</v>
      </c>
      <c r="L328" t="s">
        <v>1493</v>
      </c>
      <c r="M328" t="s">
        <v>13</v>
      </c>
      <c r="N328" t="s">
        <v>1494</v>
      </c>
      <c r="O328" t="str">
        <f>IFERROR("IN" &amp; _xlfn.TEXTBEFORE(_xlfn.TEXTAFTER(UPPER(tblShipments[[#This Row],[Gateway_clean]]),"IN")," ",1),"")</f>
        <v>INMUN1</v>
      </c>
      <c r="P328" t="str">
        <f>SUBSTITUTE(tblShipments[[#This Row],[Gateway]], CHAR(10), " ")</f>
        <v xml:space="preserve">AWB No. Gateway Port Gateway EGM No. Gateway EGM Date Gateway Site ID Error Code N.A.  INMUN1  140930  2017-12-19 00:00:00.0  INMUN1  S </v>
      </c>
      <c r="Q328" t="s">
        <v>1495</v>
      </c>
    </row>
    <row r="329" spans="1:17" x14ac:dyDescent="0.35">
      <c r="A329" t="s">
        <v>8</v>
      </c>
      <c r="B329">
        <v>1487979</v>
      </c>
      <c r="C329" s="2" t="s">
        <v>1485</v>
      </c>
      <c r="D329" s="2" t="str">
        <f>LEFT(TRIM(MID(SUBSTITUTE(tblShipments[[#This Row],[Details]],CHAR(10)," "), FIND(CHAR(10),tblShipments[[#This Row],[Details]])+1, 50)), 10)</f>
        <v>0505075172</v>
      </c>
      <c r="E329" t="s">
        <v>1496</v>
      </c>
      <c r="F32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29" t="str">
        <f>IF(tblShipments[[#This Row],[EGM no]]="", "Missing EGM", "EGM Submitted")</f>
        <v>EGM Submitted</v>
      </c>
      <c r="H329" t="str">
        <f>IF(OR(ISNUMBER(SEARCH("Released",tblShipments[[#This Row],[ROSL]])),
      ISNUMBER(SEARCH("Scroll",tblShipments[[#This Row],[ROSL]])),
      ISNUMBER(SEARCH("Y",tblShipments[[#This Row],[ROSL]]))),
   "Released",
   "Not Released")</f>
        <v>Released</v>
      </c>
      <c r="I329" t="str">
        <f>IF(OR(tblShipments[[#This Row],[EGM no]]="", tblShipments[[#This Row],[EGM no]]="N.A."), "Not Submitted", "Submitted")</f>
        <v>Submitted</v>
      </c>
      <c r="J329" t="str">
        <f>IF(LEFT(tblShipments[[#This Row],[Gateway_Extracted]],2)="IN","Valid","Invalid")</f>
        <v>Valid</v>
      </c>
      <c r="K329" t="s">
        <v>1497</v>
      </c>
      <c r="L329" t="s">
        <v>1467</v>
      </c>
      <c r="M329" t="s">
        <v>13</v>
      </c>
      <c r="N329" t="s">
        <v>1498</v>
      </c>
      <c r="O329" t="str">
        <f>IFERROR("IN" &amp; _xlfn.TEXTBEFORE(_xlfn.TEXTAFTER(UPPER(tblShipments[[#This Row],[Gateway_clean]]),"IN")," ",1),"")</f>
        <v>INNSA1</v>
      </c>
      <c r="P329" t="str">
        <f>SUBSTITUTE(tblShipments[[#This Row],[Gateway]], CHAR(10), " ")</f>
        <v xml:space="preserve">AWB No. Gateway Port Gateway EGM No. Gateway EGM Date Gateway Site ID Error Code N.A.  INNSA1  140365  2017-12-08 00:00:00.0  INNSA1  N </v>
      </c>
      <c r="Q329" t="s">
        <v>1469</v>
      </c>
    </row>
    <row r="330" spans="1:17" x14ac:dyDescent="0.35">
      <c r="A330" t="s">
        <v>8</v>
      </c>
      <c r="B330">
        <v>1509191</v>
      </c>
      <c r="C330" s="2" t="s">
        <v>1499</v>
      </c>
      <c r="D330" s="2" t="str">
        <f>LEFT(TRIM(MID(SUBSTITUTE(tblShipments[[#This Row],[Details]],CHAR(10)," "), FIND(CHAR(10),tblShipments[[#This Row],[Details]])+1, 50)), 10)</f>
        <v>0515934062</v>
      </c>
      <c r="E330" t="s">
        <v>1500</v>
      </c>
      <c r="F33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0" t="str">
        <f>IF(tblShipments[[#This Row],[EGM no]]="", "Missing EGM", "EGM Submitted")</f>
        <v>EGM Submitted</v>
      </c>
      <c r="H330" t="str">
        <f>IF(OR(ISNUMBER(SEARCH("Released",tblShipments[[#This Row],[ROSL]])),
      ISNUMBER(SEARCH("Scroll",tblShipments[[#This Row],[ROSL]])),
      ISNUMBER(SEARCH("Y",tblShipments[[#This Row],[ROSL]]))),
   "Released",
   "Not Released")</f>
        <v>Released</v>
      </c>
      <c r="I330" t="str">
        <f>IF(OR(tblShipments[[#This Row],[EGM no]]="", tblShipments[[#This Row],[EGM no]]="N.A."), "Not Submitted", "Submitted")</f>
        <v>Submitted</v>
      </c>
      <c r="J330" t="str">
        <f>IF(LEFT(tblShipments[[#This Row],[Gateway_Extracted]],2)="IN","Valid","Invalid")</f>
        <v>Invalid</v>
      </c>
      <c r="K330" t="s">
        <v>1501</v>
      </c>
      <c r="L330" t="s">
        <v>1502</v>
      </c>
      <c r="M330" t="s">
        <v>13</v>
      </c>
      <c r="N330" t="s">
        <v>1503</v>
      </c>
      <c r="O330" t="str">
        <f>IFERROR("IN" &amp; _xlfn.TEXTBEFORE(_xlfn.TEXTAFTER(UPPER(tblShipments[[#This Row],[Gateway_clean]]),"IN")," ",1),"")</f>
        <v/>
      </c>
      <c r="P330" t="str">
        <f>SUBSTITUTE(tblShipments[[#This Row],[Gateway]], CHAR(10), " ")</f>
        <v>Please Wait....</v>
      </c>
      <c r="Q330" t="s">
        <v>105</v>
      </c>
    </row>
    <row r="331" spans="1:17" x14ac:dyDescent="0.35">
      <c r="A331" t="s">
        <v>8</v>
      </c>
      <c r="B331">
        <v>1512374</v>
      </c>
      <c r="C331" s="2" t="s">
        <v>1499</v>
      </c>
      <c r="D331" s="2" t="str">
        <f>LEFT(TRIM(MID(SUBSTITUTE(tblShipments[[#This Row],[Details]],CHAR(10)," "), FIND(CHAR(10),tblShipments[[#This Row],[Details]])+1, 50)), 10)</f>
        <v>0508028078</v>
      </c>
      <c r="E331" t="s">
        <v>1504</v>
      </c>
      <c r="F33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1" t="str">
        <f>IF(tblShipments[[#This Row],[EGM no]]="", "Missing EGM", "EGM Submitted")</f>
        <v>EGM Submitted</v>
      </c>
      <c r="H331" t="str">
        <f>IF(OR(ISNUMBER(SEARCH("Released",tblShipments[[#This Row],[ROSL]])),
      ISNUMBER(SEARCH("Scroll",tblShipments[[#This Row],[ROSL]])),
      ISNUMBER(SEARCH("Y",tblShipments[[#This Row],[ROSL]]))),
   "Released",
   "Not Released")</f>
        <v>Released</v>
      </c>
      <c r="I331" t="str">
        <f>IF(OR(tblShipments[[#This Row],[EGM no]]="", tblShipments[[#This Row],[EGM no]]="N.A."), "Not Submitted", "Submitted")</f>
        <v>Submitted</v>
      </c>
      <c r="J331" t="str">
        <f>IF(LEFT(tblShipments[[#This Row],[Gateway_Extracted]],2)="IN","Valid","Invalid")</f>
        <v>Valid</v>
      </c>
      <c r="K331" t="s">
        <v>1505</v>
      </c>
      <c r="L331" t="s">
        <v>1506</v>
      </c>
      <c r="M331" t="s">
        <v>13</v>
      </c>
      <c r="N331" t="s">
        <v>1507</v>
      </c>
      <c r="O331" t="str">
        <f>IFERROR("IN" &amp; _xlfn.TEXTBEFORE(_xlfn.TEXTAFTER(UPPER(tblShipments[[#This Row],[Gateway_clean]]),"IN")," ",1),"")</f>
        <v>INNSA1</v>
      </c>
      <c r="P331" t="str">
        <f>SUBSTITUTE(tblShipments[[#This Row],[Gateway]], CHAR(10), " ")</f>
        <v xml:space="preserve">AWB No. Gateway Port Gateway EGM No. Gateway EGM Date Gateway Site ID Error Code N.A.  INNSA1  140677  2017-12-14 00:00:00.0  INNSA1  S </v>
      </c>
      <c r="Q331" t="s">
        <v>1464</v>
      </c>
    </row>
    <row r="332" spans="1:17" x14ac:dyDescent="0.35">
      <c r="A332" t="s">
        <v>8</v>
      </c>
      <c r="B332">
        <v>1521533</v>
      </c>
      <c r="C332" s="2" t="s">
        <v>1499</v>
      </c>
      <c r="D332" s="2" t="str">
        <f>LEFT(TRIM(MID(SUBSTITUTE(tblShipments[[#This Row],[Details]],CHAR(10)," "), FIND(CHAR(10),tblShipments[[#This Row],[Details]])+1, 50)), 10)</f>
        <v>0504011057</v>
      </c>
      <c r="E332" t="s">
        <v>1508</v>
      </c>
      <c r="F33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2" t="str">
        <f>IF(tblShipments[[#This Row],[EGM no]]="", "Missing EGM", "EGM Submitted")</f>
        <v>EGM Submitted</v>
      </c>
      <c r="H332" t="str">
        <f>IF(OR(ISNUMBER(SEARCH("Released",tblShipments[[#This Row],[ROSL]])),
      ISNUMBER(SEARCH("Scroll",tblShipments[[#This Row],[ROSL]])),
      ISNUMBER(SEARCH("Y",tblShipments[[#This Row],[ROSL]]))),
   "Released",
   "Not Released")</f>
        <v>Released</v>
      </c>
      <c r="I332" t="str">
        <f>IF(OR(tblShipments[[#This Row],[EGM no]]="", tblShipments[[#This Row],[EGM no]]="N.A."), "Not Submitted", "Submitted")</f>
        <v>Submitted</v>
      </c>
      <c r="J332" t="str">
        <f>IF(LEFT(tblShipments[[#This Row],[Gateway_Extracted]],2)="IN","Valid","Invalid")</f>
        <v>Valid</v>
      </c>
      <c r="K332" t="s">
        <v>1471</v>
      </c>
      <c r="L332" t="s">
        <v>1509</v>
      </c>
      <c r="M332" t="s">
        <v>13</v>
      </c>
      <c r="N332" t="s">
        <v>1510</v>
      </c>
      <c r="O332" t="str">
        <f>IFERROR("IN" &amp; _xlfn.TEXTBEFORE(_xlfn.TEXTAFTER(UPPER(tblShipments[[#This Row],[Gateway_clean]]),"IN")," ",1),"")</f>
        <v>INMUN1</v>
      </c>
      <c r="P332" t="str">
        <f>SUBSTITUTE(tblShipments[[#This Row],[Gateway]], CHAR(10), " ")</f>
        <v xml:space="preserve">AWB No. Gateway Port Gateway EGM No. Gateway EGM Date Gateway Site ID Error Code N.A.  INMUN1  140931  2017-12-19 00:00:00.0  INMUN1  S </v>
      </c>
      <c r="Q332" t="s">
        <v>1511</v>
      </c>
    </row>
    <row r="333" spans="1:17" x14ac:dyDescent="0.35">
      <c r="A333" t="s">
        <v>8</v>
      </c>
      <c r="B333">
        <v>1523411</v>
      </c>
      <c r="C333" s="2" t="s">
        <v>1499</v>
      </c>
      <c r="D333" s="2" t="str">
        <f>LEFT(TRIM(MID(SUBSTITUTE(tblShipments[[#This Row],[Details]],CHAR(10)," "), FIND(CHAR(10),tblShipments[[#This Row],[Details]])+1, 50)), 10)</f>
        <v>1306014115</v>
      </c>
      <c r="E333" t="s">
        <v>1512</v>
      </c>
      <c r="F33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3" t="str">
        <f>IF(tblShipments[[#This Row],[EGM no]]="", "Missing EGM", "EGM Submitted")</f>
        <v>EGM Submitted</v>
      </c>
      <c r="H333" t="str">
        <f>IF(OR(ISNUMBER(SEARCH("Released",tblShipments[[#This Row],[ROSL]])),
      ISNUMBER(SEARCH("Scroll",tblShipments[[#This Row],[ROSL]])),
      ISNUMBER(SEARCH("Y",tblShipments[[#This Row],[ROSL]]))),
   "Released",
   "Not Released")</f>
        <v>Released</v>
      </c>
      <c r="I333" t="str">
        <f>IF(OR(tblShipments[[#This Row],[EGM no]]="", tblShipments[[#This Row],[EGM no]]="N.A."), "Not Submitted", "Submitted")</f>
        <v>Submitted</v>
      </c>
      <c r="J333" t="str">
        <f>IF(LEFT(tblShipments[[#This Row],[Gateway_Extracted]],2)="IN","Valid","Invalid")</f>
        <v>Valid</v>
      </c>
      <c r="K333" t="s">
        <v>1513</v>
      </c>
      <c r="L333" t="s">
        <v>1514</v>
      </c>
      <c r="M333" t="s">
        <v>13</v>
      </c>
      <c r="N333" t="s">
        <v>1515</v>
      </c>
      <c r="O333" t="str">
        <f>IFERROR("IN" &amp; _xlfn.TEXTBEFORE(_xlfn.TEXTAFTER(UPPER(tblShipments[[#This Row],[Gateway_clean]]),"IN")," ",1),"")</f>
        <v>INMUN1</v>
      </c>
      <c r="P333" t="str">
        <f>SUBSTITUTE(tblShipments[[#This Row],[Gateway]], CHAR(10), " ")</f>
        <v xml:space="preserve">AWB No. Gateway Port Gateway EGM No. Gateway EGM Date Gateway Site ID Error Code N.A.  INMUN1  N.A.  N.A.  N.A.  N.A. </v>
      </c>
      <c r="Q333" t="s">
        <v>244</v>
      </c>
    </row>
    <row r="334" spans="1:17" x14ac:dyDescent="0.35">
      <c r="A334" t="s">
        <v>8</v>
      </c>
      <c r="B334">
        <v>1546285</v>
      </c>
      <c r="C334" s="2" t="s">
        <v>1516</v>
      </c>
      <c r="D334" s="2" t="str">
        <f>LEFT(TRIM(MID(SUBSTITUTE(tblShipments[[#This Row],[Details]],CHAR(10)," "), FIND(CHAR(10),tblShipments[[#This Row],[Details]])+1, 50)), 10)</f>
        <v>3104003254</v>
      </c>
      <c r="E334" t="s">
        <v>1517</v>
      </c>
      <c r="F33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4" t="str">
        <f>IF(tblShipments[[#This Row],[EGM no]]="", "Missing EGM", "EGM Submitted")</f>
        <v>EGM Submitted</v>
      </c>
      <c r="H334" t="str">
        <f>IF(OR(ISNUMBER(SEARCH("Released",tblShipments[[#This Row],[ROSL]])),
      ISNUMBER(SEARCH("Scroll",tblShipments[[#This Row],[ROSL]])),
      ISNUMBER(SEARCH("Y",tblShipments[[#This Row],[ROSL]]))),
   "Released",
   "Not Released")</f>
        <v>Released</v>
      </c>
      <c r="I334" t="str">
        <f>IF(OR(tblShipments[[#This Row],[EGM no]]="", tblShipments[[#This Row],[EGM no]]="N.A."), "Not Submitted", "Submitted")</f>
        <v>Submitted</v>
      </c>
      <c r="J334" t="str">
        <f>IF(LEFT(tblShipments[[#This Row],[Gateway_Extracted]],2)="IN","Valid","Invalid")</f>
        <v>Valid</v>
      </c>
      <c r="K334" t="s">
        <v>1497</v>
      </c>
      <c r="L334" t="s">
        <v>1518</v>
      </c>
      <c r="M334" t="s">
        <v>13</v>
      </c>
      <c r="N334" t="s">
        <v>1519</v>
      </c>
      <c r="O334" t="str">
        <f>IFERROR("IN" &amp; _xlfn.TEXTBEFORE(_xlfn.TEXTAFTER(UPPER(tblShipments[[#This Row],[Gateway_clean]]),"IN")," ",1),"")</f>
        <v>INMUN1</v>
      </c>
      <c r="P334" t="str">
        <f>SUBSTITUTE(tblShipments[[#This Row],[Gateway]], CHAR(10), " ")</f>
        <v xml:space="preserve">AWB No. Gateway Port Gateway EGM No. Gateway EGM Date Gateway Site ID Error Code N.A.  INMUN1  141045  2017-12-20 00:00:00.0  INMUN1  S </v>
      </c>
      <c r="Q334" t="s">
        <v>1319</v>
      </c>
    </row>
    <row r="335" spans="1:17" x14ac:dyDescent="0.35">
      <c r="A335" t="s">
        <v>8</v>
      </c>
      <c r="B335">
        <v>1547350</v>
      </c>
      <c r="C335" s="2" t="s">
        <v>1516</v>
      </c>
      <c r="D335" s="2" t="str">
        <f>LEFT(TRIM(MID(SUBSTITUTE(tblShipments[[#This Row],[Details]],CHAR(10)," "), FIND(CHAR(10),tblShipments[[#This Row],[Details]])+1, 50)), 10)</f>
        <v>0504077171</v>
      </c>
      <c r="E335" t="s">
        <v>1520</v>
      </c>
      <c r="F33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5" t="str">
        <f>IF(tblShipments[[#This Row],[EGM no]]="", "Missing EGM", "EGM Submitted")</f>
        <v>EGM Submitted</v>
      </c>
      <c r="H335" t="str">
        <f>IF(OR(ISNUMBER(SEARCH("Released",tblShipments[[#This Row],[ROSL]])),
      ISNUMBER(SEARCH("Scroll",tblShipments[[#This Row],[ROSL]])),
      ISNUMBER(SEARCH("Y",tblShipments[[#This Row],[ROSL]]))),
   "Released",
   "Not Released")</f>
        <v>Released</v>
      </c>
      <c r="I335" t="str">
        <f>IF(OR(tblShipments[[#This Row],[EGM no]]="", tblShipments[[#This Row],[EGM no]]="N.A."), "Not Submitted", "Submitted")</f>
        <v>Submitted</v>
      </c>
      <c r="J335" t="str">
        <f>IF(LEFT(tblShipments[[#This Row],[Gateway_Extracted]],2)="IN","Valid","Invalid")</f>
        <v>Valid</v>
      </c>
      <c r="K335" t="s">
        <v>1521</v>
      </c>
      <c r="L335" t="s">
        <v>1522</v>
      </c>
      <c r="M335" t="s">
        <v>31</v>
      </c>
      <c r="N335" t="s">
        <v>1523</v>
      </c>
      <c r="O335" t="str">
        <f>IFERROR("IN" &amp; _xlfn.TEXTBEFORE(_xlfn.TEXTAFTER(UPPER(tblShipments[[#This Row],[Gateway_clean]]),"IN")," ",1),"")</f>
        <v>INPAV1</v>
      </c>
      <c r="P335" t="str">
        <f>SUBSTITUTE(tblShipments[[#This Row],[Gateway]], CHAR(10), " ")</f>
        <v xml:space="preserve">AWB No. Gateway Port Gateway EGM No. Gateway EGM Date Gateway Site ID Error Code N.A.  INPAV1  140831  2017-12-18 00:00:00.0  INPAV1  S </v>
      </c>
      <c r="Q335" t="s">
        <v>1490</v>
      </c>
    </row>
    <row r="336" spans="1:17" x14ac:dyDescent="0.35">
      <c r="A336" t="s">
        <v>8</v>
      </c>
      <c r="B336">
        <v>1551135</v>
      </c>
      <c r="C336" s="2" t="s">
        <v>1516</v>
      </c>
      <c r="D336" s="2" t="str">
        <f>LEFT(TRIM(MID(SUBSTITUTE(tblShipments[[#This Row],[Details]],CHAR(10)," "), FIND(CHAR(10),tblShipments[[#This Row],[Details]])+1, 50)), 10)</f>
        <v>0500050139</v>
      </c>
      <c r="E336" t="s">
        <v>1524</v>
      </c>
      <c r="F33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6" t="str">
        <f>IF(tblShipments[[#This Row],[EGM no]]="", "Missing EGM", "EGM Submitted")</f>
        <v>EGM Submitted</v>
      </c>
      <c r="H336" t="str">
        <f>IF(OR(ISNUMBER(SEARCH("Released",tblShipments[[#This Row],[ROSL]])),
      ISNUMBER(SEARCH("Scroll",tblShipments[[#This Row],[ROSL]])),
      ISNUMBER(SEARCH("Y",tblShipments[[#This Row],[ROSL]]))),
   "Released",
   "Not Released")</f>
        <v>Released</v>
      </c>
      <c r="I336" t="str">
        <f>IF(OR(tblShipments[[#This Row],[EGM no]]="", tblShipments[[#This Row],[EGM no]]="N.A."), "Not Submitted", "Submitted")</f>
        <v>Submitted</v>
      </c>
      <c r="J336" t="str">
        <f>IF(LEFT(tblShipments[[#This Row],[Gateway_Extracted]],2)="IN","Valid","Invalid")</f>
        <v>Valid</v>
      </c>
      <c r="K336" t="s">
        <v>1481</v>
      </c>
      <c r="L336" t="s">
        <v>1525</v>
      </c>
      <c r="M336" t="s">
        <v>31</v>
      </c>
      <c r="N336" t="s">
        <v>1526</v>
      </c>
      <c r="O336" t="str">
        <f>IFERROR("IN" &amp; _xlfn.TEXTBEFORE(_xlfn.TEXTAFTER(UPPER(tblShipments[[#This Row],[Gateway_clean]]),"IN")," ",1),"")</f>
        <v>INNSA1</v>
      </c>
      <c r="P336" t="str">
        <f>SUBSTITUTE(tblShipments[[#This Row],[Gateway]], CHAR(10), " ")</f>
        <v xml:space="preserve">AWB No. Gateway Port Gateway EGM No. Gateway EGM Date Gateway Site ID Error Code N.A.  INNSA1  138758  2017-11-14 00:00:00.0  INNSA1  S </v>
      </c>
      <c r="Q336" t="s">
        <v>1527</v>
      </c>
    </row>
    <row r="337" spans="1:17" x14ac:dyDescent="0.35">
      <c r="A337" t="s">
        <v>8</v>
      </c>
      <c r="B337">
        <v>1566061</v>
      </c>
      <c r="C337" s="2" t="s">
        <v>1528</v>
      </c>
      <c r="D337" s="2" t="str">
        <f>LEFT(TRIM(MID(SUBSTITUTE(tblShipments[[#This Row],[Details]],CHAR(10)," "), FIND(CHAR(10),tblShipments[[#This Row],[Details]])+1, 50)), 10)</f>
        <v>0713000201</v>
      </c>
      <c r="E337" t="s">
        <v>1529</v>
      </c>
      <c r="F33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7" t="str">
        <f>IF(tblShipments[[#This Row],[EGM no]]="", "Missing EGM", "EGM Submitted")</f>
        <v>EGM Submitted</v>
      </c>
      <c r="H337" t="str">
        <f>IF(OR(ISNUMBER(SEARCH("Released",tblShipments[[#This Row],[ROSL]])),
      ISNUMBER(SEARCH("Scroll",tblShipments[[#This Row],[ROSL]])),
      ISNUMBER(SEARCH("Y",tblShipments[[#This Row],[ROSL]]))),
   "Released",
   "Not Released")</f>
        <v>Released</v>
      </c>
      <c r="I337" t="str">
        <f>IF(OR(tblShipments[[#This Row],[EGM no]]="", tblShipments[[#This Row],[EGM no]]="N.A."), "Not Submitted", "Submitted")</f>
        <v>Submitted</v>
      </c>
      <c r="J337" t="str">
        <f>IF(LEFT(tblShipments[[#This Row],[Gateway_Extracted]],2)="IN","Valid","Invalid")</f>
        <v>Invalid</v>
      </c>
      <c r="K337" t="s">
        <v>1530</v>
      </c>
      <c r="L337" t="s">
        <v>1531</v>
      </c>
      <c r="M337" t="s">
        <v>31</v>
      </c>
      <c r="N337" t="s">
        <v>1532</v>
      </c>
      <c r="O337" t="str">
        <f>IFERROR("IN" &amp; _xlfn.TEXTBEFORE(_xlfn.TEXTAFTER(UPPER(tblShipments[[#This Row],[Gateway_clean]]),"IN")," ",1),"")</f>
        <v/>
      </c>
      <c r="P337" t="str">
        <f>SUBSTITUTE(tblShipments[[#This Row],[Gateway]], CHAR(10), " ")</f>
        <v>Please Wait....</v>
      </c>
      <c r="Q337" t="s">
        <v>105</v>
      </c>
    </row>
    <row r="338" spans="1:17" x14ac:dyDescent="0.35">
      <c r="A338" t="s">
        <v>8</v>
      </c>
      <c r="B338">
        <v>1568268</v>
      </c>
      <c r="C338" s="2" t="s">
        <v>1528</v>
      </c>
      <c r="D338" s="2" t="str">
        <f>LEFT(TRIM(MID(SUBSTITUTE(tblShipments[[#This Row],[Details]],CHAR(10)," "), FIND(CHAR(10),tblShipments[[#This Row],[Details]])+1, 50)), 10)</f>
        <v>0589053850</v>
      </c>
      <c r="E338" t="s">
        <v>1533</v>
      </c>
      <c r="F33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8" t="str">
        <f>IF(tblShipments[[#This Row],[EGM no]]="", "Missing EGM", "EGM Submitted")</f>
        <v>EGM Submitted</v>
      </c>
      <c r="H338" t="str">
        <f>IF(OR(ISNUMBER(SEARCH("Released",tblShipments[[#This Row],[ROSL]])),
      ISNUMBER(SEARCH("Scroll",tblShipments[[#This Row],[ROSL]])),
      ISNUMBER(SEARCH("Y",tblShipments[[#This Row],[ROSL]]))),
   "Released",
   "Not Released")</f>
        <v>Released</v>
      </c>
      <c r="I338" t="str">
        <f>IF(OR(tblShipments[[#This Row],[EGM no]]="", tblShipments[[#This Row],[EGM no]]="N.A."), "Not Submitted", "Submitted")</f>
        <v>Submitted</v>
      </c>
      <c r="J338" t="str">
        <f>IF(LEFT(tblShipments[[#This Row],[Gateway_Extracted]],2)="IN","Valid","Invalid")</f>
        <v>Valid</v>
      </c>
      <c r="K338" t="s">
        <v>1461</v>
      </c>
      <c r="L338" t="s">
        <v>1534</v>
      </c>
      <c r="M338" t="s">
        <v>13</v>
      </c>
      <c r="N338" t="s">
        <v>1535</v>
      </c>
      <c r="O338" t="str">
        <f>IFERROR("IN" &amp; _xlfn.TEXTBEFORE(_xlfn.TEXTAFTER(UPPER(tblShipments[[#This Row],[Gateway_clean]]),"IN")," ",1),"")</f>
        <v>INNSA1</v>
      </c>
      <c r="P338" t="str">
        <f>SUBSTITUTE(tblShipments[[#This Row],[Gateway]], CHAR(10), " ")</f>
        <v xml:space="preserve">AWB No. Gateway Port Gateway EGM No. Gateway EGM Date Gateway Site ID Error Code N.A.  INNSA1  140487  2017-12-12 00:00:00.0  INNSA1  S </v>
      </c>
      <c r="Q338" t="s">
        <v>1536</v>
      </c>
    </row>
    <row r="339" spans="1:17" x14ac:dyDescent="0.35">
      <c r="A339" t="s">
        <v>8</v>
      </c>
      <c r="B339">
        <v>1579668</v>
      </c>
      <c r="C339" s="2" t="s">
        <v>1528</v>
      </c>
      <c r="D339" s="2" t="str">
        <f>LEFT(TRIM(MID(SUBSTITUTE(tblShipments[[#This Row],[Details]],CHAR(10)," "), FIND(CHAR(10),tblShipments[[#This Row],[Details]])+1, 50)), 10)</f>
        <v>0516526065</v>
      </c>
      <c r="E339" t="s">
        <v>1537</v>
      </c>
      <c r="F33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39" t="str">
        <f>IF(tblShipments[[#This Row],[EGM no]]="", "Missing EGM", "EGM Submitted")</f>
        <v>EGM Submitted</v>
      </c>
      <c r="H339" t="str">
        <f>IF(OR(ISNUMBER(SEARCH("Released",tblShipments[[#This Row],[ROSL]])),
      ISNUMBER(SEARCH("Scroll",tblShipments[[#This Row],[ROSL]])),
      ISNUMBER(SEARCH("Y",tblShipments[[#This Row],[ROSL]]))),
   "Released",
   "Not Released")</f>
        <v>Released</v>
      </c>
      <c r="I339" t="str">
        <f>IF(OR(tblShipments[[#This Row],[EGM no]]="", tblShipments[[#This Row],[EGM no]]="N.A."), "Not Submitted", "Submitted")</f>
        <v>Submitted</v>
      </c>
      <c r="J339" t="str">
        <f>IF(LEFT(tblShipments[[#This Row],[Gateway_Extracted]],2)="IN","Valid","Invalid")</f>
        <v>Valid</v>
      </c>
      <c r="K339" t="s">
        <v>1538</v>
      </c>
      <c r="L339" t="s">
        <v>1539</v>
      </c>
      <c r="M339" t="s">
        <v>13</v>
      </c>
      <c r="N339" t="s">
        <v>1540</v>
      </c>
      <c r="O339" t="str">
        <f>IFERROR("IN" &amp; _xlfn.TEXTBEFORE(_xlfn.TEXTAFTER(UPPER(tblShipments[[#This Row],[Gateway_clean]]),"IN")," ",1),"")</f>
        <v>INNSA1</v>
      </c>
      <c r="P339" t="str">
        <f>SUBSTITUTE(tblShipments[[#This Row],[Gateway]], CHAR(10), " ")</f>
        <v xml:space="preserve">AWB No. Gateway Port Gateway EGM No. Gateway EGM Date Gateway Site ID Error Code N.A.  INNSA1  140586  2017-12-12 00:00:00.0  INNSA1  S </v>
      </c>
      <c r="Q339" t="s">
        <v>1541</v>
      </c>
    </row>
    <row r="340" spans="1:17" x14ac:dyDescent="0.35">
      <c r="A340" t="s">
        <v>8</v>
      </c>
      <c r="B340">
        <v>1580068</v>
      </c>
      <c r="C340" s="2" t="s">
        <v>1528</v>
      </c>
      <c r="D340" s="2" t="str">
        <f>LEFT(TRIM(MID(SUBSTITUTE(tblShipments[[#This Row],[Details]],CHAR(10)," "), FIND(CHAR(10),tblShipments[[#This Row],[Details]])+1, 50)), 10)</f>
        <v>3011014116</v>
      </c>
      <c r="E340" t="s">
        <v>1542</v>
      </c>
      <c r="F34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0" t="str">
        <f>IF(tblShipments[[#This Row],[EGM no]]="", "Missing EGM", "EGM Submitted")</f>
        <v>EGM Submitted</v>
      </c>
      <c r="H340" t="str">
        <f>IF(OR(ISNUMBER(SEARCH("Released",tblShipments[[#This Row],[ROSL]])),
      ISNUMBER(SEARCH("Scroll",tblShipments[[#This Row],[ROSL]])),
      ISNUMBER(SEARCH("Y",tblShipments[[#This Row],[ROSL]]))),
   "Released",
   "Not Released")</f>
        <v>Released</v>
      </c>
      <c r="I340" t="str">
        <f>IF(OR(tblShipments[[#This Row],[EGM no]]="", tblShipments[[#This Row],[EGM no]]="N.A."), "Not Submitted", "Submitted")</f>
        <v>Submitted</v>
      </c>
      <c r="J340" t="str">
        <f>IF(LEFT(tblShipments[[#This Row],[Gateway_Extracted]],2)="IN","Valid","Invalid")</f>
        <v>Valid</v>
      </c>
      <c r="K340" t="s">
        <v>1543</v>
      </c>
      <c r="L340" t="s">
        <v>1544</v>
      </c>
      <c r="M340" t="s">
        <v>13</v>
      </c>
      <c r="N340" t="s">
        <v>1545</v>
      </c>
      <c r="O340" t="str">
        <f>IFERROR("IN" &amp; _xlfn.TEXTBEFORE(_xlfn.TEXTAFTER(UPPER(tblShipments[[#This Row],[Gateway_clean]]),"IN")," ",1),"")</f>
        <v>INNSA1</v>
      </c>
      <c r="P340" t="str">
        <f>SUBSTITUTE(tblShipments[[#This Row],[Gateway]], CHAR(10), " ")</f>
        <v xml:space="preserve">AWB No. Gateway Port Gateway EGM No. Gateway EGM Date Gateway Site ID Error Code N.A.  INNSA1  140402  2017-12-11 00:00:00.0  INNSA1  S </v>
      </c>
      <c r="Q340" t="s">
        <v>1546</v>
      </c>
    </row>
    <row r="341" spans="1:17" x14ac:dyDescent="0.35">
      <c r="A341" t="s">
        <v>8</v>
      </c>
      <c r="B341">
        <v>1609603</v>
      </c>
      <c r="C341" s="2" t="s">
        <v>1547</v>
      </c>
      <c r="D341" s="2" t="str">
        <f>LEFT(TRIM(MID(SUBSTITUTE(tblShipments[[#This Row],[Details]],CHAR(10)," "), FIND(CHAR(10),tblShipments[[#This Row],[Details]])+1, 50)), 10)</f>
        <v>0504077171</v>
      </c>
      <c r="E341" t="s">
        <v>1548</v>
      </c>
      <c r="F34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1" t="str">
        <f>IF(tblShipments[[#This Row],[EGM no]]="", "Missing EGM", "EGM Submitted")</f>
        <v>EGM Submitted</v>
      </c>
      <c r="H341" t="str">
        <f>IF(OR(ISNUMBER(SEARCH("Released",tblShipments[[#This Row],[ROSL]])),
      ISNUMBER(SEARCH("Scroll",tblShipments[[#This Row],[ROSL]])),
      ISNUMBER(SEARCH("Y",tblShipments[[#This Row],[ROSL]]))),
   "Released",
   "Not Released")</f>
        <v>Released</v>
      </c>
      <c r="I341" t="str">
        <f>IF(OR(tblShipments[[#This Row],[EGM no]]="", tblShipments[[#This Row],[EGM no]]="N.A."), "Not Submitted", "Submitted")</f>
        <v>Submitted</v>
      </c>
      <c r="J341" t="str">
        <f>IF(LEFT(tblShipments[[#This Row],[Gateway_Extracted]],2)="IN","Valid","Invalid")</f>
        <v>Valid</v>
      </c>
      <c r="K341" t="s">
        <v>1549</v>
      </c>
      <c r="L341" t="s">
        <v>1550</v>
      </c>
      <c r="M341" t="s">
        <v>31</v>
      </c>
      <c r="N341" t="s">
        <v>1551</v>
      </c>
      <c r="O341" t="str">
        <f>IFERROR("IN" &amp; _xlfn.TEXTBEFORE(_xlfn.TEXTAFTER(UPPER(tblShipments[[#This Row],[Gateway_clean]]),"IN")," ",1),"")</f>
        <v>INPAV1</v>
      </c>
      <c r="P341" t="str">
        <f>SUBSTITUTE(tblShipments[[#This Row],[Gateway]], CHAR(10), " ")</f>
        <v xml:space="preserve">AWB No. Gateway Port Gateway EGM No. Gateway EGM Date Gateway Site ID Error Code N.A.  INPAV1  140831  2017-12-18 00:00:00.0  INPAV1  S </v>
      </c>
      <c r="Q341" t="s">
        <v>1490</v>
      </c>
    </row>
    <row r="342" spans="1:17" x14ac:dyDescent="0.35">
      <c r="A342" t="s">
        <v>8</v>
      </c>
      <c r="B342">
        <v>1614481</v>
      </c>
      <c r="C342" s="2" t="s">
        <v>1547</v>
      </c>
      <c r="D342" s="2" t="str">
        <f>LEFT(TRIM(MID(SUBSTITUTE(tblShipments[[#This Row],[Details]],CHAR(10)," "), FIND(CHAR(10),tblShipments[[#This Row],[Details]])+1, 50)), 10)</f>
        <v>0593052561</v>
      </c>
      <c r="E342" t="s">
        <v>1552</v>
      </c>
      <c r="F34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2" t="str">
        <f>IF(tblShipments[[#This Row],[EGM no]]="", "Missing EGM", "EGM Submitted")</f>
        <v>EGM Submitted</v>
      </c>
      <c r="H342" t="str">
        <f>IF(OR(ISNUMBER(SEARCH("Released",tblShipments[[#This Row],[ROSL]])),
      ISNUMBER(SEARCH("Scroll",tblShipments[[#This Row],[ROSL]])),
      ISNUMBER(SEARCH("Y",tblShipments[[#This Row],[ROSL]]))),
   "Released",
   "Not Released")</f>
        <v>Released</v>
      </c>
      <c r="I342" t="str">
        <f>IF(OR(tblShipments[[#This Row],[EGM no]]="", tblShipments[[#This Row],[EGM no]]="N.A."), "Not Submitted", "Submitted")</f>
        <v>Submitted</v>
      </c>
      <c r="J342" t="str">
        <f>IF(LEFT(tblShipments[[#This Row],[Gateway_Extracted]],2)="IN","Valid","Invalid")</f>
        <v>Valid</v>
      </c>
      <c r="K342" t="s">
        <v>1553</v>
      </c>
      <c r="L342" t="s">
        <v>1554</v>
      </c>
      <c r="M342" t="s">
        <v>31</v>
      </c>
      <c r="N342" t="s">
        <v>1555</v>
      </c>
      <c r="O342" t="str">
        <f>IFERROR("IN" &amp; _xlfn.TEXTBEFORE(_xlfn.TEXTAFTER(UPPER(tblShipments[[#This Row],[Gateway_clean]]),"IN")," ",1),"")</f>
        <v>INNSA1</v>
      </c>
      <c r="P342" t="str">
        <f>SUBSTITUTE(tblShipments[[#This Row],[Gateway]], CHAR(10), " ")</f>
        <v xml:space="preserve">AWB No. Gateway Port Gateway EGM No. Gateway EGM Date Gateway Site ID Error Code N.A.  INNSA1  141463  2017-12-27 00:00:00.0  INNSA1  S </v>
      </c>
      <c r="Q342" t="s">
        <v>1556</v>
      </c>
    </row>
    <row r="343" spans="1:17" x14ac:dyDescent="0.35">
      <c r="A343" t="s">
        <v>8</v>
      </c>
      <c r="B343">
        <v>1616744</v>
      </c>
      <c r="C343" s="2" t="s">
        <v>1547</v>
      </c>
      <c r="D343" s="2" t="str">
        <f>LEFT(TRIM(MID(SUBSTITUTE(tblShipments[[#This Row],[Details]],CHAR(10)," "), FIND(CHAR(10),tblShipments[[#This Row],[Details]])+1, 50)), 10)</f>
        <v>0389025364</v>
      </c>
      <c r="E343" t="s">
        <v>1557</v>
      </c>
      <c r="F34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3" t="str">
        <f>IF(tblShipments[[#This Row],[EGM no]]="", "Missing EGM", "EGM Submitted")</f>
        <v>EGM Submitted</v>
      </c>
      <c r="H343" t="str">
        <f>IF(OR(ISNUMBER(SEARCH("Released",tblShipments[[#This Row],[ROSL]])),
      ISNUMBER(SEARCH("Scroll",tblShipments[[#This Row],[ROSL]])),
      ISNUMBER(SEARCH("Y",tblShipments[[#This Row],[ROSL]]))),
   "Released",
   "Not Released")</f>
        <v>Released</v>
      </c>
      <c r="I343" t="str">
        <f>IF(OR(tblShipments[[#This Row],[EGM no]]="", tblShipments[[#This Row],[EGM no]]="N.A."), "Not Submitted", "Submitted")</f>
        <v>Submitted</v>
      </c>
      <c r="J343" t="str">
        <f>IF(LEFT(tblShipments[[#This Row],[Gateway_Extracted]],2)="IN","Valid","Invalid")</f>
        <v>Valid</v>
      </c>
      <c r="K343" t="s">
        <v>1558</v>
      </c>
      <c r="L343" t="s">
        <v>1559</v>
      </c>
      <c r="M343" t="s">
        <v>13</v>
      </c>
      <c r="N343" t="s">
        <v>1560</v>
      </c>
      <c r="O343" t="str">
        <f>IFERROR("IN" &amp; _xlfn.TEXTBEFORE(_xlfn.TEXTAFTER(UPPER(tblShipments[[#This Row],[Gateway_clean]]),"IN")," ",1),"")</f>
        <v>INMUN1</v>
      </c>
      <c r="P343" t="str">
        <f>SUBSTITUTE(tblShipments[[#This Row],[Gateway]], CHAR(10), " ")</f>
        <v xml:space="preserve">AWB No. Gateway Port Gateway EGM No. Gateway EGM Date Gateway Site ID Error Code N.A.  INMUN1  141297  2017-12-26 00:00:00.0  INMUN1  S </v>
      </c>
      <c r="Q343" t="s">
        <v>1561</v>
      </c>
    </row>
    <row r="344" spans="1:17" x14ac:dyDescent="0.35">
      <c r="A344" t="s">
        <v>8</v>
      </c>
      <c r="B344">
        <v>1622551</v>
      </c>
      <c r="C344" s="2" t="s">
        <v>1547</v>
      </c>
      <c r="D344" s="2" t="str">
        <f>LEFT(TRIM(MID(SUBSTITUTE(tblShipments[[#This Row],[Details]],CHAR(10)," "), FIND(CHAR(10),tblShipments[[#This Row],[Details]])+1, 50)), 10)</f>
        <v>0505000873</v>
      </c>
      <c r="E344" t="s">
        <v>1562</v>
      </c>
      <c r="F34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4" t="str">
        <f>IF(tblShipments[[#This Row],[EGM no]]="", "Missing EGM", "EGM Submitted")</f>
        <v>EGM Submitted</v>
      </c>
      <c r="H344" t="str">
        <f>IF(OR(ISNUMBER(SEARCH("Released",tblShipments[[#This Row],[ROSL]])),
      ISNUMBER(SEARCH("Scroll",tblShipments[[#This Row],[ROSL]])),
      ISNUMBER(SEARCH("Y",tblShipments[[#This Row],[ROSL]]))),
   "Released",
   "Not Released")</f>
        <v>Released</v>
      </c>
      <c r="I344" t="str">
        <f>IF(OR(tblShipments[[#This Row],[EGM no]]="", tblShipments[[#This Row],[EGM no]]="N.A."), "Not Submitted", "Submitted")</f>
        <v>Submitted</v>
      </c>
      <c r="J344" t="str">
        <f>IF(LEFT(tblShipments[[#This Row],[Gateway_Extracted]],2)="IN","Valid","Invalid")</f>
        <v>Valid</v>
      </c>
      <c r="K344" t="s">
        <v>1543</v>
      </c>
      <c r="L344" t="s">
        <v>1563</v>
      </c>
      <c r="M344" t="s">
        <v>13</v>
      </c>
      <c r="N344" t="s">
        <v>1564</v>
      </c>
      <c r="O344" t="str">
        <f>IFERROR("IN" &amp; _xlfn.TEXTBEFORE(_xlfn.TEXTAFTER(UPPER(tblShipments[[#This Row],[Gateway_clean]]),"IN")," ",1),"")</f>
        <v>INNSA1</v>
      </c>
      <c r="P344" t="str">
        <f>SUBSTITUTE(tblShipments[[#This Row],[Gateway]], CHAR(10), " ")</f>
        <v xml:space="preserve">AWB No. Gateway Port Gateway EGM No. Gateway EGM Date Gateway Site ID Error Code N.A.  INNSA1  141039  2017-12-20 00:00:00.0  INNSA1  S </v>
      </c>
      <c r="Q344" t="s">
        <v>1565</v>
      </c>
    </row>
    <row r="345" spans="1:17" x14ac:dyDescent="0.35">
      <c r="A345" t="s">
        <v>8</v>
      </c>
      <c r="B345">
        <v>1622558</v>
      </c>
      <c r="C345" s="2" t="s">
        <v>1547</v>
      </c>
      <c r="D345" s="2" t="str">
        <f>LEFT(TRIM(MID(SUBSTITUTE(tblShipments[[#This Row],[Details]],CHAR(10)," "), FIND(CHAR(10),tblShipments[[#This Row],[Details]])+1, 50)), 10)</f>
        <v>0505000873</v>
      </c>
      <c r="E345" t="s">
        <v>1566</v>
      </c>
      <c r="F34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5" t="str">
        <f>IF(tblShipments[[#This Row],[EGM no]]="", "Missing EGM", "EGM Submitted")</f>
        <v>EGM Submitted</v>
      </c>
      <c r="H345" t="str">
        <f>IF(OR(ISNUMBER(SEARCH("Released",tblShipments[[#This Row],[ROSL]])),
      ISNUMBER(SEARCH("Scroll",tblShipments[[#This Row],[ROSL]])),
      ISNUMBER(SEARCH("Y",tblShipments[[#This Row],[ROSL]]))),
   "Released",
   "Not Released")</f>
        <v>Released</v>
      </c>
      <c r="I345" t="str">
        <f>IF(OR(tblShipments[[#This Row],[EGM no]]="", tblShipments[[#This Row],[EGM no]]="N.A."), "Not Submitted", "Submitted")</f>
        <v>Submitted</v>
      </c>
      <c r="J345" t="str">
        <f>IF(LEFT(tblShipments[[#This Row],[Gateway_Extracted]],2)="IN","Valid","Invalid")</f>
        <v>Valid</v>
      </c>
      <c r="K345" t="s">
        <v>1567</v>
      </c>
      <c r="L345" t="s">
        <v>1563</v>
      </c>
      <c r="M345" t="s">
        <v>13</v>
      </c>
      <c r="N345" t="s">
        <v>1568</v>
      </c>
      <c r="O345" t="str">
        <f>IFERROR("IN" &amp; _xlfn.TEXTBEFORE(_xlfn.TEXTAFTER(UPPER(tblShipments[[#This Row],[Gateway_clean]]),"IN")," ",1),"")</f>
        <v>INNSA1</v>
      </c>
      <c r="P345" t="str">
        <f>SUBSTITUTE(tblShipments[[#This Row],[Gateway]], CHAR(10), " ")</f>
        <v xml:space="preserve">AWB No. Gateway Port Gateway EGM No. Gateway EGM Date Gateway Site ID Error Code N.A.  INNSA1  141039  2017-12-20 00:00:00.0  INNSA1  S </v>
      </c>
      <c r="Q345" t="s">
        <v>1565</v>
      </c>
    </row>
    <row r="346" spans="1:17" x14ac:dyDescent="0.35">
      <c r="A346" t="s">
        <v>8</v>
      </c>
      <c r="B346">
        <v>1630870</v>
      </c>
      <c r="C346" s="2" t="s">
        <v>1547</v>
      </c>
      <c r="D346" s="2" t="str">
        <f>LEFT(TRIM(MID(SUBSTITUTE(tblShipments[[#This Row],[Details]],CHAR(10)," "), FIND(CHAR(10),tblShipments[[#This Row],[Details]])+1, 50)), 10)</f>
        <v>0589036734</v>
      </c>
      <c r="E346" t="s">
        <v>1569</v>
      </c>
      <c r="F34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6" t="str">
        <f>IF(tblShipments[[#This Row],[EGM no]]="", "Missing EGM", "EGM Submitted")</f>
        <v>EGM Submitted</v>
      </c>
      <c r="H346" t="str">
        <f>IF(OR(ISNUMBER(SEARCH("Released",tblShipments[[#This Row],[ROSL]])),
      ISNUMBER(SEARCH("Scroll",tblShipments[[#This Row],[ROSL]])),
      ISNUMBER(SEARCH("Y",tblShipments[[#This Row],[ROSL]]))),
   "Released",
   "Not Released")</f>
        <v>Released</v>
      </c>
      <c r="I346" t="str">
        <f>IF(OR(tblShipments[[#This Row],[EGM no]]="", tblShipments[[#This Row],[EGM no]]="N.A."), "Not Submitted", "Submitted")</f>
        <v>Submitted</v>
      </c>
      <c r="J346" t="str">
        <f>IF(LEFT(tblShipments[[#This Row],[Gateway_Extracted]],2)="IN","Valid","Invalid")</f>
        <v>Valid</v>
      </c>
      <c r="K346" t="s">
        <v>1543</v>
      </c>
      <c r="L346" t="s">
        <v>1570</v>
      </c>
      <c r="M346" t="s">
        <v>13</v>
      </c>
      <c r="N346" t="s">
        <v>1571</v>
      </c>
      <c r="O346" t="str">
        <f>IFERROR("IN" &amp; _xlfn.TEXTBEFORE(_xlfn.TEXTAFTER(UPPER(tblShipments[[#This Row],[Gateway_clean]]),"IN")," ",1),"")</f>
        <v>INNSA1</v>
      </c>
      <c r="P346" t="str">
        <f>SUBSTITUTE(tblShipments[[#This Row],[Gateway]], CHAR(10), " ")</f>
        <v xml:space="preserve">AWB No. Gateway Port Gateway EGM No. Gateway EGM Date Gateway Site ID Error Code N.A.  INNSA1  141083  2017-12-21 00:00:00.0  INNSA1  C </v>
      </c>
      <c r="Q346" t="s">
        <v>1572</v>
      </c>
    </row>
    <row r="347" spans="1:17" x14ac:dyDescent="0.35">
      <c r="A347" t="s">
        <v>8</v>
      </c>
      <c r="B347">
        <v>1657961</v>
      </c>
      <c r="C347" s="2" t="s">
        <v>1573</v>
      </c>
      <c r="D347" s="2" t="str">
        <f>LEFT(TRIM(MID(SUBSTITUTE(tblShipments[[#This Row],[Details]],CHAR(10)," "), FIND(CHAR(10),tblShipments[[#This Row],[Details]])+1, 50)), 10)</f>
        <v>0500050139</v>
      </c>
      <c r="E347" t="s">
        <v>1574</v>
      </c>
      <c r="F34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7" t="str">
        <f>IF(tblShipments[[#This Row],[EGM no]]="", "Missing EGM", "EGM Submitted")</f>
        <v>EGM Submitted</v>
      </c>
      <c r="H347" t="str">
        <f>IF(OR(ISNUMBER(SEARCH("Released",tblShipments[[#This Row],[ROSL]])),
      ISNUMBER(SEARCH("Scroll",tblShipments[[#This Row],[ROSL]])),
      ISNUMBER(SEARCH("Y",tblShipments[[#This Row],[ROSL]]))),
   "Released",
   "Not Released")</f>
        <v>Released</v>
      </c>
      <c r="I347" t="str">
        <f>IF(OR(tblShipments[[#This Row],[EGM no]]="", tblShipments[[#This Row],[EGM no]]="N.A."), "Not Submitted", "Submitted")</f>
        <v>Submitted</v>
      </c>
      <c r="J347" t="str">
        <f>IF(LEFT(tblShipments[[#This Row],[Gateway_Extracted]],2)="IN","Valid","Invalid")</f>
        <v>Valid</v>
      </c>
      <c r="K347" t="s">
        <v>1575</v>
      </c>
      <c r="L347" t="s">
        <v>1576</v>
      </c>
      <c r="M347" t="s">
        <v>31</v>
      </c>
      <c r="N347" t="s">
        <v>1577</v>
      </c>
      <c r="O347" t="str">
        <f>IFERROR("IN" &amp; _xlfn.TEXTBEFORE(_xlfn.TEXTAFTER(UPPER(tblShipments[[#This Row],[Gateway_clean]]),"IN")," ",1),"")</f>
        <v>INNSA1</v>
      </c>
      <c r="P347" t="str">
        <f>SUBSTITUTE(tblShipments[[#This Row],[Gateway]], CHAR(10), " ")</f>
        <v xml:space="preserve">AWB No. Gateway Port Gateway EGM No. Gateway EGM Date Gateway Site ID Error Code N.A.  INNSA1  140724  2017-12-15 00:00:00.0  INNSA1  S </v>
      </c>
      <c r="Q347" t="s">
        <v>1578</v>
      </c>
    </row>
    <row r="348" spans="1:17" x14ac:dyDescent="0.35">
      <c r="A348" t="s">
        <v>8</v>
      </c>
      <c r="B348">
        <v>1668810</v>
      </c>
      <c r="C348" s="2" t="s">
        <v>1579</v>
      </c>
      <c r="D348" s="2" t="str">
        <f>LEFT(TRIM(MID(SUBSTITUTE(tblShipments[[#This Row],[Details]],CHAR(10)," "), FIND(CHAR(10),tblShipments[[#This Row],[Details]])+1, 50)), 10)</f>
        <v>0504077171</v>
      </c>
      <c r="E348" t="s">
        <v>1580</v>
      </c>
      <c r="F34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8" t="str">
        <f>IF(tblShipments[[#This Row],[EGM no]]="", "Missing EGM", "EGM Submitted")</f>
        <v>EGM Submitted</v>
      </c>
      <c r="H348" t="str">
        <f>IF(OR(ISNUMBER(SEARCH("Released",tblShipments[[#This Row],[ROSL]])),
      ISNUMBER(SEARCH("Scroll",tblShipments[[#This Row],[ROSL]])),
      ISNUMBER(SEARCH("Y",tblShipments[[#This Row],[ROSL]]))),
   "Released",
   "Not Released")</f>
        <v>Released</v>
      </c>
      <c r="I348" t="str">
        <f>IF(OR(tblShipments[[#This Row],[EGM no]]="", tblShipments[[#This Row],[EGM no]]="N.A."), "Not Submitted", "Submitted")</f>
        <v>Submitted</v>
      </c>
      <c r="J348" t="str">
        <f>IF(LEFT(tblShipments[[#This Row],[Gateway_Extracted]],2)="IN","Valid","Invalid")</f>
        <v>Valid</v>
      </c>
      <c r="K348" t="s">
        <v>1581</v>
      </c>
      <c r="L348" t="s">
        <v>1582</v>
      </c>
      <c r="M348" t="s">
        <v>31</v>
      </c>
      <c r="N348" t="s">
        <v>1583</v>
      </c>
      <c r="O348" t="str">
        <f>IFERROR("IN" &amp; _xlfn.TEXTBEFORE(_xlfn.TEXTAFTER(UPPER(tblShipments[[#This Row],[Gateway_clean]]),"IN")," ",1),"")</f>
        <v>INPAV1</v>
      </c>
      <c r="P348" t="str">
        <f>SUBSTITUTE(tblShipments[[#This Row],[Gateway]], CHAR(10), " ")</f>
        <v xml:space="preserve">AWB No. Gateway Port Gateway EGM No. Gateway EGM Date Gateway Site ID Error Code N.A.  INPAV1  140831  2017-12-18 00:00:00.0  INPAV1  S </v>
      </c>
      <c r="Q348" t="s">
        <v>1490</v>
      </c>
    </row>
    <row r="349" spans="1:17" x14ac:dyDescent="0.35">
      <c r="A349" t="s">
        <v>8</v>
      </c>
      <c r="B349">
        <v>1670652</v>
      </c>
      <c r="C349" s="2" t="s">
        <v>1579</v>
      </c>
      <c r="D349" s="2" t="str">
        <f>LEFT(TRIM(MID(SUBSTITUTE(tblShipments[[#This Row],[Details]],CHAR(10)," "), FIND(CHAR(10),tblShipments[[#This Row],[Details]])+1, 50)), 10)</f>
        <v>0513013971</v>
      </c>
      <c r="E349" t="s">
        <v>1584</v>
      </c>
      <c r="F34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49" t="str">
        <f>IF(tblShipments[[#This Row],[EGM no]]="", "Missing EGM", "EGM Submitted")</f>
        <v>EGM Submitted</v>
      </c>
      <c r="H349" t="str">
        <f>IF(OR(ISNUMBER(SEARCH("Released",tblShipments[[#This Row],[ROSL]])),
      ISNUMBER(SEARCH("Scroll",tblShipments[[#This Row],[ROSL]])),
      ISNUMBER(SEARCH("Y",tblShipments[[#This Row],[ROSL]]))),
   "Released",
   "Not Released")</f>
        <v>Released</v>
      </c>
      <c r="I349" t="str">
        <f>IF(OR(tblShipments[[#This Row],[EGM no]]="", tblShipments[[#This Row],[EGM no]]="N.A."), "Not Submitted", "Submitted")</f>
        <v>Submitted</v>
      </c>
      <c r="J349" t="str">
        <f>IF(LEFT(tblShipments[[#This Row],[Gateway_Extracted]],2)="IN","Valid","Invalid")</f>
        <v>Valid</v>
      </c>
      <c r="K349" t="s">
        <v>1585</v>
      </c>
      <c r="L349" t="s">
        <v>1586</v>
      </c>
      <c r="M349" t="s">
        <v>13</v>
      </c>
      <c r="N349" t="s">
        <v>1587</v>
      </c>
      <c r="O349" t="str">
        <f>IFERROR("IN" &amp; _xlfn.TEXTBEFORE(_xlfn.TEXTAFTER(UPPER(tblShipments[[#This Row],[Gateway_clean]]),"IN")," ",1),"")</f>
        <v>INNSA1</v>
      </c>
      <c r="P349" t="str">
        <f>SUBSTITUTE(tblShipments[[#This Row],[Gateway]], CHAR(10), " ")</f>
        <v xml:space="preserve">AWB No. Gateway Port Gateway EGM No. Gateway EGM Date Gateway Site ID Error Code N.A.  INNSA1  141344  2017-12-26 00:00:00.0  INNSA1  C </v>
      </c>
      <c r="Q349" t="s">
        <v>1588</v>
      </c>
    </row>
    <row r="350" spans="1:17" x14ac:dyDescent="0.35">
      <c r="A350" t="s">
        <v>8</v>
      </c>
      <c r="B350">
        <v>1671114</v>
      </c>
      <c r="C350" s="2" t="s">
        <v>1579</v>
      </c>
      <c r="D350" s="2" t="str">
        <f>LEFT(TRIM(MID(SUBSTITUTE(tblShipments[[#This Row],[Details]],CHAR(10)," "), FIND(CHAR(10),tblShipments[[#This Row],[Details]])+1, 50)), 10)</f>
        <v>3393002155</v>
      </c>
      <c r="E350" t="s">
        <v>1589</v>
      </c>
      <c r="F35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0" t="str">
        <f>IF(tblShipments[[#This Row],[EGM no]]="", "Missing EGM", "EGM Submitted")</f>
        <v>EGM Submitted</v>
      </c>
      <c r="H350" t="str">
        <f>IF(OR(ISNUMBER(SEARCH("Released",tblShipments[[#This Row],[ROSL]])),
      ISNUMBER(SEARCH("Scroll",tblShipments[[#This Row],[ROSL]])),
      ISNUMBER(SEARCH("Y",tblShipments[[#This Row],[ROSL]]))),
   "Released",
   "Not Released")</f>
        <v>Released</v>
      </c>
      <c r="I350" t="str">
        <f>IF(OR(tblShipments[[#This Row],[EGM no]]="", tblShipments[[#This Row],[EGM no]]="N.A."), "Not Submitted", "Submitted")</f>
        <v>Submitted</v>
      </c>
      <c r="J350" t="str">
        <f>IF(LEFT(tblShipments[[#This Row],[Gateway_Extracted]],2)="IN","Valid","Invalid")</f>
        <v>Valid</v>
      </c>
      <c r="K350" t="s">
        <v>1590</v>
      </c>
      <c r="L350" t="s">
        <v>1591</v>
      </c>
      <c r="M350" t="s">
        <v>13</v>
      </c>
      <c r="N350" t="s">
        <v>1592</v>
      </c>
      <c r="O350" t="str">
        <f>IFERROR("IN" &amp; _xlfn.TEXTBEFORE(_xlfn.TEXTAFTER(UPPER(tblShipments[[#This Row],[Gateway_clean]]),"IN")," ",1),"")</f>
        <v>INMUN1</v>
      </c>
      <c r="P350" t="str">
        <f>SUBSTITUTE(tblShipments[[#This Row],[Gateway]], CHAR(10), " ")</f>
        <v xml:space="preserve">AWB No. Gateway Port Gateway EGM No. Gateway EGM Date Gateway Site ID Error Code N.A.  INMUN1  141756  2018-01-02 00:00:00.0  INMUN1  S </v>
      </c>
      <c r="Q350" t="s">
        <v>1593</v>
      </c>
    </row>
    <row r="351" spans="1:17" x14ac:dyDescent="0.35">
      <c r="A351" t="s">
        <v>8</v>
      </c>
      <c r="B351">
        <v>1673346</v>
      </c>
      <c r="C351" s="2" t="s">
        <v>1579</v>
      </c>
      <c r="D351" s="2" t="str">
        <f>LEFT(TRIM(MID(SUBSTITUTE(tblShipments[[#This Row],[Details]],CHAR(10)," "), FIND(CHAR(10),tblShipments[[#This Row],[Details]])+1, 50)), 10)</f>
        <v>0510006329</v>
      </c>
      <c r="E351" t="s">
        <v>1594</v>
      </c>
      <c r="F35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1" t="str">
        <f>IF(tblShipments[[#This Row],[EGM no]]="", "Missing EGM", "EGM Submitted")</f>
        <v>EGM Submitted</v>
      </c>
      <c r="H351" t="str">
        <f>IF(OR(ISNUMBER(SEARCH("Released",tblShipments[[#This Row],[ROSL]])),
      ISNUMBER(SEARCH("Scroll",tblShipments[[#This Row],[ROSL]])),
      ISNUMBER(SEARCH("Y",tblShipments[[#This Row],[ROSL]]))),
   "Released",
   "Not Released")</f>
        <v>Released</v>
      </c>
      <c r="I351" t="str">
        <f>IF(OR(tblShipments[[#This Row],[EGM no]]="", tblShipments[[#This Row],[EGM no]]="N.A."), "Not Submitted", "Submitted")</f>
        <v>Submitted</v>
      </c>
      <c r="J351" t="str">
        <f>IF(LEFT(tblShipments[[#This Row],[Gateway_Extracted]],2)="IN","Valid","Invalid")</f>
        <v>Valid</v>
      </c>
      <c r="K351" t="s">
        <v>1549</v>
      </c>
      <c r="L351" t="s">
        <v>1467</v>
      </c>
      <c r="M351" t="s">
        <v>31</v>
      </c>
      <c r="N351" t="s">
        <v>1595</v>
      </c>
      <c r="O351" t="str">
        <f>IFERROR("IN" &amp; _xlfn.TEXTBEFORE(_xlfn.TEXTAFTER(UPPER(tblShipments[[#This Row],[Gateway_clean]]),"IN")," ",1),"")</f>
        <v>INNSA1</v>
      </c>
      <c r="P351" t="str">
        <f>SUBSTITUTE(tblShipments[[#This Row],[Gateway]], CHAR(10), " ")</f>
        <v xml:space="preserve">AWB No. Gateway Port Gateway EGM No. Gateway EGM Date Gateway Site ID Error Code N.A.  INNSA1  140365  2017-12-08 00:00:00.0  INNSA1  N </v>
      </c>
      <c r="Q351" t="s">
        <v>1469</v>
      </c>
    </row>
    <row r="352" spans="1:17" x14ac:dyDescent="0.35">
      <c r="A352" t="s">
        <v>8</v>
      </c>
      <c r="B352">
        <v>1682294</v>
      </c>
      <c r="C352" s="2" t="s">
        <v>1579</v>
      </c>
      <c r="D352" s="2" t="str">
        <f>LEFT(TRIM(MID(SUBSTITUTE(tblShipments[[#This Row],[Details]],CHAR(10)," "), FIND(CHAR(10),tblShipments[[#This Row],[Details]])+1, 50)), 10)</f>
        <v>0507018591</v>
      </c>
      <c r="E352" t="s">
        <v>1596</v>
      </c>
      <c r="F35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2" t="str">
        <f>IF(tblShipments[[#This Row],[EGM no]]="", "Missing EGM", "EGM Submitted")</f>
        <v>EGM Submitted</v>
      </c>
      <c r="H352" t="str">
        <f>IF(OR(ISNUMBER(SEARCH("Released",tblShipments[[#This Row],[ROSL]])),
      ISNUMBER(SEARCH("Scroll",tblShipments[[#This Row],[ROSL]])),
      ISNUMBER(SEARCH("Y",tblShipments[[#This Row],[ROSL]]))),
   "Released",
   "Not Released")</f>
        <v>Released</v>
      </c>
      <c r="I352" t="str">
        <f>IF(OR(tblShipments[[#This Row],[EGM no]]="", tblShipments[[#This Row],[EGM no]]="N.A."), "Not Submitted", "Submitted")</f>
        <v>Submitted</v>
      </c>
      <c r="J352" t="str">
        <f>IF(LEFT(tblShipments[[#This Row],[Gateway_Extracted]],2)="IN","Valid","Invalid")</f>
        <v>Valid</v>
      </c>
      <c r="K352" t="s">
        <v>1597</v>
      </c>
      <c r="L352" t="s">
        <v>1598</v>
      </c>
      <c r="M352" t="s">
        <v>13</v>
      </c>
      <c r="N352" t="s">
        <v>1599</v>
      </c>
      <c r="O352" t="str">
        <f>IFERROR("IN" &amp; _xlfn.TEXTBEFORE(_xlfn.TEXTAFTER(UPPER(tblShipments[[#This Row],[Gateway_clean]]),"IN")," ",1),"")</f>
        <v>INNSA1</v>
      </c>
      <c r="P352" t="str">
        <f>SUBSTITUTE(tblShipments[[#This Row],[Gateway]], CHAR(10), " ")</f>
        <v xml:space="preserve">AWB No. Gateway Port Gateway EGM No. Gateway EGM Date Gateway Site ID Error Code N.A.  INNSA1  141116  2017-12-21 00:00:00.0  INNSA1  S </v>
      </c>
      <c r="Q352" t="s">
        <v>1600</v>
      </c>
    </row>
    <row r="353" spans="1:17" x14ac:dyDescent="0.35">
      <c r="A353" t="s">
        <v>8</v>
      </c>
      <c r="B353">
        <v>1694312</v>
      </c>
      <c r="C353" s="2" t="s">
        <v>1601</v>
      </c>
      <c r="D353" s="2" t="str">
        <f>LEFT(TRIM(MID(SUBSTITUTE(tblShipments[[#This Row],[Details]],CHAR(10)," "), FIND(CHAR(10),tblShipments[[#This Row],[Details]])+1, 50)), 10)</f>
        <v xml:space="preserve">No Record </v>
      </c>
      <c r="E353" t="s">
        <v>1602</v>
      </c>
      <c r="F35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3" t="str">
        <f>IF(tblShipments[[#This Row],[EGM no]]="", "Missing EGM", "EGM Submitted")</f>
        <v>EGM Submitted</v>
      </c>
      <c r="H353" t="str">
        <f>IF(OR(ISNUMBER(SEARCH("Released",tblShipments[[#This Row],[ROSL]])),
      ISNUMBER(SEARCH("Scroll",tblShipments[[#This Row],[ROSL]])),
      ISNUMBER(SEARCH("Y",tblShipments[[#This Row],[ROSL]]))),
   "Released",
   "Not Released")</f>
        <v>Released</v>
      </c>
      <c r="I353" t="str">
        <f>IF(OR(tblShipments[[#This Row],[EGM no]]="", tblShipments[[#This Row],[EGM no]]="N.A."), "Not Submitted", "Submitted")</f>
        <v>Submitted</v>
      </c>
      <c r="J353" t="str">
        <f>IF(LEFT(tblShipments[[#This Row],[Gateway_Extracted]],2)="IN","Valid","Invalid")</f>
        <v>Valid</v>
      </c>
      <c r="K353" t="s">
        <v>1581</v>
      </c>
      <c r="L353" t="s">
        <v>1603</v>
      </c>
      <c r="M353" t="s">
        <v>31</v>
      </c>
      <c r="N353" t="s">
        <v>1604</v>
      </c>
      <c r="O353" t="str">
        <f>IFERROR("IN" &amp; _xlfn.TEXTBEFORE(_xlfn.TEXTAFTER(UPPER(tblShipments[[#This Row],[Gateway_clean]]),"IN")," ",1),"")</f>
        <v>INMUN1</v>
      </c>
      <c r="P353" t="str">
        <f>SUBSTITUTE(tblShipments[[#This Row],[Gateway]], CHAR(10), " ")</f>
        <v xml:space="preserve">AWB No. Gateway Port Gateway EGM No. Gateway EGM Date Gateway Site ID Error Code N.A.  INMUN1  140648  2017-12-13 00:00:00.0  INMUN1  S </v>
      </c>
      <c r="Q353" t="s">
        <v>1605</v>
      </c>
    </row>
    <row r="354" spans="1:17" x14ac:dyDescent="0.35">
      <c r="A354" t="s">
        <v>8</v>
      </c>
      <c r="B354">
        <v>1696466</v>
      </c>
      <c r="C354" s="2" t="s">
        <v>1601</v>
      </c>
      <c r="D354" s="2" t="str">
        <f>LEFT(TRIM(MID(SUBSTITUTE(tblShipments[[#This Row],[Details]],CHAR(10)," "), FIND(CHAR(10),tblShipments[[#This Row],[Details]])+1, 50)), 10)</f>
        <v>0504077171</v>
      </c>
      <c r="E354" t="s">
        <v>1606</v>
      </c>
      <c r="F35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4" t="str">
        <f>IF(tblShipments[[#This Row],[EGM no]]="", "Missing EGM", "EGM Submitted")</f>
        <v>EGM Submitted</v>
      </c>
      <c r="H354" t="str">
        <f>IF(OR(ISNUMBER(SEARCH("Released",tblShipments[[#This Row],[ROSL]])),
      ISNUMBER(SEARCH("Scroll",tblShipments[[#This Row],[ROSL]])),
      ISNUMBER(SEARCH("Y",tblShipments[[#This Row],[ROSL]]))),
   "Released",
   "Not Released")</f>
        <v>Released</v>
      </c>
      <c r="I354" t="str">
        <f>IF(OR(tblShipments[[#This Row],[EGM no]]="", tblShipments[[#This Row],[EGM no]]="N.A."), "Not Submitted", "Submitted")</f>
        <v>Submitted</v>
      </c>
      <c r="J354" t="str">
        <f>IF(LEFT(tblShipments[[#This Row],[Gateway_Extracted]],2)="IN","Valid","Invalid")</f>
        <v>Valid</v>
      </c>
      <c r="K354" t="s">
        <v>1607</v>
      </c>
      <c r="L354" t="s">
        <v>1608</v>
      </c>
      <c r="M354" t="s">
        <v>31</v>
      </c>
      <c r="N354" t="s">
        <v>1609</v>
      </c>
      <c r="O354" t="str">
        <f>IFERROR("IN" &amp; _xlfn.TEXTBEFORE(_xlfn.TEXTAFTER(UPPER(tblShipments[[#This Row],[Gateway_clean]]),"IN")," ",1),"")</f>
        <v>INPAV1</v>
      </c>
      <c r="P354" t="str">
        <f>SUBSTITUTE(tblShipments[[#This Row],[Gateway]], CHAR(10), " ")</f>
        <v xml:space="preserve">AWB No. Gateway Port Gateway EGM No. Gateway EGM Date Gateway Site ID Error Code N.A.  INPAV1  140831  2017-12-18 00:00:00.0  INPAV1  S </v>
      </c>
      <c r="Q354" t="s">
        <v>1490</v>
      </c>
    </row>
    <row r="355" spans="1:17" x14ac:dyDescent="0.35">
      <c r="A355" t="s">
        <v>8</v>
      </c>
      <c r="B355">
        <v>1705753</v>
      </c>
      <c r="C355" s="2" t="s">
        <v>1601</v>
      </c>
      <c r="D355" s="2" t="str">
        <f>LEFT(TRIM(MID(SUBSTITUTE(tblShipments[[#This Row],[Details]],CHAR(10)," "), FIND(CHAR(10),tblShipments[[#This Row],[Details]])+1, 50)), 10)</f>
        <v>0595012647</v>
      </c>
      <c r="E355" t="s">
        <v>1610</v>
      </c>
      <c r="F35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5" t="str">
        <f>IF(tblShipments[[#This Row],[EGM no]]="", "Missing EGM", "EGM Submitted")</f>
        <v>EGM Submitted</v>
      </c>
      <c r="H355" t="str">
        <f>IF(OR(ISNUMBER(SEARCH("Released",tblShipments[[#This Row],[ROSL]])),
      ISNUMBER(SEARCH("Scroll",tblShipments[[#This Row],[ROSL]])),
      ISNUMBER(SEARCH("Y",tblShipments[[#This Row],[ROSL]]))),
   "Released",
   "Not Released")</f>
        <v>Released</v>
      </c>
      <c r="I355" t="str">
        <f>IF(OR(tblShipments[[#This Row],[EGM no]]="", tblShipments[[#This Row],[EGM no]]="N.A."), "Not Submitted", "Submitted")</f>
        <v>Submitted</v>
      </c>
      <c r="J355" t="str">
        <f>IF(LEFT(tblShipments[[#This Row],[Gateway_Extracted]],2)="IN","Valid","Invalid")</f>
        <v>Valid</v>
      </c>
      <c r="K355" t="s">
        <v>1611</v>
      </c>
      <c r="L355" t="s">
        <v>1612</v>
      </c>
      <c r="M355" t="s">
        <v>13</v>
      </c>
      <c r="N355" t="s">
        <v>1613</v>
      </c>
      <c r="O355" t="str">
        <f>IFERROR("IN" &amp; _xlfn.TEXTBEFORE(_xlfn.TEXTAFTER(UPPER(tblShipments[[#This Row],[Gateway_clean]]),"IN")," ",1),"")</f>
        <v>INMUN1</v>
      </c>
      <c r="P355" t="str">
        <f>SUBSTITUTE(tblShipments[[#This Row],[Gateway]], CHAR(10), " ")</f>
        <v xml:space="preserve">AWB No. Gateway Port Gateway EGM No. Gateway EGM Date Gateway Site ID Error Code N.A.  INMUN1  141078  2017-12-21 00:00:00.0  INMUN1  S </v>
      </c>
      <c r="Q355" t="s">
        <v>1614</v>
      </c>
    </row>
    <row r="356" spans="1:17" x14ac:dyDescent="0.35">
      <c r="A356" t="s">
        <v>8</v>
      </c>
      <c r="B356">
        <v>1718128</v>
      </c>
      <c r="C356" s="2" t="s">
        <v>1615</v>
      </c>
      <c r="D356" s="2" t="str">
        <f>LEFT(TRIM(MID(SUBSTITUTE(tblShipments[[#This Row],[Details]],CHAR(10)," "), FIND(CHAR(10),tblShipments[[#This Row],[Details]])+1, 50)), 10)</f>
        <v>0589036734</v>
      </c>
      <c r="E356" t="s">
        <v>1616</v>
      </c>
      <c r="F35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6" t="str">
        <f>IF(tblShipments[[#This Row],[EGM no]]="", "Missing EGM", "EGM Submitted")</f>
        <v>EGM Submitted</v>
      </c>
      <c r="H356" t="str">
        <f>IF(OR(ISNUMBER(SEARCH("Released",tblShipments[[#This Row],[ROSL]])),
      ISNUMBER(SEARCH("Scroll",tblShipments[[#This Row],[ROSL]])),
      ISNUMBER(SEARCH("Y",tblShipments[[#This Row],[ROSL]]))),
   "Released",
   "Not Released")</f>
        <v>Released</v>
      </c>
      <c r="I356" t="str">
        <f>IF(OR(tblShipments[[#This Row],[EGM no]]="", tblShipments[[#This Row],[EGM no]]="N.A."), "Not Submitted", "Submitted")</f>
        <v>Submitted</v>
      </c>
      <c r="J356" t="str">
        <f>IF(LEFT(tblShipments[[#This Row],[Gateway_Extracted]],2)="IN","Valid","Invalid")</f>
        <v>Valid</v>
      </c>
      <c r="K356" t="s">
        <v>1558</v>
      </c>
      <c r="L356" t="s">
        <v>1617</v>
      </c>
      <c r="M356" t="s">
        <v>13</v>
      </c>
      <c r="N356" t="s">
        <v>1618</v>
      </c>
      <c r="O356" t="str">
        <f>IFERROR("IN" &amp; _xlfn.TEXTBEFORE(_xlfn.TEXTAFTER(UPPER(tblShipments[[#This Row],[Gateway_clean]]),"IN")," ",1),"")</f>
        <v>INMUN1</v>
      </c>
      <c r="P356" t="str">
        <f>SUBSTITUTE(tblShipments[[#This Row],[Gateway]], CHAR(10), " ")</f>
        <v xml:space="preserve">AWB No. Gateway Port Gateway EGM No. Gateway EGM Date Gateway Site ID Error Code N.A.  INMUN1  141502  2017-12-27 00:00:00.0  INMUN1  S </v>
      </c>
      <c r="Q356" t="s">
        <v>1619</v>
      </c>
    </row>
    <row r="357" spans="1:17" x14ac:dyDescent="0.35">
      <c r="A357" t="s">
        <v>8</v>
      </c>
      <c r="B357">
        <v>1719344</v>
      </c>
      <c r="C357" s="2" t="s">
        <v>1615</v>
      </c>
      <c r="D357" s="2" t="str">
        <f>LEFT(TRIM(MID(SUBSTITUTE(tblShipments[[#This Row],[Details]],CHAR(10)," "), FIND(CHAR(10),tblShipments[[#This Row],[Details]])+1, 50)), 10)</f>
        <v xml:space="preserve">No Record </v>
      </c>
      <c r="E357" t="s">
        <v>1602</v>
      </c>
      <c r="F35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7" t="str">
        <f>IF(tblShipments[[#This Row],[EGM no]]="", "Missing EGM", "EGM Submitted")</f>
        <v>EGM Submitted</v>
      </c>
      <c r="H357" t="str">
        <f>IF(OR(ISNUMBER(SEARCH("Released",tblShipments[[#This Row],[ROSL]])),
      ISNUMBER(SEARCH("Scroll",tblShipments[[#This Row],[ROSL]])),
      ISNUMBER(SEARCH("Y",tblShipments[[#This Row],[ROSL]]))),
   "Released",
   "Not Released")</f>
        <v>Released</v>
      </c>
      <c r="I357" t="str">
        <f>IF(OR(tblShipments[[#This Row],[EGM no]]="", tblShipments[[#This Row],[EGM no]]="N.A."), "Not Submitted", "Submitted")</f>
        <v>Submitted</v>
      </c>
      <c r="J357" t="str">
        <f>IF(LEFT(tblShipments[[#This Row],[Gateway_Extracted]],2)="IN","Valid","Invalid")</f>
        <v>Valid</v>
      </c>
      <c r="K357" t="s">
        <v>1553</v>
      </c>
      <c r="L357" t="s">
        <v>1620</v>
      </c>
      <c r="M357" t="s">
        <v>31</v>
      </c>
      <c r="N357" t="s">
        <v>1621</v>
      </c>
      <c r="O357" t="str">
        <f>IFERROR("IN" &amp; _xlfn.TEXTBEFORE(_xlfn.TEXTAFTER(UPPER(tblShipments[[#This Row],[Gateway_clean]]),"IN")," ",1),"")</f>
        <v>INMUN1</v>
      </c>
      <c r="P357" t="str">
        <f>SUBSTITUTE(tblShipments[[#This Row],[Gateway]], CHAR(10), " ")</f>
        <v xml:space="preserve">AWB No. Gateway Port Gateway EGM No. Gateway EGM Date Gateway Site ID Error Code N.A.  INMUN1  141142  2017-12-21 00:00:00.0  INMUN1  S </v>
      </c>
      <c r="Q357" t="s">
        <v>1622</v>
      </c>
    </row>
    <row r="358" spans="1:17" x14ac:dyDescent="0.35">
      <c r="A358" t="s">
        <v>8</v>
      </c>
      <c r="B358">
        <v>1729499</v>
      </c>
      <c r="C358" s="2" t="s">
        <v>1615</v>
      </c>
      <c r="D358" s="2" t="str">
        <f>LEFT(TRIM(MID(SUBSTITUTE(tblShipments[[#This Row],[Details]],CHAR(10)," "), FIND(CHAR(10),tblShipments[[#This Row],[Details]])+1, 50)), 10)</f>
        <v>0503010316</v>
      </c>
      <c r="E358" t="s">
        <v>1623</v>
      </c>
      <c r="F35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8" t="str">
        <f>IF(tblShipments[[#This Row],[EGM no]]="", "Missing EGM", "EGM Submitted")</f>
        <v>EGM Submitted</v>
      </c>
      <c r="H358" t="str">
        <f>IF(OR(ISNUMBER(SEARCH("Released",tblShipments[[#This Row],[ROSL]])),
      ISNUMBER(SEARCH("Scroll",tblShipments[[#This Row],[ROSL]])),
      ISNUMBER(SEARCH("Y",tblShipments[[#This Row],[ROSL]]))),
   "Released",
   "Not Released")</f>
        <v>Released</v>
      </c>
      <c r="I358" t="str">
        <f>IF(OR(tblShipments[[#This Row],[EGM no]]="", tblShipments[[#This Row],[EGM no]]="N.A."), "Not Submitted", "Submitted")</f>
        <v>Submitted</v>
      </c>
      <c r="J358" t="str">
        <f>IF(LEFT(tblShipments[[#This Row],[Gateway_Extracted]],2)="IN","Valid","Invalid")</f>
        <v>Valid</v>
      </c>
      <c r="K358" t="s">
        <v>1624</v>
      </c>
      <c r="L358" t="s">
        <v>1625</v>
      </c>
      <c r="M358" t="s">
        <v>13</v>
      </c>
      <c r="N358" t="s">
        <v>1626</v>
      </c>
      <c r="O358" t="str">
        <f>IFERROR("IN" &amp; _xlfn.TEXTBEFORE(_xlfn.TEXTAFTER(UPPER(tblShipments[[#This Row],[Gateway_clean]]),"IN")," ",1),"")</f>
        <v>INMUN1</v>
      </c>
      <c r="P358" t="str">
        <f>SUBSTITUTE(tblShipments[[#This Row],[Gateway]], CHAR(10), " ")</f>
        <v xml:space="preserve">AWB No. Gateway Port Gateway EGM No. Gateway EGM Date Gateway Site ID Error Code N.A.  INMUN1  141855  2018-01-03 00:00:00.0  INMUN1  S </v>
      </c>
      <c r="Q358" t="s">
        <v>1627</v>
      </c>
    </row>
    <row r="359" spans="1:17" x14ac:dyDescent="0.35">
      <c r="A359" t="s">
        <v>8</v>
      </c>
      <c r="B359">
        <v>1752198</v>
      </c>
      <c r="C359" s="2" t="s">
        <v>1628</v>
      </c>
      <c r="D359" s="2" t="str">
        <f>LEFT(TRIM(MID(SUBSTITUTE(tblShipments[[#This Row],[Details]],CHAR(10)," "), FIND(CHAR(10),tblShipments[[#This Row],[Details]])+1, 50)), 10)</f>
        <v>0511006519</v>
      </c>
      <c r="E359" t="s">
        <v>1629</v>
      </c>
      <c r="F35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59" t="str">
        <f>IF(tblShipments[[#This Row],[EGM no]]="", "Missing EGM", "EGM Submitted")</f>
        <v>EGM Submitted</v>
      </c>
      <c r="H359" t="str">
        <f>IF(OR(ISNUMBER(SEARCH("Released",tblShipments[[#This Row],[ROSL]])),
      ISNUMBER(SEARCH("Scroll",tblShipments[[#This Row],[ROSL]])),
      ISNUMBER(SEARCH("Y",tblShipments[[#This Row],[ROSL]]))),
   "Released",
   "Not Released")</f>
        <v>Released</v>
      </c>
      <c r="I359" t="str">
        <f>IF(OR(tblShipments[[#This Row],[EGM no]]="", tblShipments[[#This Row],[EGM no]]="N.A."), "Not Submitted", "Submitted")</f>
        <v>Submitted</v>
      </c>
      <c r="J359" t="str">
        <f>IF(LEFT(tblShipments[[#This Row],[Gateway_Extracted]],2)="IN","Valid","Invalid")</f>
        <v>Valid</v>
      </c>
      <c r="K359" t="s">
        <v>1597</v>
      </c>
      <c r="L359" t="s">
        <v>1630</v>
      </c>
      <c r="M359" t="s">
        <v>13</v>
      </c>
      <c r="N359" t="s">
        <v>1631</v>
      </c>
      <c r="O359" t="str">
        <f>IFERROR("IN" &amp; _xlfn.TEXTBEFORE(_xlfn.TEXTAFTER(UPPER(tblShipments[[#This Row],[Gateway_clean]]),"IN")," ",1),"")</f>
        <v>INMUN1</v>
      </c>
      <c r="P359" t="str">
        <f>SUBSTITUTE(tblShipments[[#This Row],[Gateway]], CHAR(10), " ")</f>
        <v xml:space="preserve">AWB No. Gateway Port Gateway EGM No. Gateway EGM Date Gateway Site ID Error Code N.A.  INMUN1  141901  2018-01-03 00:00:00.0  INMUN1  S </v>
      </c>
      <c r="Q359" t="s">
        <v>1632</v>
      </c>
    </row>
    <row r="360" spans="1:17" x14ac:dyDescent="0.35">
      <c r="A360" t="s">
        <v>8</v>
      </c>
      <c r="B360">
        <v>1773410</v>
      </c>
      <c r="C360" s="2" t="s">
        <v>1633</v>
      </c>
      <c r="D360" s="2" t="str">
        <f>LEFT(TRIM(MID(SUBSTITUTE(tblShipments[[#This Row],[Details]],CHAR(10)," "), FIND(CHAR(10),tblShipments[[#This Row],[Details]])+1, 50)), 10)</f>
        <v>0504077171</v>
      </c>
      <c r="E360" t="s">
        <v>1634</v>
      </c>
      <c r="F36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0" t="str">
        <f>IF(tblShipments[[#This Row],[EGM no]]="", "Missing EGM", "EGM Submitted")</f>
        <v>EGM Submitted</v>
      </c>
      <c r="H360" t="str">
        <f>IF(OR(ISNUMBER(SEARCH("Released",tblShipments[[#This Row],[ROSL]])),
      ISNUMBER(SEARCH("Scroll",tblShipments[[#This Row],[ROSL]])),
      ISNUMBER(SEARCH("Y",tblShipments[[#This Row],[ROSL]]))),
   "Released",
   "Not Released")</f>
        <v>Released</v>
      </c>
      <c r="I360" t="str">
        <f>IF(OR(tblShipments[[#This Row],[EGM no]]="", tblShipments[[#This Row],[EGM no]]="N.A."), "Not Submitted", "Submitted")</f>
        <v>Submitted</v>
      </c>
      <c r="J360" t="str">
        <f>IF(LEFT(tblShipments[[#This Row],[Gateway_Extracted]],2)="IN","Valid","Invalid")</f>
        <v>Valid</v>
      </c>
      <c r="K360" t="s">
        <v>1635</v>
      </c>
      <c r="L360" t="s">
        <v>1636</v>
      </c>
      <c r="M360" t="s">
        <v>31</v>
      </c>
      <c r="N360" t="s">
        <v>1637</v>
      </c>
      <c r="O360" t="str">
        <f>IFERROR("IN" &amp; _xlfn.TEXTBEFORE(_xlfn.TEXTAFTER(UPPER(tblShipments[[#This Row],[Gateway_clean]]),"IN")," ",1),"")</f>
        <v>INMUN1</v>
      </c>
      <c r="P360" t="str">
        <f>SUBSTITUTE(tblShipments[[#This Row],[Gateway]], CHAR(10), " ")</f>
        <v xml:space="preserve">AWB No. Gateway Port Gateway EGM No. Gateway EGM Date Gateway Site ID Error Code N.A.  INMUN1  142133  2018-01-08 00:00:00.0  INMUN1  S </v>
      </c>
      <c r="Q360" t="s">
        <v>1638</v>
      </c>
    </row>
    <row r="361" spans="1:17" x14ac:dyDescent="0.35">
      <c r="A361" t="s">
        <v>8</v>
      </c>
      <c r="B361">
        <v>1773615</v>
      </c>
      <c r="C361" s="2" t="s">
        <v>1633</v>
      </c>
      <c r="D361" s="2" t="str">
        <f>LEFT(TRIM(MID(SUBSTITUTE(tblShipments[[#This Row],[Details]],CHAR(10)," "), FIND(CHAR(10),tblShipments[[#This Row],[Details]])+1, 50)), 10)</f>
        <v>0500068241</v>
      </c>
      <c r="E361" t="s">
        <v>1639</v>
      </c>
      <c r="F36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1" t="str">
        <f>IF(tblShipments[[#This Row],[EGM no]]="", "Missing EGM", "EGM Submitted")</f>
        <v>EGM Submitted</v>
      </c>
      <c r="H361" t="str">
        <f>IF(OR(ISNUMBER(SEARCH("Released",tblShipments[[#This Row],[ROSL]])),
      ISNUMBER(SEARCH("Scroll",tblShipments[[#This Row],[ROSL]])),
      ISNUMBER(SEARCH("Y",tblShipments[[#This Row],[ROSL]]))),
   "Released",
   "Not Released")</f>
        <v>Released</v>
      </c>
      <c r="I361" t="str">
        <f>IF(OR(tblShipments[[#This Row],[EGM no]]="", tblShipments[[#This Row],[EGM no]]="N.A."), "Not Submitted", "Submitted")</f>
        <v>Submitted</v>
      </c>
      <c r="J361" t="str">
        <f>IF(LEFT(tblShipments[[#This Row],[Gateway_Extracted]],2)="IN","Valid","Invalid")</f>
        <v>Valid</v>
      </c>
      <c r="K361" t="s">
        <v>1597</v>
      </c>
      <c r="L361" t="s">
        <v>1640</v>
      </c>
      <c r="M361" t="s">
        <v>13</v>
      </c>
      <c r="N361" t="s">
        <v>1641</v>
      </c>
      <c r="O361" t="str">
        <f>IFERROR("IN" &amp; _xlfn.TEXTBEFORE(_xlfn.TEXTAFTER(UPPER(tblShipments[[#This Row],[Gateway_clean]]),"IN")," ",1),"")</f>
        <v>INNSA1</v>
      </c>
      <c r="P361" t="str">
        <f>SUBSTITUTE(tblShipments[[#This Row],[Gateway]], CHAR(10), " ")</f>
        <v xml:space="preserve">AWB No. Gateway Port Gateway EGM No. Gateway EGM Date Gateway Site ID Error Code N.A.  INNSA1  141039  2017-12-20 00:00:00.0  INNSA1  S </v>
      </c>
      <c r="Q361" t="s">
        <v>1565</v>
      </c>
    </row>
    <row r="362" spans="1:17" x14ac:dyDescent="0.35">
      <c r="A362" t="s">
        <v>8</v>
      </c>
      <c r="B362">
        <v>1779449</v>
      </c>
      <c r="C362" s="2" t="s">
        <v>1633</v>
      </c>
      <c r="D362" s="2" t="str">
        <f>LEFT(TRIM(MID(SUBSTITUTE(tblShipments[[#This Row],[Details]],CHAR(10)," "), FIND(CHAR(10),tblShipments[[#This Row],[Details]])+1, 50)), 10)</f>
        <v>0595012647</v>
      </c>
      <c r="E362" t="s">
        <v>1642</v>
      </c>
      <c r="F36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2" t="str">
        <f>IF(tblShipments[[#This Row],[EGM no]]="", "Missing EGM", "EGM Submitted")</f>
        <v>EGM Submitted</v>
      </c>
      <c r="H362" t="str">
        <f>IF(OR(ISNUMBER(SEARCH("Released",tblShipments[[#This Row],[ROSL]])),
      ISNUMBER(SEARCH("Scroll",tblShipments[[#This Row],[ROSL]])),
      ISNUMBER(SEARCH("Y",tblShipments[[#This Row],[ROSL]]))),
   "Released",
   "Not Released")</f>
        <v>Released</v>
      </c>
      <c r="I362" t="str">
        <f>IF(OR(tblShipments[[#This Row],[EGM no]]="", tblShipments[[#This Row],[EGM no]]="N.A."), "Not Submitted", "Submitted")</f>
        <v>Submitted</v>
      </c>
      <c r="J362" t="str">
        <f>IF(LEFT(tblShipments[[#This Row],[Gateway_Extracted]],2)="IN","Valid","Invalid")</f>
        <v>Valid</v>
      </c>
      <c r="K362" t="s">
        <v>1643</v>
      </c>
      <c r="L362" t="s">
        <v>1644</v>
      </c>
      <c r="M362" t="s">
        <v>13</v>
      </c>
      <c r="N362" t="s">
        <v>1645</v>
      </c>
      <c r="O362" t="str">
        <f>IFERROR("IN" &amp; _xlfn.TEXTBEFORE(_xlfn.TEXTAFTER(UPPER(tblShipments[[#This Row],[Gateway_clean]]),"IN")," ",1),"")</f>
        <v>INMUN1</v>
      </c>
      <c r="P362" t="str">
        <f>SUBSTITUTE(tblShipments[[#This Row],[Gateway]], CHAR(10), " ")</f>
        <v xml:space="preserve">AWB No. Gateway Port Gateway EGM No. Gateway EGM Date Gateway Site ID Error Code N.A.  INMUN1  141230  2017-12-22 00:00:00.0  INMUN1  S </v>
      </c>
      <c r="Q362" t="s">
        <v>1646</v>
      </c>
    </row>
    <row r="363" spans="1:17" x14ac:dyDescent="0.35">
      <c r="A363" t="s">
        <v>8</v>
      </c>
      <c r="B363">
        <v>1780079</v>
      </c>
      <c r="C363" s="2" t="s">
        <v>1633</v>
      </c>
      <c r="D363" s="2" t="str">
        <f>LEFT(TRIM(MID(SUBSTITUTE(tblShipments[[#This Row],[Details]],CHAR(10)," "), FIND(CHAR(10),tblShipments[[#This Row],[Details]])+1, 50)), 10)</f>
        <v>0589036734</v>
      </c>
      <c r="E363" t="s">
        <v>1647</v>
      </c>
      <c r="F36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3" t="str">
        <f>IF(tblShipments[[#This Row],[EGM no]]="", "Missing EGM", "EGM Submitted")</f>
        <v>EGM Submitted</v>
      </c>
      <c r="H363" t="str">
        <f>IF(OR(ISNUMBER(SEARCH("Released",tblShipments[[#This Row],[ROSL]])),
      ISNUMBER(SEARCH("Scroll",tblShipments[[#This Row],[ROSL]])),
      ISNUMBER(SEARCH("Y",tblShipments[[#This Row],[ROSL]]))),
   "Released",
   "Not Released")</f>
        <v>Released</v>
      </c>
      <c r="I363" t="str">
        <f>IF(OR(tblShipments[[#This Row],[EGM no]]="", tblShipments[[#This Row],[EGM no]]="N.A."), "Not Submitted", "Submitted")</f>
        <v>Submitted</v>
      </c>
      <c r="J363" t="str">
        <f>IF(LEFT(tblShipments[[#This Row],[Gateway_Extracted]],2)="IN","Valid","Invalid")</f>
        <v>Valid</v>
      </c>
      <c r="K363" t="s">
        <v>1597</v>
      </c>
      <c r="L363" t="s">
        <v>1617</v>
      </c>
      <c r="M363" t="s">
        <v>13</v>
      </c>
      <c r="N363" t="s">
        <v>1648</v>
      </c>
      <c r="O363" t="str">
        <f>IFERROR("IN" &amp; _xlfn.TEXTBEFORE(_xlfn.TEXTAFTER(UPPER(tblShipments[[#This Row],[Gateway_clean]]),"IN")," ",1),"")</f>
        <v>INMUN1</v>
      </c>
      <c r="P363" t="str">
        <f>SUBSTITUTE(tblShipments[[#This Row],[Gateway]], CHAR(10), " ")</f>
        <v xml:space="preserve">AWB No. Gateway Port Gateway EGM No. Gateway EGM Date Gateway Site ID Error Code N.A.  INMUN1  141502  2017-12-27 00:00:00.0  INMUN1  S </v>
      </c>
      <c r="Q363" t="s">
        <v>1619</v>
      </c>
    </row>
    <row r="364" spans="1:17" x14ac:dyDescent="0.35">
      <c r="A364" t="s">
        <v>8</v>
      </c>
      <c r="B364">
        <v>1787183</v>
      </c>
      <c r="C364" s="2" t="s">
        <v>1633</v>
      </c>
      <c r="D364" s="2" t="str">
        <f>LEFT(TRIM(MID(SUBSTITUTE(tblShipments[[#This Row],[Details]],CHAR(10)," "), FIND(CHAR(10),tblShipments[[#This Row],[Details]])+1, 50)), 10)</f>
        <v>0513039759</v>
      </c>
      <c r="E364" t="s">
        <v>1649</v>
      </c>
      <c r="F36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4" t="str">
        <f>IF(tblShipments[[#This Row],[EGM no]]="", "Missing EGM", "EGM Submitted")</f>
        <v>EGM Submitted</v>
      </c>
      <c r="H364" t="str">
        <f>IF(OR(ISNUMBER(SEARCH("Released",tblShipments[[#This Row],[ROSL]])),
      ISNUMBER(SEARCH("Scroll",tblShipments[[#This Row],[ROSL]])),
      ISNUMBER(SEARCH("Y",tblShipments[[#This Row],[ROSL]]))),
   "Released",
   "Not Released")</f>
        <v>Released</v>
      </c>
      <c r="I364" t="str">
        <f>IF(OR(tblShipments[[#This Row],[EGM no]]="", tblShipments[[#This Row],[EGM no]]="N.A."), "Not Submitted", "Submitted")</f>
        <v>Submitted</v>
      </c>
      <c r="J364" t="str">
        <f>IF(LEFT(tblShipments[[#This Row],[Gateway_Extracted]],2)="IN","Valid","Invalid")</f>
        <v>Valid</v>
      </c>
      <c r="K364" t="s">
        <v>1650</v>
      </c>
      <c r="L364" t="s">
        <v>1651</v>
      </c>
      <c r="M364" t="s">
        <v>13</v>
      </c>
      <c r="N364" t="s">
        <v>1652</v>
      </c>
      <c r="O364" t="str">
        <f>IFERROR("IN" &amp; _xlfn.TEXTBEFORE(_xlfn.TEXTAFTER(UPPER(tblShipments[[#This Row],[Gateway_clean]]),"IN")," ",1),"")</f>
        <v>INMUN1</v>
      </c>
      <c r="P364" t="str">
        <f>SUBSTITUTE(tblShipments[[#This Row],[Gateway]], CHAR(10), " ")</f>
        <v xml:space="preserve">AWB No. Gateway Port Gateway EGM No. Gateway EGM Date Gateway Site ID Error Code N.A.  INMUN1  141297  2017-12-26 00:00:00.0  INMUN1  S </v>
      </c>
      <c r="Q364" t="s">
        <v>1561</v>
      </c>
    </row>
    <row r="365" spans="1:17" x14ac:dyDescent="0.35">
      <c r="A365" t="s">
        <v>8</v>
      </c>
      <c r="B365">
        <v>1789517</v>
      </c>
      <c r="C365" s="2" t="s">
        <v>1633</v>
      </c>
      <c r="D365" s="2" t="str">
        <f>LEFT(TRIM(MID(SUBSTITUTE(tblShipments[[#This Row],[Details]],CHAR(10)," "), FIND(CHAR(10),tblShipments[[#This Row],[Details]])+1, 50)), 10)</f>
        <v>0503019321</v>
      </c>
      <c r="E365" t="s">
        <v>1653</v>
      </c>
      <c r="F36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5" t="str">
        <f>IF(tblShipments[[#This Row],[EGM no]]="", "Missing EGM", "EGM Submitted")</f>
        <v>EGM Submitted</v>
      </c>
      <c r="H365" t="str">
        <f>IF(OR(ISNUMBER(SEARCH("Released",tblShipments[[#This Row],[ROSL]])),
      ISNUMBER(SEARCH("Scroll",tblShipments[[#This Row],[ROSL]])),
      ISNUMBER(SEARCH("Y",tblShipments[[#This Row],[ROSL]]))),
   "Released",
   "Not Released")</f>
        <v>Released</v>
      </c>
      <c r="I365" t="str">
        <f>IF(OR(tblShipments[[#This Row],[EGM no]]="", tblShipments[[#This Row],[EGM no]]="N.A."), "Not Submitted", "Submitted")</f>
        <v>Submitted</v>
      </c>
      <c r="J365" t="str">
        <f>IF(LEFT(tblShipments[[#This Row],[Gateway_Extracted]],2)="IN","Valid","Invalid")</f>
        <v>Valid</v>
      </c>
      <c r="K365" t="s">
        <v>1654</v>
      </c>
      <c r="L365" t="s">
        <v>1655</v>
      </c>
      <c r="M365" t="s">
        <v>13</v>
      </c>
      <c r="N365" t="s">
        <v>1656</v>
      </c>
      <c r="O365" t="str">
        <f>IFERROR("IN" &amp; _xlfn.TEXTBEFORE(_xlfn.TEXTAFTER(UPPER(tblShipments[[#This Row],[Gateway_clean]]),"IN")," ",1),"")</f>
        <v>INNSA1</v>
      </c>
      <c r="P365" t="str">
        <f>SUBSTITUTE(tblShipments[[#This Row],[Gateway]], CHAR(10), " ")</f>
        <v xml:space="preserve">AWB No. Gateway Port Gateway EGM No. Gateway EGM Date Gateway Site ID Error Code N.A.  INNSA1  N.A.  N.A.  N.A.  N.A. </v>
      </c>
      <c r="Q365" t="s">
        <v>26</v>
      </c>
    </row>
    <row r="366" spans="1:17" x14ac:dyDescent="0.35">
      <c r="A366" t="s">
        <v>8</v>
      </c>
      <c r="B366">
        <v>1808535</v>
      </c>
      <c r="C366" s="2" t="s">
        <v>1657</v>
      </c>
      <c r="D366" s="2" t="str">
        <f>LEFT(TRIM(MID(SUBSTITUTE(tblShipments[[#This Row],[Details]],CHAR(10)," "), FIND(CHAR(10),tblShipments[[#This Row],[Details]])+1, 50)), 10)</f>
        <v>0504077171</v>
      </c>
      <c r="E366" t="s">
        <v>1658</v>
      </c>
      <c r="F36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6" t="str">
        <f>IF(tblShipments[[#This Row],[EGM no]]="", "Missing EGM", "EGM Submitted")</f>
        <v>EGM Submitted</v>
      </c>
      <c r="H366" t="str">
        <f>IF(OR(ISNUMBER(SEARCH("Released",tblShipments[[#This Row],[ROSL]])),
      ISNUMBER(SEARCH("Scroll",tblShipments[[#This Row],[ROSL]])),
      ISNUMBER(SEARCH("Y",tblShipments[[#This Row],[ROSL]]))),
   "Released",
   "Not Released")</f>
        <v>Released</v>
      </c>
      <c r="I366" t="str">
        <f>IF(OR(tblShipments[[#This Row],[EGM no]]="", tblShipments[[#This Row],[EGM no]]="N.A."), "Not Submitted", "Submitted")</f>
        <v>Submitted</v>
      </c>
      <c r="J366" t="str">
        <f>IF(LEFT(tblShipments[[#This Row],[Gateway_Extracted]],2)="IN","Valid","Invalid")</f>
        <v>Valid</v>
      </c>
      <c r="K366" t="s">
        <v>1659</v>
      </c>
      <c r="L366" t="s">
        <v>1660</v>
      </c>
      <c r="M366" t="s">
        <v>31</v>
      </c>
      <c r="N366" t="s">
        <v>1661</v>
      </c>
      <c r="O366" t="str">
        <f>IFERROR("IN" &amp; _xlfn.TEXTBEFORE(_xlfn.TEXTAFTER(UPPER(tblShipments[[#This Row],[Gateway_clean]]),"IN")," ",1),"")</f>
        <v>INMUN1</v>
      </c>
      <c r="P366" t="str">
        <f>SUBSTITUTE(tblShipments[[#This Row],[Gateway]], CHAR(10), " ")</f>
        <v xml:space="preserve">AWB No. Gateway Port Gateway EGM No. Gateway EGM Date Gateway Site ID Error Code N.A.  INMUN1  142133  2018-01-08 00:00:00.0  INMUN1  S </v>
      </c>
      <c r="Q366" t="s">
        <v>1638</v>
      </c>
    </row>
    <row r="367" spans="1:17" x14ac:dyDescent="0.35">
      <c r="A367" t="s">
        <v>8</v>
      </c>
      <c r="B367">
        <v>1809398</v>
      </c>
      <c r="C367" s="2" t="s">
        <v>1657</v>
      </c>
      <c r="D367" s="2" t="str">
        <f>LEFT(TRIM(MID(SUBSTITUTE(tblShipments[[#This Row],[Details]],CHAR(10)," "), FIND(CHAR(10),tblShipments[[#This Row],[Details]])+1, 50)), 10)</f>
        <v>0509025765</v>
      </c>
      <c r="E367" t="s">
        <v>1662</v>
      </c>
      <c r="F36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7" t="str">
        <f>IF(tblShipments[[#This Row],[EGM no]]="", "Missing EGM", "EGM Submitted")</f>
        <v>EGM Submitted</v>
      </c>
      <c r="H367" t="str">
        <f>IF(OR(ISNUMBER(SEARCH("Released",tblShipments[[#This Row],[ROSL]])),
      ISNUMBER(SEARCH("Scroll",tblShipments[[#This Row],[ROSL]])),
      ISNUMBER(SEARCH("Y",tblShipments[[#This Row],[ROSL]]))),
   "Released",
   "Not Released")</f>
        <v>Released</v>
      </c>
      <c r="I367" t="str">
        <f>IF(OR(tblShipments[[#This Row],[EGM no]]="", tblShipments[[#This Row],[EGM no]]="N.A."), "Not Submitted", "Submitted")</f>
        <v>Submitted</v>
      </c>
      <c r="J367" t="str">
        <f>IF(LEFT(tblShipments[[#This Row],[Gateway_Extracted]],2)="IN","Valid","Invalid")</f>
        <v>Valid</v>
      </c>
      <c r="K367" t="s">
        <v>1635</v>
      </c>
      <c r="L367" t="s">
        <v>1663</v>
      </c>
      <c r="M367" t="s">
        <v>31</v>
      </c>
      <c r="N367" t="s">
        <v>1664</v>
      </c>
      <c r="O367" t="str">
        <f>IFERROR("IN" &amp; _xlfn.TEXTBEFORE(_xlfn.TEXTAFTER(UPPER(tblShipments[[#This Row],[Gateway_clean]]),"IN")," ",1),"")</f>
        <v>INNSA1</v>
      </c>
      <c r="P367" t="str">
        <f>SUBSTITUTE(tblShipments[[#This Row],[Gateway]], CHAR(10), " ")</f>
        <v xml:space="preserve">AWB No. Gateway Port Gateway EGM No. Gateway EGM Date Gateway Site ID Error Code N.A.  INNSA1  141394  2017-12-26 00:00:00.0  INNSA1  S </v>
      </c>
      <c r="Q367" t="s">
        <v>1665</v>
      </c>
    </row>
    <row r="368" spans="1:17" x14ac:dyDescent="0.35">
      <c r="A368" t="s">
        <v>8</v>
      </c>
      <c r="B368">
        <v>1811286</v>
      </c>
      <c r="C368" s="2" t="s">
        <v>1657</v>
      </c>
      <c r="D368" s="2" t="str">
        <f>LEFT(TRIM(MID(SUBSTITUTE(tblShipments[[#This Row],[Details]],CHAR(10)," "), FIND(CHAR(10),tblShipments[[#This Row],[Details]])+1, 50)), 10)</f>
        <v>1210001128</v>
      </c>
      <c r="E368" t="s">
        <v>1666</v>
      </c>
      <c r="F36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8" t="str">
        <f>IF(tblShipments[[#This Row],[EGM no]]="", "Missing EGM", "EGM Submitted")</f>
        <v>EGM Submitted</v>
      </c>
      <c r="H368" t="str">
        <f>IF(OR(ISNUMBER(SEARCH("Released",tblShipments[[#This Row],[ROSL]])),
      ISNUMBER(SEARCH("Scroll",tblShipments[[#This Row],[ROSL]])),
      ISNUMBER(SEARCH("Y",tblShipments[[#This Row],[ROSL]]))),
   "Released",
   "Not Released")</f>
        <v>Released</v>
      </c>
      <c r="I368" t="str">
        <f>IF(OR(tblShipments[[#This Row],[EGM no]]="", tblShipments[[#This Row],[EGM no]]="N.A."), "Not Submitted", "Submitted")</f>
        <v>Submitted</v>
      </c>
      <c r="J368" t="str">
        <f>IF(LEFT(tblShipments[[#This Row],[Gateway_Extracted]],2)="IN","Valid","Invalid")</f>
        <v>Valid</v>
      </c>
      <c r="K368" t="s">
        <v>1667</v>
      </c>
      <c r="L368" t="s">
        <v>1668</v>
      </c>
      <c r="M368" t="s">
        <v>13</v>
      </c>
      <c r="N368" t="s">
        <v>1669</v>
      </c>
      <c r="O368" t="str">
        <f>IFERROR("IN" &amp; _xlfn.TEXTBEFORE(_xlfn.TEXTAFTER(UPPER(tblShipments[[#This Row],[Gateway_clean]]),"IN")," ",1),"")</f>
        <v>INMUN1</v>
      </c>
      <c r="P368" t="str">
        <f>SUBSTITUTE(tblShipments[[#This Row],[Gateway]], CHAR(10), " ")</f>
        <v xml:space="preserve">AWB No. Gateway Port Gateway EGM No. Gateway EGM Date Gateway Site ID Error Code N.A.  INMUN1  143166  2018-01-23 00:00:00.0  INMUN1  S </v>
      </c>
      <c r="Q368" t="s">
        <v>1670</v>
      </c>
    </row>
    <row r="369" spans="1:17" x14ac:dyDescent="0.35">
      <c r="A369" t="s">
        <v>8</v>
      </c>
      <c r="B369">
        <v>1817413</v>
      </c>
      <c r="C369" s="2" t="s">
        <v>1657</v>
      </c>
      <c r="D369" s="2" t="str">
        <f>LEFT(TRIM(MID(SUBSTITUTE(tblShipments[[#This Row],[Details]],CHAR(10)," "), FIND(CHAR(10),tblShipments[[#This Row],[Details]])+1, 50)), 10)</f>
        <v>0595012647</v>
      </c>
      <c r="E369" t="s">
        <v>1671</v>
      </c>
      <c r="F36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69" t="str">
        <f>IF(tblShipments[[#This Row],[EGM no]]="", "Missing EGM", "EGM Submitted")</f>
        <v>EGM Submitted</v>
      </c>
      <c r="H369" t="str">
        <f>IF(OR(ISNUMBER(SEARCH("Released",tblShipments[[#This Row],[ROSL]])),
      ISNUMBER(SEARCH("Scroll",tblShipments[[#This Row],[ROSL]])),
      ISNUMBER(SEARCH("Y",tblShipments[[#This Row],[ROSL]]))),
   "Released",
   "Not Released")</f>
        <v>Released</v>
      </c>
      <c r="I369" t="str">
        <f>IF(OR(tblShipments[[#This Row],[EGM no]]="", tblShipments[[#This Row],[EGM no]]="N.A."), "Not Submitted", "Submitted")</f>
        <v>Submitted</v>
      </c>
      <c r="J369" t="str">
        <f>IF(LEFT(tblShipments[[#This Row],[Gateway_Extracted]],2)="IN","Valid","Invalid")</f>
        <v>Valid</v>
      </c>
      <c r="K369" t="s">
        <v>1643</v>
      </c>
      <c r="L369" t="s">
        <v>1672</v>
      </c>
      <c r="M369" t="s">
        <v>13</v>
      </c>
      <c r="N369" t="s">
        <v>1673</v>
      </c>
      <c r="O369" t="str">
        <f>IFERROR("IN" &amp; _xlfn.TEXTBEFORE(_xlfn.TEXTAFTER(UPPER(tblShipments[[#This Row],[Gateway_clean]]),"IN")," ",1),"")</f>
        <v>INMUN1</v>
      </c>
      <c r="P369" t="str">
        <f>SUBSTITUTE(tblShipments[[#This Row],[Gateway]], CHAR(10), " ")</f>
        <v xml:space="preserve">AWB No. Gateway Port Gateway EGM No. Gateway EGM Date Gateway Site ID Error Code N.A.  INMUN1  141230  2017-12-22 00:00:00.0  INMUN1  S </v>
      </c>
      <c r="Q369" t="s">
        <v>1646</v>
      </c>
    </row>
    <row r="370" spans="1:17" x14ac:dyDescent="0.35">
      <c r="A370" t="s">
        <v>8</v>
      </c>
      <c r="B370">
        <v>1817472</v>
      </c>
      <c r="C370" s="2" t="s">
        <v>1657</v>
      </c>
      <c r="D370" s="2" t="str">
        <f>LEFT(TRIM(MID(SUBSTITUTE(tblShipments[[#This Row],[Details]],CHAR(10)," "), FIND(CHAR(10),tblShipments[[#This Row],[Details]])+1, 50)), 10)</f>
        <v>0595012647</v>
      </c>
      <c r="E370" t="s">
        <v>1674</v>
      </c>
      <c r="F37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0" t="str">
        <f>IF(tblShipments[[#This Row],[EGM no]]="", "Missing EGM", "EGM Submitted")</f>
        <v>EGM Submitted</v>
      </c>
      <c r="H370" t="str">
        <f>IF(OR(ISNUMBER(SEARCH("Released",tblShipments[[#This Row],[ROSL]])),
      ISNUMBER(SEARCH("Scroll",tblShipments[[#This Row],[ROSL]])),
      ISNUMBER(SEARCH("Y",tblShipments[[#This Row],[ROSL]]))),
   "Released",
   "Not Released")</f>
        <v>Released</v>
      </c>
      <c r="I370" t="str">
        <f>IF(OR(tblShipments[[#This Row],[EGM no]]="", tblShipments[[#This Row],[EGM no]]="N.A."), "Not Submitted", "Submitted")</f>
        <v>Submitted</v>
      </c>
      <c r="J370" t="str">
        <f>IF(LEFT(tblShipments[[#This Row],[Gateway_Extracted]],2)="IN","Valid","Invalid")</f>
        <v>Valid</v>
      </c>
      <c r="K370" t="s">
        <v>1643</v>
      </c>
      <c r="L370" t="s">
        <v>1675</v>
      </c>
      <c r="M370" t="s">
        <v>13</v>
      </c>
      <c r="N370" t="s">
        <v>1676</v>
      </c>
      <c r="O370" t="str">
        <f>IFERROR("IN" &amp; _xlfn.TEXTBEFORE(_xlfn.TEXTAFTER(UPPER(tblShipments[[#This Row],[Gateway_clean]]),"IN")," ",1),"")</f>
        <v>INMUN1</v>
      </c>
      <c r="P370" t="str">
        <f>SUBSTITUTE(tblShipments[[#This Row],[Gateway]], CHAR(10), " ")</f>
        <v xml:space="preserve">AWB No. Gateway Port Gateway EGM No. Gateway EGM Date Gateway Site ID Error Code N.A.  INMUN1  141230  2017-12-22 00:00:00.0  INMUN1  S </v>
      </c>
      <c r="Q370" t="s">
        <v>1646</v>
      </c>
    </row>
    <row r="371" spans="1:17" x14ac:dyDescent="0.35">
      <c r="A371" t="s">
        <v>8</v>
      </c>
      <c r="B371">
        <v>1838515</v>
      </c>
      <c r="C371" s="2" t="s">
        <v>1677</v>
      </c>
      <c r="D371" s="2" t="str">
        <f>LEFT(TRIM(MID(SUBSTITUTE(tblShipments[[#This Row],[Details]],CHAR(10)," "), FIND(CHAR(10),tblShipments[[#This Row],[Details]])+1, 50)), 10)</f>
        <v>0504077171</v>
      </c>
      <c r="E371" t="s">
        <v>1678</v>
      </c>
      <c r="F371"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1" t="str">
        <f>IF(tblShipments[[#This Row],[EGM no]]="", "Missing EGM", "EGM Submitted")</f>
        <v>EGM Submitted</v>
      </c>
      <c r="H371" t="str">
        <f>IF(OR(ISNUMBER(SEARCH("Released",tblShipments[[#This Row],[ROSL]])),
      ISNUMBER(SEARCH("Scroll",tblShipments[[#This Row],[ROSL]])),
      ISNUMBER(SEARCH("Y",tblShipments[[#This Row],[ROSL]]))),
   "Released",
   "Not Released")</f>
        <v>Released</v>
      </c>
      <c r="I371" t="str">
        <f>IF(OR(tblShipments[[#This Row],[EGM no]]="", tblShipments[[#This Row],[EGM no]]="N.A."), "Not Submitted", "Submitted")</f>
        <v>Submitted</v>
      </c>
      <c r="J371" t="str">
        <f>IF(LEFT(tblShipments[[#This Row],[Gateway_Extracted]],2)="IN","Valid","Invalid")</f>
        <v>Valid</v>
      </c>
      <c r="K371" t="s">
        <v>1679</v>
      </c>
      <c r="L371" t="s">
        <v>1680</v>
      </c>
      <c r="M371" t="s">
        <v>31</v>
      </c>
      <c r="N371" t="s">
        <v>1681</v>
      </c>
      <c r="O371" t="str">
        <f>IFERROR("IN" &amp; _xlfn.TEXTBEFORE(_xlfn.TEXTAFTER(UPPER(tblShipments[[#This Row],[Gateway_clean]]),"IN")," ",1),"")</f>
        <v>INMUN1</v>
      </c>
      <c r="P371" t="str">
        <f>SUBSTITUTE(tblShipments[[#This Row],[Gateway]], CHAR(10), " ")</f>
        <v xml:space="preserve">AWB No. Gateway Port Gateway EGM No. Gateway EGM Date Gateway Site ID Error Code N.A.  INMUN1  142479  2018-01-12 00:00:00.0  INMUN1  S </v>
      </c>
      <c r="Q371" t="s">
        <v>1682</v>
      </c>
    </row>
    <row r="372" spans="1:17" x14ac:dyDescent="0.35">
      <c r="A372" t="s">
        <v>8</v>
      </c>
      <c r="B372">
        <v>1852350</v>
      </c>
      <c r="C372" s="2" t="s">
        <v>1677</v>
      </c>
      <c r="D372" s="2" t="str">
        <f>LEFT(TRIM(MID(SUBSTITUTE(tblShipments[[#This Row],[Details]],CHAR(10)," "), FIND(CHAR(10),tblShipments[[#This Row],[Details]])+1, 50)), 10)</f>
        <v>0500050139</v>
      </c>
      <c r="E372" t="s">
        <v>1683</v>
      </c>
      <c r="F372"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2" t="str">
        <f>IF(tblShipments[[#This Row],[EGM no]]="", "Missing EGM", "EGM Submitted")</f>
        <v>EGM Submitted</v>
      </c>
      <c r="H372" t="str">
        <f>IF(OR(ISNUMBER(SEARCH("Released",tblShipments[[#This Row],[ROSL]])),
      ISNUMBER(SEARCH("Scroll",tblShipments[[#This Row],[ROSL]])),
      ISNUMBER(SEARCH("Y",tblShipments[[#This Row],[ROSL]]))),
   "Released",
   "Not Released")</f>
        <v>Released</v>
      </c>
      <c r="I372" t="str">
        <f>IF(OR(tblShipments[[#This Row],[EGM no]]="", tblShipments[[#This Row],[EGM no]]="N.A."), "Not Submitted", "Submitted")</f>
        <v>Submitted</v>
      </c>
      <c r="J372" t="str">
        <f>IF(LEFT(tblShipments[[#This Row],[Gateway_Extracted]],2)="IN","Valid","Invalid")</f>
        <v>Valid</v>
      </c>
      <c r="K372" t="s">
        <v>1659</v>
      </c>
      <c r="L372" t="s">
        <v>1684</v>
      </c>
      <c r="M372" t="s">
        <v>31</v>
      </c>
      <c r="N372" t="s">
        <v>1685</v>
      </c>
      <c r="O372" t="str">
        <f>IFERROR("IN" &amp; _xlfn.TEXTBEFORE(_xlfn.TEXTAFTER(UPPER(tblShipments[[#This Row],[Gateway_clean]]),"IN")," ",1),"")</f>
        <v>INMUN1</v>
      </c>
      <c r="P372" t="str">
        <f>SUBSTITUTE(tblShipments[[#This Row],[Gateway]], CHAR(10), " ")</f>
        <v xml:space="preserve">AWB No. Gateway Port Gateway EGM No. Gateway EGM Date Gateway Site ID Error Code N.A.  INMUN1  141264  2017-12-23 00:00:00.0  INMUN1  S </v>
      </c>
      <c r="Q372" t="s">
        <v>1686</v>
      </c>
    </row>
    <row r="373" spans="1:17" x14ac:dyDescent="0.35">
      <c r="A373" t="s">
        <v>8</v>
      </c>
      <c r="B373">
        <v>1865148</v>
      </c>
      <c r="C373" s="2" t="s">
        <v>1687</v>
      </c>
      <c r="D373" s="2" t="str">
        <f>LEFT(TRIM(MID(SUBSTITUTE(tblShipments[[#This Row],[Details]],CHAR(10)," "), FIND(CHAR(10),tblShipments[[#This Row],[Details]])+1, 50)), 10)</f>
        <v xml:space="preserve">No Record </v>
      </c>
      <c r="E373" t="s">
        <v>1602</v>
      </c>
      <c r="F373"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3" t="str">
        <f>IF(tblShipments[[#This Row],[EGM no]]="", "Missing EGM", "EGM Submitted")</f>
        <v>EGM Submitted</v>
      </c>
      <c r="H373" t="str">
        <f>IF(OR(ISNUMBER(SEARCH("Released",tblShipments[[#This Row],[ROSL]])),
      ISNUMBER(SEARCH("Scroll",tblShipments[[#This Row],[ROSL]])),
      ISNUMBER(SEARCH("Y",tblShipments[[#This Row],[ROSL]]))),
   "Released",
   "Not Released")</f>
        <v>Released</v>
      </c>
      <c r="I373" t="str">
        <f>IF(OR(tblShipments[[#This Row],[EGM no]]="", tblShipments[[#This Row],[EGM no]]="N.A."), "Not Submitted", "Submitted")</f>
        <v>Submitted</v>
      </c>
      <c r="J373" t="str">
        <f>IF(LEFT(tblShipments[[#This Row],[Gateway_Extracted]],2)="IN","Valid","Invalid")</f>
        <v>Valid</v>
      </c>
      <c r="K373" t="s">
        <v>1679</v>
      </c>
      <c r="L373" t="s">
        <v>1688</v>
      </c>
      <c r="M373" t="s">
        <v>31</v>
      </c>
      <c r="N373" t="s">
        <v>1689</v>
      </c>
      <c r="O373" t="str">
        <f>IFERROR("IN" &amp; _xlfn.TEXTBEFORE(_xlfn.TEXTAFTER(UPPER(tblShipments[[#This Row],[Gateway_clean]]),"IN")," ",1),"")</f>
        <v>INNSA1</v>
      </c>
      <c r="P373" t="str">
        <f>SUBSTITUTE(tblShipments[[#This Row],[Gateway]], CHAR(10), " ")</f>
        <v xml:space="preserve">AWB No. Gateway Port Gateway EGM No. Gateway EGM Date Gateway Site ID Error Code N.A.  INNSA1  142173  2018-01-08 00:00:00.0  INNSA1  S </v>
      </c>
      <c r="Q373" t="s">
        <v>1690</v>
      </c>
    </row>
    <row r="374" spans="1:17" x14ac:dyDescent="0.35">
      <c r="A374" t="s">
        <v>8</v>
      </c>
      <c r="B374">
        <v>1865329</v>
      </c>
      <c r="C374" s="2" t="s">
        <v>1687</v>
      </c>
      <c r="D374" s="2" t="str">
        <f>LEFT(TRIM(MID(SUBSTITUTE(tblShipments[[#This Row],[Details]],CHAR(10)," "), FIND(CHAR(10),tblShipments[[#This Row],[Details]])+1, 50)), 10)</f>
        <v>0504077171</v>
      </c>
      <c r="E374" t="s">
        <v>1691</v>
      </c>
      <c r="F374"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4" t="str">
        <f>IF(tblShipments[[#This Row],[EGM no]]="", "Missing EGM", "EGM Submitted")</f>
        <v>EGM Submitted</v>
      </c>
      <c r="H374" t="str">
        <f>IF(OR(ISNUMBER(SEARCH("Released",tblShipments[[#This Row],[ROSL]])),
      ISNUMBER(SEARCH("Scroll",tblShipments[[#This Row],[ROSL]])),
      ISNUMBER(SEARCH("Y",tblShipments[[#This Row],[ROSL]]))),
   "Released",
   "Not Released")</f>
        <v>Released</v>
      </c>
      <c r="I374" t="str">
        <f>IF(OR(tblShipments[[#This Row],[EGM no]]="", tblShipments[[#This Row],[EGM no]]="N.A."), "Not Submitted", "Submitted")</f>
        <v>Submitted</v>
      </c>
      <c r="J374" t="str">
        <f>IF(LEFT(tblShipments[[#This Row],[Gateway_Extracted]],2)="IN","Valid","Invalid")</f>
        <v>Valid</v>
      </c>
      <c r="K374" t="s">
        <v>1692</v>
      </c>
      <c r="L374" t="s">
        <v>1693</v>
      </c>
      <c r="M374" t="s">
        <v>31</v>
      </c>
      <c r="N374" t="s">
        <v>1694</v>
      </c>
      <c r="O374" t="str">
        <f>IFERROR("IN" &amp; _xlfn.TEXTBEFORE(_xlfn.TEXTAFTER(UPPER(tblShipments[[#This Row],[Gateway_clean]]),"IN")," ",1),"")</f>
        <v>INPAV1</v>
      </c>
      <c r="P374" t="str">
        <f>SUBSTITUTE(tblShipments[[#This Row],[Gateway]], CHAR(10), " ")</f>
        <v xml:space="preserve">AWB No. Gateway Port Gateway EGM No. Gateway EGM Date Gateway Site ID Error Code N.A.  INPAV1  141634  2017-12-29 00:00:00.0  INPAV1  S </v>
      </c>
      <c r="Q374" t="s">
        <v>1695</v>
      </c>
    </row>
    <row r="375" spans="1:17" x14ac:dyDescent="0.35">
      <c r="A375" t="s">
        <v>8</v>
      </c>
      <c r="B375">
        <v>1866627</v>
      </c>
      <c r="C375" s="2" t="s">
        <v>1687</v>
      </c>
      <c r="D375" s="2" t="str">
        <f>LEFT(TRIM(MID(SUBSTITUTE(tblShipments[[#This Row],[Details]],CHAR(10)," "), FIND(CHAR(10),tblShipments[[#This Row],[Details]])+1, 50)), 10)</f>
        <v>0589036734</v>
      </c>
      <c r="E375" t="s">
        <v>1696</v>
      </c>
      <c r="F375"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5" t="str">
        <f>IF(tblShipments[[#This Row],[EGM no]]="", "Missing EGM", "EGM Submitted")</f>
        <v>EGM Submitted</v>
      </c>
      <c r="H375" t="str">
        <f>IF(OR(ISNUMBER(SEARCH("Released",tblShipments[[#This Row],[ROSL]])),
      ISNUMBER(SEARCH("Scroll",tblShipments[[#This Row],[ROSL]])),
      ISNUMBER(SEARCH("Y",tblShipments[[#This Row],[ROSL]]))),
   "Released",
   "Not Released")</f>
        <v>Released</v>
      </c>
      <c r="I375" t="str">
        <f>IF(OR(tblShipments[[#This Row],[EGM no]]="", tblShipments[[#This Row],[EGM no]]="N.A."), "Not Submitted", "Submitted")</f>
        <v>Submitted</v>
      </c>
      <c r="J375" t="str">
        <f>IF(LEFT(tblShipments[[#This Row],[Gateway_Extracted]],2)="IN","Valid","Invalid")</f>
        <v>Valid</v>
      </c>
      <c r="K375" t="s">
        <v>1697</v>
      </c>
      <c r="L375" t="s">
        <v>1698</v>
      </c>
      <c r="M375" t="s">
        <v>13</v>
      </c>
      <c r="N375" t="s">
        <v>1699</v>
      </c>
      <c r="O375" t="str">
        <f>IFERROR("IN" &amp; _xlfn.TEXTBEFORE(_xlfn.TEXTAFTER(UPPER(tblShipments[[#This Row],[Gateway_clean]]),"IN")," ",1),"")</f>
        <v>INMUN1</v>
      </c>
      <c r="P375" t="str">
        <f>SUBSTITUTE(tblShipments[[#This Row],[Gateway]], CHAR(10), " ")</f>
        <v xml:space="preserve">AWB No. Gateway Port Gateway EGM No. Gateway EGM Date Gateway Site ID Error Code N.A.  INMUN1  141770  2018-01-02 00:00:00.0  INMUN1  S </v>
      </c>
      <c r="Q375" t="s">
        <v>1700</v>
      </c>
    </row>
    <row r="376" spans="1:17" x14ac:dyDescent="0.35">
      <c r="A376" t="s">
        <v>8</v>
      </c>
      <c r="B376">
        <v>1868552</v>
      </c>
      <c r="C376" s="2" t="s">
        <v>1687</v>
      </c>
      <c r="D376" s="2" t="str">
        <f>LEFT(TRIM(MID(SUBSTITUTE(tblShipments[[#This Row],[Details]],CHAR(10)," "), FIND(CHAR(10),tblShipments[[#This Row],[Details]])+1, 50)), 10)</f>
        <v xml:space="preserve">No Record </v>
      </c>
      <c r="E376" t="s">
        <v>1602</v>
      </c>
      <c r="F376"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6" t="str">
        <f>IF(tblShipments[[#This Row],[EGM no]]="", "Missing EGM", "EGM Submitted")</f>
        <v>EGM Submitted</v>
      </c>
      <c r="H376" t="str">
        <f>IF(OR(ISNUMBER(SEARCH("Released",tblShipments[[#This Row],[ROSL]])),
      ISNUMBER(SEARCH("Scroll",tblShipments[[#This Row],[ROSL]])),
      ISNUMBER(SEARCH("Y",tblShipments[[#This Row],[ROSL]]))),
   "Released",
   "Not Released")</f>
        <v>Released</v>
      </c>
      <c r="I376" t="str">
        <f>IF(OR(tblShipments[[#This Row],[EGM no]]="", tblShipments[[#This Row],[EGM no]]="N.A."), "Not Submitted", "Submitted")</f>
        <v>Submitted</v>
      </c>
      <c r="J376" t="str">
        <f>IF(LEFT(tblShipments[[#This Row],[Gateway_Extracted]],2)="IN","Valid","Invalid")</f>
        <v>Valid</v>
      </c>
      <c r="K376" t="s">
        <v>1679</v>
      </c>
      <c r="L376" t="s">
        <v>1701</v>
      </c>
      <c r="M376" t="s">
        <v>31</v>
      </c>
      <c r="N376" t="s">
        <v>1702</v>
      </c>
      <c r="O376" t="str">
        <f>IFERROR("IN" &amp; _xlfn.TEXTBEFORE(_xlfn.TEXTAFTER(UPPER(tblShipments[[#This Row],[Gateway_clean]]),"IN")," ",1),"")</f>
        <v>INNSA1</v>
      </c>
      <c r="P376" t="str">
        <f>SUBSTITUTE(tblShipments[[#This Row],[Gateway]], CHAR(10), " ")</f>
        <v xml:space="preserve">AWB No. Gateway Port Gateway EGM No. Gateway EGM Date Gateway Site ID Error Code N.A.  INNSA1  141170  2017-12-22 00:00:00.0  INNSA1  S </v>
      </c>
      <c r="Q376" t="s">
        <v>1703</v>
      </c>
    </row>
    <row r="377" spans="1:17" x14ac:dyDescent="0.35">
      <c r="A377" t="s">
        <v>8</v>
      </c>
      <c r="B377">
        <v>1899578</v>
      </c>
      <c r="C377" s="2" t="s">
        <v>1704</v>
      </c>
      <c r="D377" s="2" t="str">
        <f>LEFT(TRIM(MID(SUBSTITUTE(tblShipments[[#This Row],[Details]],CHAR(10)," "), FIND(CHAR(10),tblShipments[[#This Row],[Details]])+1, 50)), 10)</f>
        <v>0588128180</v>
      </c>
      <c r="E377" t="s">
        <v>1705</v>
      </c>
      <c r="F377"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7" t="str">
        <f>IF(tblShipments[[#This Row],[EGM no]]="", "Missing EGM", "EGM Submitted")</f>
        <v>EGM Submitted</v>
      </c>
      <c r="H377" t="str">
        <f>IF(OR(ISNUMBER(SEARCH("Released",tblShipments[[#This Row],[ROSL]])),
      ISNUMBER(SEARCH("Scroll",tblShipments[[#This Row],[ROSL]])),
      ISNUMBER(SEARCH("Y",tblShipments[[#This Row],[ROSL]]))),
   "Released",
   "Not Released")</f>
        <v>Released</v>
      </c>
      <c r="I377" t="str">
        <f>IF(OR(tblShipments[[#This Row],[EGM no]]="", tblShipments[[#This Row],[EGM no]]="N.A."), "Not Submitted", "Submitted")</f>
        <v>Submitted</v>
      </c>
      <c r="J377" t="str">
        <f>IF(LEFT(tblShipments[[#This Row],[Gateway_Extracted]],2)="IN","Valid","Invalid")</f>
        <v>Valid</v>
      </c>
      <c r="K377" t="s">
        <v>1706</v>
      </c>
      <c r="L377" t="s">
        <v>1668</v>
      </c>
      <c r="M377" t="s">
        <v>31</v>
      </c>
      <c r="N377" t="s">
        <v>1707</v>
      </c>
      <c r="O377" t="str">
        <f>IFERROR("IN" &amp; _xlfn.TEXTBEFORE(_xlfn.TEXTAFTER(UPPER(tblShipments[[#This Row],[Gateway_clean]]),"IN")," ",1),"")</f>
        <v>INMUN1</v>
      </c>
      <c r="P377" t="str">
        <f>SUBSTITUTE(tblShipments[[#This Row],[Gateway]], CHAR(10), " ")</f>
        <v xml:space="preserve">AWB No. Gateway Port Gateway EGM No. Gateway EGM Date Gateway Site ID Error Code N.A.  INMUN1  143166  2018-01-23 00:00:00.0  INMUN1  S </v>
      </c>
      <c r="Q377" t="s">
        <v>1670</v>
      </c>
    </row>
    <row r="378" spans="1:17" x14ac:dyDescent="0.35">
      <c r="A378" t="s">
        <v>8</v>
      </c>
      <c r="B378">
        <v>1900474</v>
      </c>
      <c r="C378" s="2" t="s">
        <v>1704</v>
      </c>
      <c r="D378" s="2" t="str">
        <f>LEFT(TRIM(MID(SUBSTITUTE(tblShipments[[#This Row],[Details]],CHAR(10)," "), FIND(CHAR(10),tblShipments[[#This Row],[Details]])+1, 50)), 10)</f>
        <v>AGEPB3375R</v>
      </c>
      <c r="E378" t="s">
        <v>1708</v>
      </c>
      <c r="F378"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8" t="str">
        <f>IF(tblShipments[[#This Row],[EGM no]]="", "Missing EGM", "EGM Submitted")</f>
        <v>EGM Submitted</v>
      </c>
      <c r="H378" t="str">
        <f>IF(OR(ISNUMBER(SEARCH("Released",tblShipments[[#This Row],[ROSL]])),
      ISNUMBER(SEARCH("Scroll",tblShipments[[#This Row],[ROSL]])),
      ISNUMBER(SEARCH("Y",tblShipments[[#This Row],[ROSL]]))),
   "Released",
   "Not Released")</f>
        <v>Released</v>
      </c>
      <c r="I378" t="str">
        <f>IF(OR(tblShipments[[#This Row],[EGM no]]="", tblShipments[[#This Row],[EGM no]]="N.A."), "Not Submitted", "Submitted")</f>
        <v>Submitted</v>
      </c>
      <c r="J378" t="str">
        <f>IF(LEFT(tblShipments[[#This Row],[Gateway_Extracted]],2)="IN","Valid","Invalid")</f>
        <v>Valid</v>
      </c>
      <c r="K378" t="s">
        <v>1709</v>
      </c>
      <c r="L378" t="s">
        <v>1710</v>
      </c>
      <c r="M378" t="s">
        <v>13</v>
      </c>
      <c r="N378" t="s">
        <v>1711</v>
      </c>
      <c r="O378" t="str">
        <f>IFERROR("IN" &amp; _xlfn.TEXTBEFORE(_xlfn.TEXTAFTER(UPPER(tblShipments[[#This Row],[Gateway_clean]]),"IN")," ",1),"")</f>
        <v>INMUN1</v>
      </c>
      <c r="P378" t="str">
        <f>SUBSTITUTE(tblShipments[[#This Row],[Gateway]], CHAR(10), " ")</f>
        <v xml:space="preserve">AWB No. Gateway Port Gateway EGM No. Gateway EGM Date Gateway Site ID Error Code N.A.  INMUN1  142204  2018-01-09 00:00:00.0  INMUN1  S </v>
      </c>
      <c r="Q378" t="s">
        <v>1712</v>
      </c>
    </row>
    <row r="379" spans="1:17" x14ac:dyDescent="0.35">
      <c r="A379" t="s">
        <v>8</v>
      </c>
      <c r="B379">
        <v>1904114</v>
      </c>
      <c r="C379" s="2" t="s">
        <v>1704</v>
      </c>
      <c r="D379" s="2" t="str">
        <f>LEFT(TRIM(MID(SUBSTITUTE(tblShipments[[#This Row],[Details]],CHAR(10)," "), FIND(CHAR(10),tblShipments[[#This Row],[Details]])+1, 50)), 10)</f>
        <v>0595012647</v>
      </c>
      <c r="E379" t="s">
        <v>1713</v>
      </c>
      <c r="F379"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79" t="str">
        <f>IF(tblShipments[[#This Row],[EGM no]]="", "Missing EGM", "EGM Submitted")</f>
        <v>EGM Submitted</v>
      </c>
      <c r="H379" t="str">
        <f>IF(OR(ISNUMBER(SEARCH("Released",tblShipments[[#This Row],[ROSL]])),
      ISNUMBER(SEARCH("Scroll",tblShipments[[#This Row],[ROSL]])),
      ISNUMBER(SEARCH("Y",tblShipments[[#This Row],[ROSL]]))),
   "Released",
   "Not Released")</f>
        <v>Released</v>
      </c>
      <c r="I379" t="str">
        <f>IF(OR(tblShipments[[#This Row],[EGM no]]="", tblShipments[[#This Row],[EGM no]]="N.A."), "Not Submitted", "Submitted")</f>
        <v>Submitted</v>
      </c>
      <c r="J379" t="str">
        <f>IF(LEFT(tblShipments[[#This Row],[Gateway_Extracted]],2)="IN","Valid","Invalid")</f>
        <v>Valid</v>
      </c>
      <c r="K379" t="s">
        <v>1714</v>
      </c>
      <c r="L379" t="s">
        <v>1715</v>
      </c>
      <c r="M379" t="s">
        <v>13</v>
      </c>
      <c r="N379" t="s">
        <v>1716</v>
      </c>
      <c r="O379" t="str">
        <f>IFERROR("IN" &amp; _xlfn.TEXTBEFORE(_xlfn.TEXTAFTER(UPPER(tblShipments[[#This Row],[Gateway_clean]]),"IN")," ",1),"")</f>
        <v>INMUN1</v>
      </c>
      <c r="P379" t="str">
        <f>SUBSTITUTE(tblShipments[[#This Row],[Gateway]], CHAR(10), " ")</f>
        <v xml:space="preserve">AWB No. Gateway Port Gateway EGM No. Gateway EGM Date Gateway Site ID Error Code N.A.  INMUN1  141231  2017-12-22 00:00:00.0  INMUN1  S </v>
      </c>
      <c r="Q379" t="s">
        <v>1717</v>
      </c>
    </row>
    <row r="380" spans="1:17" x14ac:dyDescent="0.35">
      <c r="A380" t="s">
        <v>8</v>
      </c>
      <c r="B380">
        <v>1905542</v>
      </c>
      <c r="C380" s="2" t="s">
        <v>1704</v>
      </c>
      <c r="D380" s="2" t="str">
        <f>LEFT(TRIM(MID(SUBSTITUTE(tblShipments[[#This Row],[Details]],CHAR(10)," "), FIND(CHAR(10),tblShipments[[#This Row],[Details]])+1, 50)), 10)</f>
        <v>0595012647</v>
      </c>
      <c r="E380" t="s">
        <v>1718</v>
      </c>
      <c r="F380" t="str">
        <f>IF(ISNUMBER(SEARCH("Error", tblShipments[[#This Row],[Status]])), "Error",
 IF(ISNUMBER(SEARCH("SCR", tblShipments[[#This Row],[Status]])), "Processed",
 IF(ISNUMBER(SEARCH("Scroll", tblShipments[[#This Row],[Status]])), "Processed",
 IF(ISNUMBER(SEARCH("Y", tblShipments[[#This Row],[Status]])), "Released",
 IF(ISNUMBER(SEARCH("N", tblShipments[[#This Row],[Status]])), "Pending",
 "Other")))))</f>
        <v>Processed</v>
      </c>
      <c r="G380" t="str">
        <f>IF(tblShipments[[#This Row],[EGM no]]="", "Missing EGM", "EGM Submitted")</f>
        <v>EGM Submitted</v>
      </c>
      <c r="H380" t="str">
        <f>IF(OR(ISNUMBER(SEARCH("Released",tblShipments[[#This Row],[ROSL]])),
      ISNUMBER(SEARCH("Scroll",tblShipments[[#This Row],[ROSL]])),
      ISNUMBER(SEARCH("Y",tblShipments[[#This Row],[ROSL]]))),
   "Released",
   "Not Released")</f>
        <v>Released</v>
      </c>
      <c r="I380" t="str">
        <f>IF(OR(tblShipments[[#This Row],[EGM no]]="", tblShipments[[#This Row],[EGM no]]="N.A."), "Not Submitted", "Submitted")</f>
        <v>Submitted</v>
      </c>
      <c r="J380" t="str">
        <f>IF(LEFT(tblShipments[[#This Row],[Gateway_Extracted]],2)="IN","Valid","Invalid")</f>
        <v>Valid</v>
      </c>
      <c r="K380" t="s">
        <v>1719</v>
      </c>
      <c r="L380" t="s">
        <v>1720</v>
      </c>
      <c r="M380" t="s">
        <v>13</v>
      </c>
      <c r="N380" t="s">
        <v>1721</v>
      </c>
      <c r="O380" t="str">
        <f>IFERROR("IN" &amp; _xlfn.TEXTBEFORE(_xlfn.TEXTAFTER(UPPER(tblShipments[[#This Row],[Gateway_clean]]),"IN")," ",1),"")</f>
        <v>INMUN1</v>
      </c>
      <c r="P380" t="str">
        <f>SUBSTITUTE(tblShipments[[#This Row],[Gateway]], CHAR(10), " ")</f>
        <v xml:space="preserve">AWB No. Gateway Port Gateway EGM No. Gateway EGM Date Gateway Site ID Error Code N.A.  INMUN1  141231  2017-12-22 00:00:00.0  INMUN1  S </v>
      </c>
      <c r="Q380" t="s">
        <v>1717</v>
      </c>
    </row>
  </sheetData>
  <conditionalFormatting sqref="B1">
    <cfRule type="duplicateValues" dxfId="31"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B682-5408-41E0-B651-ADA7624B57DE}">
  <dimension ref="A1:Q380"/>
  <sheetViews>
    <sheetView zoomScale="82" workbookViewId="0">
      <selection activeCell="D13" sqref="D13"/>
    </sheetView>
  </sheetViews>
  <sheetFormatPr defaultRowHeight="14.5" x14ac:dyDescent="0.35"/>
  <cols>
    <col min="1" max="1" width="18.26953125" customWidth="1"/>
    <col min="2" max="2" width="8.7265625" bestFit="1" customWidth="1"/>
    <col min="3" max="3" width="11.1796875" style="2" bestFit="1" customWidth="1"/>
    <col min="4" max="4" width="63.81640625" customWidth="1"/>
    <col min="5" max="5" width="125.1796875" customWidth="1"/>
    <col min="6" max="6" width="14.1796875" bestFit="1" customWidth="1"/>
    <col min="7" max="7" width="113.81640625" bestFit="1" customWidth="1"/>
    <col min="8" max="8" width="93" bestFit="1" customWidth="1"/>
    <col min="9" max="10" width="93" customWidth="1"/>
    <col min="11" max="11" width="137.26953125" bestFit="1" customWidth="1"/>
    <col min="12" max="12" width="131.26953125" bestFit="1" customWidth="1"/>
    <col min="13" max="13" width="131.26953125" customWidth="1"/>
  </cols>
  <sheetData>
    <row r="1" spans="1:17" x14ac:dyDescent="0.35">
      <c r="A1" t="s">
        <v>0</v>
      </c>
      <c r="B1" t="s">
        <v>1</v>
      </c>
      <c r="C1" s="2" t="s">
        <v>2</v>
      </c>
      <c r="D1" s="2" t="s">
        <v>1980</v>
      </c>
      <c r="E1" t="s">
        <v>3</v>
      </c>
      <c r="F1" t="s">
        <v>2439</v>
      </c>
      <c r="G1" t="s">
        <v>2440</v>
      </c>
      <c r="H1" t="s">
        <v>2441</v>
      </c>
      <c r="I1" t="s">
        <v>2442</v>
      </c>
      <c r="J1" t="s">
        <v>2443</v>
      </c>
      <c r="K1" t="s">
        <v>1722</v>
      </c>
      <c r="L1" t="s">
        <v>4</v>
      </c>
      <c r="M1" t="s">
        <v>5</v>
      </c>
      <c r="N1" t="s">
        <v>6</v>
      </c>
      <c r="O1" t="s">
        <v>2435</v>
      </c>
      <c r="P1" t="s">
        <v>2434</v>
      </c>
      <c r="Q1" t="s">
        <v>7</v>
      </c>
    </row>
    <row r="2" spans="1:17" x14ac:dyDescent="0.35">
      <c r="A2" t="s">
        <v>8</v>
      </c>
      <c r="B2">
        <v>1630870</v>
      </c>
      <c r="C2" s="2" t="s">
        <v>1547</v>
      </c>
      <c r="D2" s="2" t="str">
        <f>LEFT(TRIM(MID(SUBSTITUTE(tblShipments5[[#This Row],[Details]],CHAR(10)," "), FIND(CHAR(10),tblShipments5[[#This Row],[Details]])+1, 50)), 10)</f>
        <v>0589036734</v>
      </c>
      <c r="E2" t="s">
        <v>1569</v>
      </c>
      <c r="F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 t="str">
        <f>IF(tblShipments5[[#This Row],[EGM no]]="", "Missing EGM", "EGM Submitted")</f>
        <v>EGM Submitted</v>
      </c>
      <c r="H2" t="str">
        <f>IF(OR(ISNUMBER(SEARCH("Released",tblShipments5[[#This Row],[ROSL]])),
      ISNUMBER(SEARCH("Scroll",tblShipments5[[#This Row],[ROSL]])),
      ISNUMBER(SEARCH("Y",tblShipments5[[#This Row],[ROSL]]))),
   "Released",
   "Not Released")</f>
        <v>Released</v>
      </c>
      <c r="I2" t="str">
        <f>IF(OR(tblShipments5[[#This Row],[EGM no]]="", tblShipments5[[#This Row],[EGM no]]="N.A."), "Not Submitted", "Submitted")</f>
        <v>Submitted</v>
      </c>
      <c r="J2" t="str">
        <f>IF(LEFT(tblShipments5[[#This Row],[Gateway_Extracted]],2)="IN","Valid","Invalid")</f>
        <v>Valid</v>
      </c>
      <c r="K2" t="s">
        <v>1543</v>
      </c>
      <c r="L2" t="s">
        <v>1570</v>
      </c>
      <c r="M2" t="s">
        <v>13</v>
      </c>
      <c r="N2" t="s">
        <v>1571</v>
      </c>
      <c r="O2" t="str">
        <f>IFERROR("IN" &amp; _xlfn.TEXTBEFORE(_xlfn.TEXTAFTER(UPPER(tblShipments5[[#This Row],[Gateway_clean]]),"IN")," ",1),"")</f>
        <v>INNSA1</v>
      </c>
      <c r="P2" t="str">
        <f>SUBSTITUTE(tblShipments5[[#This Row],[Gateway]], CHAR(10), " ")</f>
        <v xml:space="preserve">AWB No. Gateway Port Gateway EGM No. Gateway EGM Date Gateway Site ID Error Code N.A.  INNSA1  141083  2017-12-21 00:00:00.0  INNSA1  C </v>
      </c>
      <c r="Q2" t="s">
        <v>1572</v>
      </c>
    </row>
    <row r="3" spans="1:17" x14ac:dyDescent="0.35">
      <c r="A3" t="s">
        <v>8</v>
      </c>
      <c r="B3">
        <v>1718128</v>
      </c>
      <c r="C3" s="2" t="s">
        <v>1615</v>
      </c>
      <c r="D3" s="2" t="str">
        <f>LEFT(TRIM(MID(SUBSTITUTE(tblShipments5[[#This Row],[Details]],CHAR(10)," "), FIND(CHAR(10),tblShipments5[[#This Row],[Details]])+1, 50)), 10)</f>
        <v>0589036734</v>
      </c>
      <c r="E3" t="s">
        <v>1616</v>
      </c>
      <c r="F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 t="str">
        <f>IF(tblShipments5[[#This Row],[EGM no]]="", "Missing EGM", "EGM Submitted")</f>
        <v>EGM Submitted</v>
      </c>
      <c r="H3" t="str">
        <f>IF(OR(ISNUMBER(SEARCH("Released",tblShipments5[[#This Row],[ROSL]])),
      ISNUMBER(SEARCH("Scroll",tblShipments5[[#This Row],[ROSL]])),
      ISNUMBER(SEARCH("Y",tblShipments5[[#This Row],[ROSL]]))),
   "Released",
   "Not Released")</f>
        <v>Released</v>
      </c>
      <c r="I3" t="str">
        <f>IF(OR(tblShipments5[[#This Row],[EGM no]]="", tblShipments5[[#This Row],[EGM no]]="N.A."), "Not Submitted", "Submitted")</f>
        <v>Submitted</v>
      </c>
      <c r="J3" t="str">
        <f>IF(LEFT(tblShipments5[[#This Row],[Gateway_Extracted]],2)="IN","Valid","Invalid")</f>
        <v>Valid</v>
      </c>
      <c r="K3" t="s">
        <v>1558</v>
      </c>
      <c r="L3" t="s">
        <v>1617</v>
      </c>
      <c r="M3" t="s">
        <v>13</v>
      </c>
      <c r="N3" t="s">
        <v>1618</v>
      </c>
      <c r="O3" t="str">
        <f>IFERROR("IN" &amp; _xlfn.TEXTBEFORE(_xlfn.TEXTAFTER(UPPER(tblShipments5[[#This Row],[Gateway_clean]]),"IN")," ",1),"")</f>
        <v>INMUN1</v>
      </c>
      <c r="P3" t="str">
        <f>SUBSTITUTE(tblShipments5[[#This Row],[Gateway]], CHAR(10), " ")</f>
        <v xml:space="preserve">AWB No. Gateway Port Gateway EGM No. Gateway EGM Date Gateway Site ID Error Code N.A.  INMUN1  141502  2017-12-27 00:00:00.0  INMUN1  S </v>
      </c>
      <c r="Q3" t="s">
        <v>1619</v>
      </c>
    </row>
    <row r="4" spans="1:17" x14ac:dyDescent="0.35">
      <c r="A4" t="s">
        <v>8</v>
      </c>
      <c r="B4">
        <v>1780079</v>
      </c>
      <c r="C4" s="2" t="s">
        <v>1633</v>
      </c>
      <c r="D4" s="2" t="str">
        <f>LEFT(TRIM(MID(SUBSTITUTE(tblShipments5[[#This Row],[Details]],CHAR(10)," "), FIND(CHAR(10),tblShipments5[[#This Row],[Details]])+1, 50)), 10)</f>
        <v>0589036734</v>
      </c>
      <c r="E4" t="s">
        <v>1647</v>
      </c>
      <c r="F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 t="str">
        <f>IF(tblShipments5[[#This Row],[EGM no]]="", "Missing EGM", "EGM Submitted")</f>
        <v>EGM Submitted</v>
      </c>
      <c r="H4" t="str">
        <f>IF(OR(ISNUMBER(SEARCH("Released",tblShipments5[[#This Row],[ROSL]])),
      ISNUMBER(SEARCH("Scroll",tblShipments5[[#This Row],[ROSL]])),
      ISNUMBER(SEARCH("Y",tblShipments5[[#This Row],[ROSL]]))),
   "Released",
   "Not Released")</f>
        <v>Released</v>
      </c>
      <c r="I4" t="str">
        <f>IF(OR(tblShipments5[[#This Row],[EGM no]]="", tblShipments5[[#This Row],[EGM no]]="N.A."), "Not Submitted", "Submitted")</f>
        <v>Submitted</v>
      </c>
      <c r="J4" t="str">
        <f>IF(LEFT(tblShipments5[[#This Row],[Gateway_Extracted]],2)="IN","Valid","Invalid")</f>
        <v>Valid</v>
      </c>
      <c r="K4" t="s">
        <v>1597</v>
      </c>
      <c r="L4" t="s">
        <v>1617</v>
      </c>
      <c r="M4" t="s">
        <v>13</v>
      </c>
      <c r="N4" t="s">
        <v>1648</v>
      </c>
      <c r="O4" t="str">
        <f>IFERROR("IN" &amp; _xlfn.TEXTBEFORE(_xlfn.TEXTAFTER(UPPER(tblShipments5[[#This Row],[Gateway_clean]]),"IN")," ",1),"")</f>
        <v>INMUN1</v>
      </c>
      <c r="P4" t="str">
        <f>SUBSTITUTE(tblShipments5[[#This Row],[Gateway]], CHAR(10), " ")</f>
        <v xml:space="preserve">AWB No. Gateway Port Gateway EGM No. Gateway EGM Date Gateway Site ID Error Code N.A.  INMUN1  141502  2017-12-27 00:00:00.0  INMUN1  S </v>
      </c>
      <c r="Q4" t="s">
        <v>1619</v>
      </c>
    </row>
    <row r="5" spans="1:17" x14ac:dyDescent="0.35">
      <c r="A5" t="s">
        <v>8</v>
      </c>
      <c r="B5">
        <v>1866627</v>
      </c>
      <c r="C5" s="2" t="s">
        <v>1687</v>
      </c>
      <c r="D5" s="2" t="str">
        <f>LEFT(TRIM(MID(SUBSTITUTE(tblShipments5[[#This Row],[Details]],CHAR(10)," "), FIND(CHAR(10),tblShipments5[[#This Row],[Details]])+1, 50)), 10)</f>
        <v>0589036734</v>
      </c>
      <c r="E5" t="s">
        <v>1696</v>
      </c>
      <c r="F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 t="str">
        <f>IF(tblShipments5[[#This Row],[EGM no]]="", "Missing EGM", "EGM Submitted")</f>
        <v>EGM Submitted</v>
      </c>
      <c r="H5" t="str">
        <f>IF(OR(ISNUMBER(SEARCH("Released",tblShipments5[[#This Row],[ROSL]])),
      ISNUMBER(SEARCH("Scroll",tblShipments5[[#This Row],[ROSL]])),
      ISNUMBER(SEARCH("Y",tblShipments5[[#This Row],[ROSL]]))),
   "Released",
   "Not Released")</f>
        <v>Released</v>
      </c>
      <c r="I5" t="str">
        <f>IF(OR(tblShipments5[[#This Row],[EGM no]]="", tblShipments5[[#This Row],[EGM no]]="N.A."), "Not Submitted", "Submitted")</f>
        <v>Submitted</v>
      </c>
      <c r="J5" t="str">
        <f>IF(LEFT(tblShipments5[[#This Row],[Gateway_Extracted]],2)="IN","Valid","Invalid")</f>
        <v>Valid</v>
      </c>
      <c r="K5" t="s">
        <v>1697</v>
      </c>
      <c r="L5" t="s">
        <v>1698</v>
      </c>
      <c r="M5" t="s">
        <v>13</v>
      </c>
      <c r="N5" t="s">
        <v>1699</v>
      </c>
      <c r="O5" t="str">
        <f>IFERROR("IN" &amp; _xlfn.TEXTBEFORE(_xlfn.TEXTAFTER(UPPER(tblShipments5[[#This Row],[Gateway_clean]]),"IN")," ",1),"")</f>
        <v>INMUN1</v>
      </c>
      <c r="P5" t="str">
        <f>SUBSTITUTE(tblShipments5[[#This Row],[Gateway]], CHAR(10), " ")</f>
        <v xml:space="preserve">AWB No. Gateway Port Gateway EGM No. Gateway EGM Date Gateway Site ID Error Code N.A.  INMUN1  141770  2018-01-02 00:00:00.0  INMUN1  S </v>
      </c>
      <c r="Q5" t="s">
        <v>1700</v>
      </c>
    </row>
    <row r="6" spans="1:17" x14ac:dyDescent="0.35">
      <c r="A6" t="s">
        <v>8</v>
      </c>
      <c r="B6">
        <v>1247813</v>
      </c>
      <c r="C6" s="2" t="s">
        <v>1336</v>
      </c>
      <c r="D6" s="2" t="str">
        <f>LEFT(TRIM(MID(SUBSTITUTE(tblShipments5[[#This Row],[Details]],CHAR(10)," "), FIND(CHAR(10),tblShipments5[[#This Row],[Details]])+1, 50)), 10)</f>
        <v>3003005391</v>
      </c>
      <c r="E6" t="s">
        <v>1342</v>
      </c>
      <c r="F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 t="str">
        <f>IF(tblShipments5[[#This Row],[EGM no]]="", "Missing EGM", "EGM Submitted")</f>
        <v>EGM Submitted</v>
      </c>
      <c r="H6" t="str">
        <f>IF(OR(ISNUMBER(SEARCH("Released",tblShipments5[[#This Row],[ROSL]])),
      ISNUMBER(SEARCH("Scroll",tblShipments5[[#This Row],[ROSL]])),
      ISNUMBER(SEARCH("Y",tblShipments5[[#This Row],[ROSL]]))),
   "Released",
   "Not Released")</f>
        <v>Released</v>
      </c>
      <c r="I6" t="str">
        <f>IF(OR(tblShipments5[[#This Row],[EGM no]]="", tblShipments5[[#This Row],[EGM no]]="N.A."), "Not Submitted", "Submitted")</f>
        <v>Submitted</v>
      </c>
      <c r="J6" t="str">
        <f>IF(LEFT(tblShipments5[[#This Row],[Gateway_Extracted]],2)="IN","Valid","Invalid")</f>
        <v>Valid</v>
      </c>
      <c r="K6" t="s">
        <v>1343</v>
      </c>
      <c r="L6" t="s">
        <v>1344</v>
      </c>
      <c r="M6" t="s">
        <v>13</v>
      </c>
      <c r="N6" t="s">
        <v>1345</v>
      </c>
      <c r="O6" t="str">
        <f>IFERROR("IN" &amp; _xlfn.TEXTBEFORE(_xlfn.TEXTAFTER(UPPER(tblShipments5[[#This Row],[Gateway_clean]]),"IN")," ",1),"")</f>
        <v>INPAV1</v>
      </c>
      <c r="P6" t="str">
        <f>SUBSTITUTE(tblShipments5[[#This Row],[Gateway]], CHAR(10), " ")</f>
        <v xml:space="preserve">AWB No. Gateway Port Gateway EGM No. Gateway EGM Date Gateway Site ID Error Code N.A.  INPAV1  139653  2017-11-28 00:00:00.0  INPAV1  S </v>
      </c>
      <c r="Q6" t="s">
        <v>1346</v>
      </c>
    </row>
    <row r="7" spans="1:17" x14ac:dyDescent="0.35">
      <c r="A7" t="s">
        <v>8</v>
      </c>
      <c r="B7">
        <v>1580068</v>
      </c>
      <c r="C7" s="2" t="s">
        <v>1528</v>
      </c>
      <c r="D7" s="2" t="str">
        <f>LEFT(TRIM(MID(SUBSTITUTE(tblShipments5[[#This Row],[Details]],CHAR(10)," "), FIND(CHAR(10),tblShipments5[[#This Row],[Details]])+1, 50)), 10)</f>
        <v>3011014116</v>
      </c>
      <c r="E7" t="s">
        <v>1542</v>
      </c>
      <c r="F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 t="str">
        <f>IF(tblShipments5[[#This Row],[EGM no]]="", "Missing EGM", "EGM Submitted")</f>
        <v>EGM Submitted</v>
      </c>
      <c r="H7" t="str">
        <f>IF(OR(ISNUMBER(SEARCH("Released",tblShipments5[[#This Row],[ROSL]])),
      ISNUMBER(SEARCH("Scroll",tblShipments5[[#This Row],[ROSL]])),
      ISNUMBER(SEARCH("Y",tblShipments5[[#This Row],[ROSL]]))),
   "Released",
   "Not Released")</f>
        <v>Released</v>
      </c>
      <c r="I7" t="str">
        <f>IF(OR(tblShipments5[[#This Row],[EGM no]]="", tblShipments5[[#This Row],[EGM no]]="N.A."), "Not Submitted", "Submitted")</f>
        <v>Submitted</v>
      </c>
      <c r="J7" t="str">
        <f>IF(LEFT(tblShipments5[[#This Row],[Gateway_Extracted]],2)="IN","Valid","Invalid")</f>
        <v>Valid</v>
      </c>
      <c r="K7" t="s">
        <v>1543</v>
      </c>
      <c r="L7" t="s">
        <v>1544</v>
      </c>
      <c r="M7" t="s">
        <v>13</v>
      </c>
      <c r="N7" t="s">
        <v>1545</v>
      </c>
      <c r="O7" t="str">
        <f>IFERROR("IN" &amp; _xlfn.TEXTBEFORE(_xlfn.TEXTAFTER(UPPER(tblShipments5[[#This Row],[Gateway_clean]]),"IN")," ",1),"")</f>
        <v>INNSA1</v>
      </c>
      <c r="P7" t="str">
        <f>SUBSTITUTE(tblShipments5[[#This Row],[Gateway]], CHAR(10), " ")</f>
        <v xml:space="preserve">AWB No. Gateway Port Gateway EGM No. Gateway EGM Date Gateway Site ID Error Code N.A.  INNSA1  140402  2017-12-11 00:00:00.0  INNSA1  S </v>
      </c>
      <c r="Q7" t="s">
        <v>1546</v>
      </c>
    </row>
    <row r="8" spans="1:17" x14ac:dyDescent="0.35">
      <c r="A8" t="s">
        <v>8</v>
      </c>
      <c r="B8">
        <v>1046425</v>
      </c>
      <c r="C8" s="2" t="s">
        <v>1234</v>
      </c>
      <c r="D8" s="2" t="str">
        <f>LEFT(TRIM(MID(SUBSTITUTE(tblShipments5[[#This Row],[Details]],CHAR(10)," "), FIND(CHAR(10),tblShipments5[[#This Row],[Details]])+1, 50)), 10)</f>
        <v>3091000621</v>
      </c>
      <c r="E8" t="s">
        <v>1245</v>
      </c>
      <c r="F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 t="str">
        <f>IF(tblShipments5[[#This Row],[EGM no]]="", "Missing EGM", "EGM Submitted")</f>
        <v>EGM Submitted</v>
      </c>
      <c r="H8" t="str">
        <f>IF(OR(ISNUMBER(SEARCH("Released",tblShipments5[[#This Row],[ROSL]])),
      ISNUMBER(SEARCH("Scroll",tblShipments5[[#This Row],[ROSL]])),
      ISNUMBER(SEARCH("Y",tblShipments5[[#This Row],[ROSL]]))),
   "Released",
   "Not Released")</f>
        <v>Released</v>
      </c>
      <c r="I8" t="str">
        <f>IF(OR(tblShipments5[[#This Row],[EGM no]]="", tblShipments5[[#This Row],[EGM no]]="N.A."), "Not Submitted", "Submitted")</f>
        <v>Submitted</v>
      </c>
      <c r="J8" t="str">
        <f>IF(LEFT(tblShipments5[[#This Row],[Gateway_Extracted]],2)="IN","Valid","Invalid")</f>
        <v>Valid</v>
      </c>
      <c r="K8" t="s">
        <v>1246</v>
      </c>
      <c r="L8" t="s">
        <v>1247</v>
      </c>
      <c r="M8" t="s">
        <v>1248</v>
      </c>
      <c r="N8" t="s">
        <v>1249</v>
      </c>
      <c r="O8" t="str">
        <f>IFERROR("IN" &amp; _xlfn.TEXTBEFORE(_xlfn.TEXTAFTER(UPPER(tblShipments5[[#This Row],[Gateway_clean]]),"IN")," ",1),"")</f>
        <v>INPAV1</v>
      </c>
      <c r="P8" t="str">
        <f>SUBSTITUTE(tblShipments5[[#This Row],[Gateway]], CHAR(10), " ")</f>
        <v xml:space="preserve">AWB No. Gateway Port Gateway EGM No. Gateway EGM Date Gateway Site ID Error Code N.A.  INPAV1  137999  2017-11-01 00:00:00.0  INPAV1  S </v>
      </c>
      <c r="Q8" t="s">
        <v>1250</v>
      </c>
    </row>
    <row r="9" spans="1:17" x14ac:dyDescent="0.35">
      <c r="A9" t="s">
        <v>8</v>
      </c>
      <c r="B9">
        <v>1341857</v>
      </c>
      <c r="C9" s="2" t="s">
        <v>1415</v>
      </c>
      <c r="D9" s="2" t="str">
        <f>LEFT(TRIM(MID(SUBSTITUTE(tblShipments5[[#This Row],[Details]],CHAR(10)," "), FIND(CHAR(10),tblShipments5[[#This Row],[Details]])+1, 50)), 10)</f>
        <v>3000004394</v>
      </c>
      <c r="E9" t="s">
        <v>1416</v>
      </c>
      <c r="F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 t="str">
        <f>IF(tblShipments5[[#This Row],[EGM no]]="", "Missing EGM", "EGM Submitted")</f>
        <v>EGM Submitted</v>
      </c>
      <c r="H9" t="str">
        <f>IF(OR(ISNUMBER(SEARCH("Released",tblShipments5[[#This Row],[ROSL]])),
      ISNUMBER(SEARCH("Scroll",tblShipments5[[#This Row],[ROSL]])),
      ISNUMBER(SEARCH("Y",tblShipments5[[#This Row],[ROSL]]))),
   "Released",
   "Not Released")</f>
        <v>Released</v>
      </c>
      <c r="I9" t="str">
        <f>IF(OR(tblShipments5[[#This Row],[EGM no]]="", tblShipments5[[#This Row],[EGM no]]="N.A."), "Not Submitted", "Submitted")</f>
        <v>Submitted</v>
      </c>
      <c r="J9" t="str">
        <f>IF(LEFT(tblShipments5[[#This Row],[Gateway_Extracted]],2)="IN","Valid","Invalid")</f>
        <v>Valid</v>
      </c>
      <c r="K9" t="s">
        <v>1417</v>
      </c>
      <c r="L9" t="s">
        <v>1418</v>
      </c>
      <c r="M9" t="s">
        <v>1419</v>
      </c>
      <c r="N9" t="s">
        <v>1420</v>
      </c>
      <c r="O9" t="str">
        <f>IFERROR("IN" &amp; _xlfn.TEXTBEFORE(_xlfn.TEXTAFTER(UPPER(tblShipments5[[#This Row],[Gateway_clean]]),"IN")," ",1),"")</f>
        <v>INNSA1</v>
      </c>
      <c r="P9" t="str">
        <f>SUBSTITUTE(tblShipments5[[#This Row],[Gateway]], CHAR(10), " ")</f>
        <v xml:space="preserve">AWB No. Gateway Port Gateway EGM No. Gateway EGM Date Gateway Site ID Error Code N.A.  INNSA1  138232  2017-11-06 00:00:00.0  INNSA1  N </v>
      </c>
      <c r="Q9" t="s">
        <v>1421</v>
      </c>
    </row>
    <row r="10" spans="1:17" x14ac:dyDescent="0.35">
      <c r="A10" t="s">
        <v>8</v>
      </c>
      <c r="B10">
        <v>7905312</v>
      </c>
      <c r="C10" s="2" t="s">
        <v>221</v>
      </c>
      <c r="D10" s="2" t="str">
        <f>LEFT(TRIM(MID(SUBSTITUTE(tblShipments5[[#This Row],[Details]],CHAR(10)," "), FIND(CHAR(10),tblShipments5[[#This Row],[Details]])+1, 50)), 10)</f>
        <v>3097011234</v>
      </c>
      <c r="E10" t="s">
        <v>227</v>
      </c>
      <c r="F1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 t="str">
        <f>IF(tblShipments5[[#This Row],[EGM no]]="", "Missing EGM", "EGM Submitted")</f>
        <v>EGM Submitted</v>
      </c>
      <c r="H10" t="str">
        <f>IF(OR(ISNUMBER(SEARCH("Released",tblShipments5[[#This Row],[ROSL]])),
      ISNUMBER(SEARCH("Scroll",tblShipments5[[#This Row],[ROSL]])),
      ISNUMBER(SEARCH("Y",tblShipments5[[#This Row],[ROSL]]))),
   "Released",
   "Not Released")</f>
        <v>Released</v>
      </c>
      <c r="I10" t="str">
        <f>IF(OR(tblShipments5[[#This Row],[EGM no]]="", tblShipments5[[#This Row],[EGM no]]="N.A."), "Not Submitted", "Submitted")</f>
        <v>Submitted</v>
      </c>
      <c r="J10" t="str">
        <f>IF(LEFT(tblShipments5[[#This Row],[Gateway_Extracted]],2)="IN","Valid","Invalid")</f>
        <v>Valid</v>
      </c>
      <c r="K10" t="s">
        <v>228</v>
      </c>
      <c r="L10" t="s">
        <v>229</v>
      </c>
      <c r="M10" t="s">
        <v>13</v>
      </c>
      <c r="N10" t="s">
        <v>230</v>
      </c>
      <c r="O10" t="str">
        <f>IFERROR("IN" &amp; _xlfn.TEXTBEFORE(_xlfn.TEXTAFTER(UPPER(tblShipments5[[#This Row],[Gateway_clean]]),"IN")," ",1),"")</f>
        <v>INMUN1</v>
      </c>
      <c r="P10" t="str">
        <f>SUBSTITUTE(tblShipments5[[#This Row],[Gateway]], CHAR(10), " ")</f>
        <v xml:space="preserve">AWB No. Gateway Port Gateway EGM No. Gateway EGM Date Gateway Site ID Error Code N.A.  INMUN1  134053  2017-08-28 00:00:00.0  INMUN1  S </v>
      </c>
      <c r="Q10" t="s">
        <v>231</v>
      </c>
    </row>
    <row r="11" spans="1:17" x14ac:dyDescent="0.35">
      <c r="A11" t="s">
        <v>8</v>
      </c>
      <c r="B11">
        <v>9683009</v>
      </c>
      <c r="C11" s="2" t="s">
        <v>1139</v>
      </c>
      <c r="D11" s="2" t="str">
        <f>LEFT(TRIM(MID(SUBSTITUTE(tblShipments5[[#This Row],[Details]],CHAR(10)," "), FIND(CHAR(10),tblShipments5[[#This Row],[Details]])+1, 50)), 10)</f>
        <v>3014016713</v>
      </c>
      <c r="E11" t="s">
        <v>1144</v>
      </c>
      <c r="F1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 t="str">
        <f>IF(tblShipments5[[#This Row],[EGM no]]="", "Missing EGM", "EGM Submitted")</f>
        <v>EGM Submitted</v>
      </c>
      <c r="H11" t="str">
        <f>IF(OR(ISNUMBER(SEARCH("Released",tblShipments5[[#This Row],[ROSL]])),
      ISNUMBER(SEARCH("Scroll",tblShipments5[[#This Row],[ROSL]])),
      ISNUMBER(SEARCH("Y",tblShipments5[[#This Row],[ROSL]]))),
   "Released",
   "Not Released")</f>
        <v>Released</v>
      </c>
      <c r="I11" t="str">
        <f>IF(OR(tblShipments5[[#This Row],[EGM no]]="", tblShipments5[[#This Row],[EGM no]]="N.A."), "Not Submitted", "Submitted")</f>
        <v>Submitted</v>
      </c>
      <c r="J11" t="str">
        <f>IF(LEFT(tblShipments5[[#This Row],[Gateway_Extracted]],2)="IN","Valid","Invalid")</f>
        <v>Valid</v>
      </c>
      <c r="K11" t="s">
        <v>1123</v>
      </c>
      <c r="L11" t="s">
        <v>1145</v>
      </c>
      <c r="M11" t="s">
        <v>13</v>
      </c>
      <c r="N11" t="s">
        <v>1146</v>
      </c>
      <c r="O11" t="str">
        <f>IFERROR("IN" &amp; _xlfn.TEXTBEFORE(_xlfn.TEXTAFTER(UPPER(tblShipments5[[#This Row],[Gateway_clean]]),"IN")," ",1),"")</f>
        <v>INNSA1</v>
      </c>
      <c r="P11" t="str">
        <f>SUBSTITUTE(tblShipments5[[#This Row],[Gateway]], CHAR(10), " ")</f>
        <v xml:space="preserve">AWB No. Gateway Port Gateway EGM No. Gateway EGM Date Gateway Site ID Error Code N.A.  INNSA1  138138  2017-11-03 00:00:00.0  INNSA1  S </v>
      </c>
      <c r="Q11" t="s">
        <v>1091</v>
      </c>
    </row>
    <row r="12" spans="1:17" x14ac:dyDescent="0.35">
      <c r="A12" t="s">
        <v>8</v>
      </c>
      <c r="B12">
        <v>1811286</v>
      </c>
      <c r="C12" s="2" t="s">
        <v>1657</v>
      </c>
      <c r="D12" s="2" t="str">
        <f>LEFT(TRIM(MID(SUBSTITUTE(tblShipments5[[#This Row],[Details]],CHAR(10)," "), FIND(CHAR(10),tblShipments5[[#This Row],[Details]])+1, 50)), 10)</f>
        <v>1210001128</v>
      </c>
      <c r="E12" t="s">
        <v>1666</v>
      </c>
      <c r="F1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 t="str">
        <f>IF(tblShipments5[[#This Row],[EGM no]]="", "Missing EGM", "EGM Submitted")</f>
        <v>EGM Submitted</v>
      </c>
      <c r="H12" t="str">
        <f>IF(OR(ISNUMBER(SEARCH("Released",tblShipments5[[#This Row],[ROSL]])),
      ISNUMBER(SEARCH("Scroll",tblShipments5[[#This Row],[ROSL]])),
      ISNUMBER(SEARCH("Y",tblShipments5[[#This Row],[ROSL]]))),
   "Released",
   "Not Released")</f>
        <v>Released</v>
      </c>
      <c r="I12" t="str">
        <f>IF(OR(tblShipments5[[#This Row],[EGM no]]="", tblShipments5[[#This Row],[EGM no]]="N.A."), "Not Submitted", "Submitted")</f>
        <v>Submitted</v>
      </c>
      <c r="J12" t="str">
        <f>IF(LEFT(tblShipments5[[#This Row],[Gateway_Extracted]],2)="IN","Valid","Invalid")</f>
        <v>Valid</v>
      </c>
      <c r="K12" t="s">
        <v>1667</v>
      </c>
      <c r="L12" t="s">
        <v>1668</v>
      </c>
      <c r="M12" t="s">
        <v>13</v>
      </c>
      <c r="N12" t="s">
        <v>1669</v>
      </c>
      <c r="O12" t="str">
        <f>IFERROR("IN" &amp; _xlfn.TEXTBEFORE(_xlfn.TEXTAFTER(UPPER(tblShipments5[[#This Row],[Gateway_clean]]),"IN")," ",1),"")</f>
        <v>INMUN1</v>
      </c>
      <c r="P12" t="str">
        <f>SUBSTITUTE(tblShipments5[[#This Row],[Gateway]], CHAR(10), " ")</f>
        <v xml:space="preserve">AWB No. Gateway Port Gateway EGM No. Gateway EGM Date Gateway Site ID Error Code N.A.  INMUN1  143166  2018-01-23 00:00:00.0  INMUN1  S </v>
      </c>
      <c r="Q12" t="s">
        <v>1670</v>
      </c>
    </row>
    <row r="13" spans="1:17" x14ac:dyDescent="0.35">
      <c r="A13" t="s">
        <v>8</v>
      </c>
      <c r="B13">
        <v>8528718</v>
      </c>
      <c r="C13" s="2" t="s">
        <v>643</v>
      </c>
      <c r="D13" s="2" t="str">
        <f>LEFT(TRIM(MID(SUBSTITUTE(tblShipments5[[#This Row],[Details]],CHAR(10)," "), FIND(CHAR(10),tblShipments5[[#This Row],[Details]])+1, 50)), 10)</f>
        <v>AAKFD0331P</v>
      </c>
      <c r="E13" t="s">
        <v>644</v>
      </c>
      <c r="F1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 t="str">
        <f>IF(tblShipments5[[#This Row],[EGM no]]="", "Missing EGM", "EGM Submitted")</f>
        <v>EGM Submitted</v>
      </c>
      <c r="H13" t="str">
        <f>IF(OR(ISNUMBER(SEARCH("Released",tblShipments5[[#This Row],[ROSL]])),
      ISNUMBER(SEARCH("Scroll",tblShipments5[[#This Row],[ROSL]])),
      ISNUMBER(SEARCH("Y",tblShipments5[[#This Row],[ROSL]]))),
   "Released",
   "Not Released")</f>
        <v>Released</v>
      </c>
      <c r="I13" t="str">
        <f>IF(OR(tblShipments5[[#This Row],[EGM no]]="", tblShipments5[[#This Row],[EGM no]]="N.A."), "Not Submitted", "Submitted")</f>
        <v>Submitted</v>
      </c>
      <c r="J13" t="str">
        <f>IF(LEFT(tblShipments5[[#This Row],[Gateway_Extracted]],2)="IN","Valid","Invalid")</f>
        <v>Valid</v>
      </c>
      <c r="K13" t="s">
        <v>645</v>
      </c>
      <c r="L13" t="s">
        <v>646</v>
      </c>
      <c r="M13" t="s">
        <v>31</v>
      </c>
      <c r="N13" t="s">
        <v>647</v>
      </c>
      <c r="O13" t="str">
        <f>IFERROR("IN" &amp; _xlfn.TEXTBEFORE(_xlfn.TEXTAFTER(UPPER(tblShipments5[[#This Row],[Gateway_clean]]),"IN")," ",1),"")</f>
        <v>INMUN1</v>
      </c>
      <c r="P13" t="str">
        <f>SUBSTITUTE(tblShipments5[[#This Row],[Gateway]], CHAR(10), " ")</f>
        <v xml:space="preserve">AWB No. Gateway Port Gateway EGM No. Gateway EGM Date Gateway Site ID Error Code N.A.  INMUN1  135378  2017-09-19 00:00:00.0  INMUN1  S </v>
      </c>
      <c r="Q13" t="s">
        <v>425</v>
      </c>
    </row>
    <row r="14" spans="1:17" x14ac:dyDescent="0.35">
      <c r="A14" t="s">
        <v>8</v>
      </c>
      <c r="B14">
        <v>8783035</v>
      </c>
      <c r="C14" s="2" t="s">
        <v>784</v>
      </c>
      <c r="D14" s="2" t="str">
        <f>LEFT(TRIM(MID(SUBSTITUTE(tblShipments5[[#This Row],[Details]],CHAR(10)," "), FIND(CHAR(10),tblShipments5[[#This Row],[Details]])+1, 50)), 10)</f>
        <v>1216900370</v>
      </c>
      <c r="E14" t="s">
        <v>790</v>
      </c>
      <c r="F1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 t="str">
        <f>IF(tblShipments5[[#This Row],[EGM no]]="", "Missing EGM", "EGM Submitted")</f>
        <v>EGM Submitted</v>
      </c>
      <c r="H14" t="str">
        <f>IF(OR(ISNUMBER(SEARCH("Released",tblShipments5[[#This Row],[ROSL]])),
      ISNUMBER(SEARCH("Scroll",tblShipments5[[#This Row],[ROSL]])),
      ISNUMBER(SEARCH("Y",tblShipments5[[#This Row],[ROSL]]))),
   "Released",
   "Not Released")</f>
        <v>Released</v>
      </c>
      <c r="I14" t="str">
        <f>IF(OR(tblShipments5[[#This Row],[EGM no]]="", tblShipments5[[#This Row],[EGM no]]="N.A."), "Not Submitted", "Submitted")</f>
        <v>Submitted</v>
      </c>
      <c r="J14" t="str">
        <f>IF(LEFT(tblShipments5[[#This Row],[Gateway_Extracted]],2)="IN","Valid","Invalid")</f>
        <v>Valid</v>
      </c>
      <c r="K14" t="s">
        <v>791</v>
      </c>
      <c r="L14" t="s">
        <v>792</v>
      </c>
      <c r="M14" t="s">
        <v>13</v>
      </c>
      <c r="N14" t="s">
        <v>793</v>
      </c>
      <c r="O14" t="str">
        <f>IFERROR("IN" &amp; _xlfn.TEXTBEFORE(_xlfn.TEXTAFTER(UPPER(tblShipments5[[#This Row],[Gateway_clean]]),"IN")," ",1),"")</f>
        <v>INMUN1</v>
      </c>
      <c r="P14" t="str">
        <f>SUBSTITUTE(tblShipments5[[#This Row],[Gateway]], CHAR(10), " ")</f>
        <v xml:space="preserve">AWB No. Gateway Port Gateway EGM No. Gateway EGM Date Gateway Site ID Error Code N.A.  INMUN1  N.A.  N.A.  N.A.  N.A. </v>
      </c>
      <c r="Q14" t="s">
        <v>244</v>
      </c>
    </row>
    <row r="15" spans="1:17" x14ac:dyDescent="0.35">
      <c r="A15" t="s">
        <v>8</v>
      </c>
      <c r="B15">
        <v>1318294</v>
      </c>
      <c r="C15" s="2" t="s">
        <v>1393</v>
      </c>
      <c r="D15" s="2" t="str">
        <f>LEFT(TRIM(MID(SUBSTITUTE(tblShipments5[[#This Row],[Details]],CHAR(10)," "), FIND(CHAR(10),tblShipments5[[#This Row],[Details]])+1, 50)), 10)</f>
        <v>2203003405</v>
      </c>
      <c r="E15" t="s">
        <v>1406</v>
      </c>
      <c r="F1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 t="str">
        <f>IF(tblShipments5[[#This Row],[EGM no]]="", "Missing EGM", "EGM Submitted")</f>
        <v>EGM Submitted</v>
      </c>
      <c r="H15" t="str">
        <f>IF(OR(ISNUMBER(SEARCH("Released",tblShipments5[[#This Row],[ROSL]])),
      ISNUMBER(SEARCH("Scroll",tblShipments5[[#This Row],[ROSL]])),
      ISNUMBER(SEARCH("Y",tblShipments5[[#This Row],[ROSL]]))),
   "Released",
   "Not Released")</f>
        <v>Released</v>
      </c>
      <c r="I15" t="str">
        <f>IF(OR(tblShipments5[[#This Row],[EGM no]]="", tblShipments5[[#This Row],[EGM no]]="N.A."), "Not Submitted", "Submitted")</f>
        <v>Submitted</v>
      </c>
      <c r="J15" t="str">
        <f>IF(LEFT(tblShipments5[[#This Row],[Gateway_Extracted]],2)="IN","Valid","Invalid")</f>
        <v>Valid</v>
      </c>
      <c r="K15" t="s">
        <v>1355</v>
      </c>
      <c r="L15" t="s">
        <v>1407</v>
      </c>
      <c r="M15" t="s">
        <v>13</v>
      </c>
      <c r="N15" t="s">
        <v>1408</v>
      </c>
      <c r="O15" t="str">
        <f>IFERROR("IN" &amp; _xlfn.TEXTBEFORE(_xlfn.TEXTAFTER(UPPER(tblShipments5[[#This Row],[Gateway_clean]]),"IN")," ",1),"")</f>
        <v>INMUN1</v>
      </c>
      <c r="P15" t="str">
        <f>SUBSTITUTE(tblShipments5[[#This Row],[Gateway]], CHAR(10), " ")</f>
        <v xml:space="preserve">AWB No. Gateway Port Gateway EGM No. Gateway EGM Date Gateway Site ID Error Code N.A.  INMUN1  139070  2017-11-17 00:00:00.0  INMUN1  S </v>
      </c>
      <c r="Q15" t="s">
        <v>1409</v>
      </c>
    </row>
    <row r="16" spans="1:17" x14ac:dyDescent="0.35">
      <c r="A16" t="s">
        <v>8</v>
      </c>
      <c r="B16">
        <v>8660236</v>
      </c>
      <c r="C16" s="2" t="s">
        <v>730</v>
      </c>
      <c r="D16" s="2" t="str">
        <f>LEFT(TRIM(MID(SUBSTITUTE(tblShipments5[[#This Row],[Details]],CHAR(10)," "), FIND(CHAR(10),tblShipments5[[#This Row],[Details]])+1, 50)), 10)</f>
        <v>0506062538</v>
      </c>
      <c r="E16" t="s">
        <v>731</v>
      </c>
      <c r="F1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 t="str">
        <f>IF(tblShipments5[[#This Row],[EGM no]]="", "Missing EGM", "EGM Submitted")</f>
        <v>EGM Submitted</v>
      </c>
      <c r="H16" t="str">
        <f>IF(OR(ISNUMBER(SEARCH("Released",tblShipments5[[#This Row],[ROSL]])),
      ISNUMBER(SEARCH("Scroll",tblShipments5[[#This Row],[ROSL]])),
      ISNUMBER(SEARCH("Y",tblShipments5[[#This Row],[ROSL]]))),
   "Released",
   "Not Released")</f>
        <v>Released</v>
      </c>
      <c r="I16" t="str">
        <f>IF(OR(tblShipments5[[#This Row],[EGM no]]="", tblShipments5[[#This Row],[EGM no]]="N.A."), "Not Submitted", "Submitted")</f>
        <v>Submitted</v>
      </c>
      <c r="J16" t="str">
        <f>IF(LEFT(tblShipments5[[#This Row],[Gateway_Extracted]],2)="IN","Valid","Invalid")</f>
        <v>Valid</v>
      </c>
      <c r="K16" t="s">
        <v>732</v>
      </c>
      <c r="L16" t="s">
        <v>733</v>
      </c>
      <c r="M16" t="s">
        <v>13</v>
      </c>
      <c r="N16" t="s">
        <v>734</v>
      </c>
      <c r="O16" t="str">
        <f>IFERROR("IN" &amp; _xlfn.TEXTBEFORE(_xlfn.TEXTAFTER(UPPER(tblShipments5[[#This Row],[Gateway_clean]]),"IN")," ",1),"")</f>
        <v>INNSA1</v>
      </c>
      <c r="P16" t="str">
        <f>SUBSTITUTE(tblShipments5[[#This Row],[Gateway]], CHAR(10), " ")</f>
        <v xml:space="preserve">AWB No. Gateway Port Gateway EGM No. Gateway EGM Date Gateway Site ID Error Code N.A.  INNSA1  135503  2017-09-21 00:00:00.0  INNSA1  C </v>
      </c>
      <c r="Q16" t="s">
        <v>735</v>
      </c>
    </row>
    <row r="17" spans="1:17" x14ac:dyDescent="0.35">
      <c r="A17" t="s">
        <v>8</v>
      </c>
      <c r="B17">
        <v>8964619</v>
      </c>
      <c r="C17" s="2" t="s">
        <v>874</v>
      </c>
      <c r="D17" s="2" t="str">
        <f>LEFT(TRIM(MID(SUBSTITUTE(tblShipments5[[#This Row],[Details]],CHAR(10)," "), FIND(CHAR(10),tblShipments5[[#This Row],[Details]])+1, 50)), 10)</f>
        <v>0588079359</v>
      </c>
      <c r="E17" t="s">
        <v>886</v>
      </c>
      <c r="F1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 t="str">
        <f>IF(tblShipments5[[#This Row],[EGM no]]="", "Missing EGM", "EGM Submitted")</f>
        <v>EGM Submitted</v>
      </c>
      <c r="H17" t="str">
        <f>IF(OR(ISNUMBER(SEARCH("Released",tblShipments5[[#This Row],[ROSL]])),
      ISNUMBER(SEARCH("Scroll",tblShipments5[[#This Row],[ROSL]])),
      ISNUMBER(SEARCH("Y",tblShipments5[[#This Row],[ROSL]]))),
   "Released",
   "Not Released")</f>
        <v>Released</v>
      </c>
      <c r="I17" t="str">
        <f>IF(OR(tblShipments5[[#This Row],[EGM no]]="", tblShipments5[[#This Row],[EGM no]]="N.A."), "Not Submitted", "Submitted")</f>
        <v>Submitted</v>
      </c>
      <c r="J17" t="str">
        <f>IF(LEFT(tblShipments5[[#This Row],[Gateway_Extracted]],2)="IN","Valid","Invalid")</f>
        <v>Valid</v>
      </c>
      <c r="K17" t="s">
        <v>887</v>
      </c>
      <c r="L17" t="s">
        <v>888</v>
      </c>
      <c r="M17" t="s">
        <v>13</v>
      </c>
      <c r="N17" t="s">
        <v>889</v>
      </c>
      <c r="O17" t="str">
        <f>IFERROR("IN" &amp; _xlfn.TEXTBEFORE(_xlfn.TEXTAFTER(UPPER(tblShipments5[[#This Row],[Gateway_clean]]),"IN")," ",1),"")</f>
        <v>INNSA1</v>
      </c>
      <c r="P17" t="str">
        <f>SUBSTITUTE(tblShipments5[[#This Row],[Gateway]], CHAR(10), " ")</f>
        <v xml:space="preserve">AWB No. Gateway Port Gateway EGM No. Gateway EGM Date Gateway Site ID Error Code N.A.  INNSA1  N.A.  N.A.  N.A.  N.A. </v>
      </c>
      <c r="Q17" t="s">
        <v>26</v>
      </c>
    </row>
    <row r="18" spans="1:17" x14ac:dyDescent="0.35">
      <c r="A18" t="s">
        <v>8</v>
      </c>
      <c r="B18">
        <v>7800720</v>
      </c>
      <c r="C18" s="2" t="s">
        <v>153</v>
      </c>
      <c r="D18" s="2" t="str">
        <f>LEFT(TRIM(MID(SUBSTITUTE(tblShipments5[[#This Row],[Details]],CHAR(10)," "), FIND(CHAR(10),tblShipments5[[#This Row],[Details]])+1, 50)), 10)</f>
        <v>0502037547</v>
      </c>
      <c r="E18" t="s">
        <v>172</v>
      </c>
      <c r="F1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 t="str">
        <f>IF(tblShipments5[[#This Row],[EGM no]]="", "Missing EGM", "EGM Submitted")</f>
        <v>EGM Submitted</v>
      </c>
      <c r="H18" t="str">
        <f>IF(OR(ISNUMBER(SEARCH("Released",tblShipments5[[#This Row],[ROSL]])),
      ISNUMBER(SEARCH("Scroll",tblShipments5[[#This Row],[ROSL]])),
      ISNUMBER(SEARCH("Y",tblShipments5[[#This Row],[ROSL]]))),
   "Released",
   "Not Released")</f>
        <v>Released</v>
      </c>
      <c r="I18" t="str">
        <f>IF(OR(tblShipments5[[#This Row],[EGM no]]="", tblShipments5[[#This Row],[EGM no]]="N.A."), "Not Submitted", "Submitted")</f>
        <v>Submitted</v>
      </c>
      <c r="J18" t="str">
        <f>IF(LEFT(tblShipments5[[#This Row],[Gateway_Extracted]],2)="IN","Valid","Invalid")</f>
        <v>Valid</v>
      </c>
      <c r="K18" t="s">
        <v>169</v>
      </c>
      <c r="L18" t="s">
        <v>173</v>
      </c>
      <c r="M18" t="s">
        <v>13</v>
      </c>
      <c r="N18" t="s">
        <v>174</v>
      </c>
      <c r="O18" t="str">
        <f>IFERROR("IN" &amp; _xlfn.TEXTBEFORE(_xlfn.TEXTAFTER(UPPER(tblShipments5[[#This Row],[Gateway_clean]]),"IN")," ",1),"")</f>
        <v>INMUN1</v>
      </c>
      <c r="P18" t="str">
        <f>SUBSTITUTE(tblShipments5[[#This Row],[Gateway]], CHAR(10), " ")</f>
        <v xml:space="preserve">AWB No. Gateway Port Gateway EGM No. Gateway EGM Date Gateway Site ID Error Code N.A.  INMUN1  160432  2018-10-31 00:00:00.0  INMUN1  S </v>
      </c>
      <c r="Q18" t="s">
        <v>175</v>
      </c>
    </row>
    <row r="19" spans="1:17" x14ac:dyDescent="0.35">
      <c r="A19" t="s">
        <v>8</v>
      </c>
      <c r="B19">
        <v>1364053</v>
      </c>
      <c r="C19" s="2" t="s">
        <v>1436</v>
      </c>
      <c r="D19" s="2" t="str">
        <f>LEFT(TRIM(MID(SUBSTITUTE(tblShipments5[[#This Row],[Details]],CHAR(10)," "), FIND(CHAR(10),tblShipments5[[#This Row],[Details]])+1, 50)), 10)</f>
        <v>0504077171</v>
      </c>
      <c r="E19" t="s">
        <v>1437</v>
      </c>
      <c r="F1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 t="str">
        <f>IF(tblShipments5[[#This Row],[EGM no]]="", "Missing EGM", "EGM Submitted")</f>
        <v>EGM Submitted</v>
      </c>
      <c r="H19" t="str">
        <f>IF(OR(ISNUMBER(SEARCH("Released",tblShipments5[[#This Row],[ROSL]])),
      ISNUMBER(SEARCH("Scroll",tblShipments5[[#This Row],[ROSL]])),
      ISNUMBER(SEARCH("Y",tblShipments5[[#This Row],[ROSL]]))),
   "Released",
   "Not Released")</f>
        <v>Released</v>
      </c>
      <c r="I19" t="str">
        <f>IF(OR(tblShipments5[[#This Row],[EGM no]]="", tblShipments5[[#This Row],[EGM no]]="N.A."), "Not Submitted", "Submitted")</f>
        <v>Submitted</v>
      </c>
      <c r="J19" t="str">
        <f>IF(LEFT(tblShipments5[[#This Row],[Gateway_Extracted]],2)="IN","Valid","Invalid")</f>
        <v>Valid</v>
      </c>
      <c r="K19" t="s">
        <v>1438</v>
      </c>
      <c r="L19" t="s">
        <v>1439</v>
      </c>
      <c r="M19" t="s">
        <v>31</v>
      </c>
      <c r="N19" t="s">
        <v>1440</v>
      </c>
      <c r="O19" t="str">
        <f>IFERROR("IN" &amp; _xlfn.TEXTBEFORE(_xlfn.TEXTAFTER(UPPER(tblShipments5[[#This Row],[Gateway_clean]]),"IN")," ",1),"")</f>
        <v>INMUN1</v>
      </c>
      <c r="P19" t="str">
        <f>SUBSTITUTE(tblShipments5[[#This Row],[Gateway]], CHAR(10), " ")</f>
        <v xml:space="preserve">AWB No. Gateway Port Gateway EGM No. Gateway EGM Date Gateway Site ID Error Code N.A.  INMUN1  140290  2017-12-07 00:00:00.0  INMUN1  S </v>
      </c>
      <c r="Q19" t="s">
        <v>1441</v>
      </c>
    </row>
    <row r="20" spans="1:17" x14ac:dyDescent="0.35">
      <c r="A20" t="s">
        <v>8</v>
      </c>
      <c r="B20">
        <v>1386534</v>
      </c>
      <c r="C20" s="2" t="s">
        <v>1450</v>
      </c>
      <c r="D20" s="2" t="str">
        <f>LEFT(TRIM(MID(SUBSTITUTE(tblShipments5[[#This Row],[Details]],CHAR(10)," "), FIND(CHAR(10),tblShipments5[[#This Row],[Details]])+1, 50)), 10)</f>
        <v>0504077171</v>
      </c>
      <c r="E20" t="s">
        <v>1451</v>
      </c>
      <c r="F2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 t="str">
        <f>IF(tblShipments5[[#This Row],[EGM no]]="", "Missing EGM", "EGM Submitted")</f>
        <v>EGM Submitted</v>
      </c>
      <c r="H20" t="str">
        <f>IF(OR(ISNUMBER(SEARCH("Released",tblShipments5[[#This Row],[ROSL]])),
      ISNUMBER(SEARCH("Scroll",tblShipments5[[#This Row],[ROSL]])),
      ISNUMBER(SEARCH("Y",tblShipments5[[#This Row],[ROSL]]))),
   "Released",
   "Not Released")</f>
        <v>Released</v>
      </c>
      <c r="I20" t="str">
        <f>IF(OR(tblShipments5[[#This Row],[EGM no]]="", tblShipments5[[#This Row],[EGM no]]="N.A."), "Not Submitted", "Submitted")</f>
        <v>Submitted</v>
      </c>
      <c r="J20" t="str">
        <f>IF(LEFT(tblShipments5[[#This Row],[Gateway_Extracted]],2)="IN","Valid","Invalid")</f>
        <v>Valid</v>
      </c>
      <c r="K20" t="s">
        <v>1438</v>
      </c>
      <c r="L20" t="s">
        <v>1452</v>
      </c>
      <c r="M20" t="s">
        <v>31</v>
      </c>
      <c r="N20" t="s">
        <v>1453</v>
      </c>
      <c r="O20" t="str">
        <f>IFERROR("IN" &amp; _xlfn.TEXTBEFORE(_xlfn.TEXTAFTER(UPPER(tblShipments5[[#This Row],[Gateway_clean]]),"IN")," ",1),"")</f>
        <v>INPAV1</v>
      </c>
      <c r="P20" t="str">
        <f>SUBSTITUTE(tblShipments5[[#This Row],[Gateway]], CHAR(10), " ")</f>
        <v xml:space="preserve">AWB No. Gateway Port Gateway EGM No. Gateway EGM Date Gateway Site ID Error Code N.A.  INPAV1  140083  2017-12-05 00:00:00.0  INPAV1  S </v>
      </c>
      <c r="Q20" t="s">
        <v>1454</v>
      </c>
    </row>
    <row r="21" spans="1:17" x14ac:dyDescent="0.35">
      <c r="A21" t="s">
        <v>8</v>
      </c>
      <c r="B21">
        <v>1411047</v>
      </c>
      <c r="C21" s="2" t="s">
        <v>1450</v>
      </c>
      <c r="D21" s="2" t="str">
        <f>LEFT(TRIM(MID(SUBSTITUTE(tblShipments5[[#This Row],[Details]],CHAR(10)," "), FIND(CHAR(10),tblShipments5[[#This Row],[Details]])+1, 50)), 10)</f>
        <v>0504077171</v>
      </c>
      <c r="E21" t="s">
        <v>1455</v>
      </c>
      <c r="F2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 t="str">
        <f>IF(tblShipments5[[#This Row],[EGM no]]="", "Missing EGM", "EGM Submitted")</f>
        <v>EGM Submitted</v>
      </c>
      <c r="H21" t="str">
        <f>IF(OR(ISNUMBER(SEARCH("Released",tblShipments5[[#This Row],[ROSL]])),
      ISNUMBER(SEARCH("Scroll",tblShipments5[[#This Row],[ROSL]])),
      ISNUMBER(SEARCH("Y",tblShipments5[[#This Row],[ROSL]]))),
   "Released",
   "Not Released")</f>
        <v>Released</v>
      </c>
      <c r="I21" t="str">
        <f>IF(OR(tblShipments5[[#This Row],[EGM no]]="", tblShipments5[[#This Row],[EGM no]]="N.A."), "Not Submitted", "Submitted")</f>
        <v>Submitted</v>
      </c>
      <c r="J21" t="str">
        <f>IF(LEFT(tblShipments5[[#This Row],[Gateway_Extracted]],2)="IN","Valid","Invalid")</f>
        <v>Valid</v>
      </c>
      <c r="K21" t="s">
        <v>1456</v>
      </c>
      <c r="L21" t="s">
        <v>1457</v>
      </c>
      <c r="M21" t="s">
        <v>31</v>
      </c>
      <c r="N21" t="s">
        <v>1458</v>
      </c>
      <c r="O21" t="str">
        <f>IFERROR("IN" &amp; _xlfn.TEXTBEFORE(_xlfn.TEXTAFTER(UPPER(tblShipments5[[#This Row],[Gateway_clean]]),"IN")," ",1),"")</f>
        <v>INPAV1</v>
      </c>
      <c r="P21" t="str">
        <f>SUBSTITUTE(tblShipments5[[#This Row],[Gateway]], CHAR(10), " ")</f>
        <v xml:space="preserve">AWB No. Gateway Port Gateway EGM No. Gateway EGM Date Gateway Site ID Error Code N.A.  INPAV1  140083  2017-12-05 00:00:00.0  INPAV1  S </v>
      </c>
      <c r="Q21" t="s">
        <v>1454</v>
      </c>
    </row>
    <row r="22" spans="1:17" x14ac:dyDescent="0.35">
      <c r="A22" t="s">
        <v>8</v>
      </c>
      <c r="B22">
        <v>1486982</v>
      </c>
      <c r="C22" s="2" t="s">
        <v>1485</v>
      </c>
      <c r="D22" s="2" t="str">
        <f>LEFT(TRIM(MID(SUBSTITUTE(tblShipments5[[#This Row],[Details]],CHAR(10)," "), FIND(CHAR(10),tblShipments5[[#This Row],[Details]])+1, 50)), 10)</f>
        <v>0504077171</v>
      </c>
      <c r="E22" t="s">
        <v>1486</v>
      </c>
      <c r="F2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 t="str">
        <f>IF(tblShipments5[[#This Row],[EGM no]]="", "Missing EGM", "EGM Submitted")</f>
        <v>EGM Submitted</v>
      </c>
      <c r="H22" t="str">
        <f>IF(OR(ISNUMBER(SEARCH("Released",tblShipments5[[#This Row],[ROSL]])),
      ISNUMBER(SEARCH("Scroll",tblShipments5[[#This Row],[ROSL]])),
      ISNUMBER(SEARCH("Y",tblShipments5[[#This Row],[ROSL]]))),
   "Released",
   "Not Released")</f>
        <v>Released</v>
      </c>
      <c r="I22" t="str">
        <f>IF(OR(tblShipments5[[#This Row],[EGM no]]="", tblShipments5[[#This Row],[EGM no]]="N.A."), "Not Submitted", "Submitted")</f>
        <v>Submitted</v>
      </c>
      <c r="J22" t="str">
        <f>IF(LEFT(tblShipments5[[#This Row],[Gateway_Extracted]],2)="IN","Valid","Invalid")</f>
        <v>Valid</v>
      </c>
      <c r="K22" t="s">
        <v>1487</v>
      </c>
      <c r="L22" t="s">
        <v>1488</v>
      </c>
      <c r="M22" t="s">
        <v>31</v>
      </c>
      <c r="N22" t="s">
        <v>1489</v>
      </c>
      <c r="O22" t="str">
        <f>IFERROR("IN" &amp; _xlfn.TEXTBEFORE(_xlfn.TEXTAFTER(UPPER(tblShipments5[[#This Row],[Gateway_clean]]),"IN")," ",1),"")</f>
        <v>INPAV1</v>
      </c>
      <c r="P22" t="str">
        <f>SUBSTITUTE(tblShipments5[[#This Row],[Gateway]], CHAR(10), " ")</f>
        <v xml:space="preserve">AWB No. Gateway Port Gateway EGM No. Gateway EGM Date Gateway Site ID Error Code N.A.  INPAV1  140831  2017-12-18 00:00:00.0  INPAV1  S </v>
      </c>
      <c r="Q22" t="s">
        <v>1490</v>
      </c>
    </row>
    <row r="23" spans="1:17" x14ac:dyDescent="0.35">
      <c r="A23" t="s">
        <v>8</v>
      </c>
      <c r="B23">
        <v>1547350</v>
      </c>
      <c r="C23" s="2" t="s">
        <v>1516</v>
      </c>
      <c r="D23" s="2" t="str">
        <f>LEFT(TRIM(MID(SUBSTITUTE(tblShipments5[[#This Row],[Details]],CHAR(10)," "), FIND(CHAR(10),tblShipments5[[#This Row],[Details]])+1, 50)), 10)</f>
        <v>0504077171</v>
      </c>
      <c r="E23" t="s">
        <v>1520</v>
      </c>
      <c r="F2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 t="str">
        <f>IF(tblShipments5[[#This Row],[EGM no]]="", "Missing EGM", "EGM Submitted")</f>
        <v>EGM Submitted</v>
      </c>
      <c r="H23" t="str">
        <f>IF(OR(ISNUMBER(SEARCH("Released",tblShipments5[[#This Row],[ROSL]])),
      ISNUMBER(SEARCH("Scroll",tblShipments5[[#This Row],[ROSL]])),
      ISNUMBER(SEARCH("Y",tblShipments5[[#This Row],[ROSL]]))),
   "Released",
   "Not Released")</f>
        <v>Released</v>
      </c>
      <c r="I23" t="str">
        <f>IF(OR(tblShipments5[[#This Row],[EGM no]]="", tblShipments5[[#This Row],[EGM no]]="N.A."), "Not Submitted", "Submitted")</f>
        <v>Submitted</v>
      </c>
      <c r="J23" t="str">
        <f>IF(LEFT(tblShipments5[[#This Row],[Gateway_Extracted]],2)="IN","Valid","Invalid")</f>
        <v>Valid</v>
      </c>
      <c r="K23" t="s">
        <v>1521</v>
      </c>
      <c r="L23" t="s">
        <v>1522</v>
      </c>
      <c r="M23" t="s">
        <v>31</v>
      </c>
      <c r="N23" t="s">
        <v>1523</v>
      </c>
      <c r="O23" t="str">
        <f>IFERROR("IN" &amp; _xlfn.TEXTBEFORE(_xlfn.TEXTAFTER(UPPER(tblShipments5[[#This Row],[Gateway_clean]]),"IN")," ",1),"")</f>
        <v>INPAV1</v>
      </c>
      <c r="P23" t="str">
        <f>SUBSTITUTE(tblShipments5[[#This Row],[Gateway]], CHAR(10), " ")</f>
        <v xml:space="preserve">AWB No. Gateway Port Gateway EGM No. Gateway EGM Date Gateway Site ID Error Code N.A.  INPAV1  140831  2017-12-18 00:00:00.0  INPAV1  S </v>
      </c>
      <c r="Q23" t="s">
        <v>1490</v>
      </c>
    </row>
    <row r="24" spans="1:17" x14ac:dyDescent="0.35">
      <c r="A24" t="s">
        <v>8</v>
      </c>
      <c r="B24">
        <v>1609603</v>
      </c>
      <c r="C24" s="2" t="s">
        <v>1547</v>
      </c>
      <c r="D24" s="2" t="str">
        <f>LEFT(TRIM(MID(SUBSTITUTE(tblShipments5[[#This Row],[Details]],CHAR(10)," "), FIND(CHAR(10),tblShipments5[[#This Row],[Details]])+1, 50)), 10)</f>
        <v>0504077171</v>
      </c>
      <c r="E24" t="s">
        <v>1548</v>
      </c>
      <c r="F2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 t="str">
        <f>IF(tblShipments5[[#This Row],[EGM no]]="", "Missing EGM", "EGM Submitted")</f>
        <v>EGM Submitted</v>
      </c>
      <c r="H24" t="str">
        <f>IF(OR(ISNUMBER(SEARCH("Released",tblShipments5[[#This Row],[ROSL]])),
      ISNUMBER(SEARCH("Scroll",tblShipments5[[#This Row],[ROSL]])),
      ISNUMBER(SEARCH("Y",tblShipments5[[#This Row],[ROSL]]))),
   "Released",
   "Not Released")</f>
        <v>Released</v>
      </c>
      <c r="I24" t="str">
        <f>IF(OR(tblShipments5[[#This Row],[EGM no]]="", tblShipments5[[#This Row],[EGM no]]="N.A."), "Not Submitted", "Submitted")</f>
        <v>Submitted</v>
      </c>
      <c r="J24" t="str">
        <f>IF(LEFT(tblShipments5[[#This Row],[Gateway_Extracted]],2)="IN","Valid","Invalid")</f>
        <v>Valid</v>
      </c>
      <c r="K24" t="s">
        <v>1549</v>
      </c>
      <c r="L24" t="s">
        <v>1550</v>
      </c>
      <c r="M24" t="s">
        <v>31</v>
      </c>
      <c r="N24" t="s">
        <v>1551</v>
      </c>
      <c r="O24" t="str">
        <f>IFERROR("IN" &amp; _xlfn.TEXTBEFORE(_xlfn.TEXTAFTER(UPPER(tblShipments5[[#This Row],[Gateway_clean]]),"IN")," ",1),"")</f>
        <v>INPAV1</v>
      </c>
      <c r="P24" t="str">
        <f>SUBSTITUTE(tblShipments5[[#This Row],[Gateway]], CHAR(10), " ")</f>
        <v xml:space="preserve">AWB No. Gateway Port Gateway EGM No. Gateway EGM Date Gateway Site ID Error Code N.A.  INPAV1  140831  2017-12-18 00:00:00.0  INPAV1  S </v>
      </c>
      <c r="Q24" t="s">
        <v>1490</v>
      </c>
    </row>
    <row r="25" spans="1:17" x14ac:dyDescent="0.35">
      <c r="A25" t="s">
        <v>8</v>
      </c>
      <c r="B25">
        <v>1668810</v>
      </c>
      <c r="C25" s="2" t="s">
        <v>1579</v>
      </c>
      <c r="D25" s="2" t="str">
        <f>LEFT(TRIM(MID(SUBSTITUTE(tblShipments5[[#This Row],[Details]],CHAR(10)," "), FIND(CHAR(10),tblShipments5[[#This Row],[Details]])+1, 50)), 10)</f>
        <v>0504077171</v>
      </c>
      <c r="E25" t="s">
        <v>1580</v>
      </c>
      <c r="F2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 t="str">
        <f>IF(tblShipments5[[#This Row],[EGM no]]="", "Missing EGM", "EGM Submitted")</f>
        <v>EGM Submitted</v>
      </c>
      <c r="H25" t="str">
        <f>IF(OR(ISNUMBER(SEARCH("Released",tblShipments5[[#This Row],[ROSL]])),
      ISNUMBER(SEARCH("Scroll",tblShipments5[[#This Row],[ROSL]])),
      ISNUMBER(SEARCH("Y",tblShipments5[[#This Row],[ROSL]]))),
   "Released",
   "Not Released")</f>
        <v>Released</v>
      </c>
      <c r="I25" t="str">
        <f>IF(OR(tblShipments5[[#This Row],[EGM no]]="", tblShipments5[[#This Row],[EGM no]]="N.A."), "Not Submitted", "Submitted")</f>
        <v>Submitted</v>
      </c>
      <c r="J25" t="str">
        <f>IF(LEFT(tblShipments5[[#This Row],[Gateway_Extracted]],2)="IN","Valid","Invalid")</f>
        <v>Valid</v>
      </c>
      <c r="K25" t="s">
        <v>1581</v>
      </c>
      <c r="L25" t="s">
        <v>1582</v>
      </c>
      <c r="M25" t="s">
        <v>31</v>
      </c>
      <c r="N25" t="s">
        <v>1583</v>
      </c>
      <c r="O25" t="str">
        <f>IFERROR("IN" &amp; _xlfn.TEXTBEFORE(_xlfn.TEXTAFTER(UPPER(tblShipments5[[#This Row],[Gateway_clean]]),"IN")," ",1),"")</f>
        <v>INPAV1</v>
      </c>
      <c r="P25" t="str">
        <f>SUBSTITUTE(tblShipments5[[#This Row],[Gateway]], CHAR(10), " ")</f>
        <v xml:space="preserve">AWB No. Gateway Port Gateway EGM No. Gateway EGM Date Gateway Site ID Error Code N.A.  INPAV1  140831  2017-12-18 00:00:00.0  INPAV1  S </v>
      </c>
      <c r="Q25" t="s">
        <v>1490</v>
      </c>
    </row>
    <row r="26" spans="1:17" x14ac:dyDescent="0.35">
      <c r="A26" t="s">
        <v>8</v>
      </c>
      <c r="B26">
        <v>1696466</v>
      </c>
      <c r="C26" s="2" t="s">
        <v>1601</v>
      </c>
      <c r="D26" s="2" t="str">
        <f>LEFT(TRIM(MID(SUBSTITUTE(tblShipments5[[#This Row],[Details]],CHAR(10)," "), FIND(CHAR(10),tblShipments5[[#This Row],[Details]])+1, 50)), 10)</f>
        <v>0504077171</v>
      </c>
      <c r="E26" t="s">
        <v>1606</v>
      </c>
      <c r="F2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 t="str">
        <f>IF(tblShipments5[[#This Row],[EGM no]]="", "Missing EGM", "EGM Submitted")</f>
        <v>EGM Submitted</v>
      </c>
      <c r="H26" t="str">
        <f>IF(OR(ISNUMBER(SEARCH("Released",tblShipments5[[#This Row],[ROSL]])),
      ISNUMBER(SEARCH("Scroll",tblShipments5[[#This Row],[ROSL]])),
      ISNUMBER(SEARCH("Y",tblShipments5[[#This Row],[ROSL]]))),
   "Released",
   "Not Released")</f>
        <v>Released</v>
      </c>
      <c r="I26" t="str">
        <f>IF(OR(tblShipments5[[#This Row],[EGM no]]="", tblShipments5[[#This Row],[EGM no]]="N.A."), "Not Submitted", "Submitted")</f>
        <v>Submitted</v>
      </c>
      <c r="J26" t="str">
        <f>IF(LEFT(tblShipments5[[#This Row],[Gateway_Extracted]],2)="IN","Valid","Invalid")</f>
        <v>Valid</v>
      </c>
      <c r="K26" t="s">
        <v>1607</v>
      </c>
      <c r="L26" t="s">
        <v>1608</v>
      </c>
      <c r="M26" t="s">
        <v>31</v>
      </c>
      <c r="N26" t="s">
        <v>1609</v>
      </c>
      <c r="O26" t="str">
        <f>IFERROR("IN" &amp; _xlfn.TEXTBEFORE(_xlfn.TEXTAFTER(UPPER(tblShipments5[[#This Row],[Gateway_clean]]),"IN")," ",1),"")</f>
        <v>INPAV1</v>
      </c>
      <c r="P26" t="str">
        <f>SUBSTITUTE(tblShipments5[[#This Row],[Gateway]], CHAR(10), " ")</f>
        <v xml:space="preserve">AWB No. Gateway Port Gateway EGM No. Gateway EGM Date Gateway Site ID Error Code N.A.  INPAV1  140831  2017-12-18 00:00:00.0  INPAV1  S </v>
      </c>
      <c r="Q26" t="s">
        <v>1490</v>
      </c>
    </row>
    <row r="27" spans="1:17" x14ac:dyDescent="0.35">
      <c r="A27" t="s">
        <v>8</v>
      </c>
      <c r="B27">
        <v>1773410</v>
      </c>
      <c r="C27" s="2" t="s">
        <v>1633</v>
      </c>
      <c r="D27" s="2" t="str">
        <f>LEFT(TRIM(MID(SUBSTITUTE(tblShipments5[[#This Row],[Details]],CHAR(10)," "), FIND(CHAR(10),tblShipments5[[#This Row],[Details]])+1, 50)), 10)</f>
        <v>0504077171</v>
      </c>
      <c r="E27" t="s">
        <v>1634</v>
      </c>
      <c r="F2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 t="str">
        <f>IF(tblShipments5[[#This Row],[EGM no]]="", "Missing EGM", "EGM Submitted")</f>
        <v>EGM Submitted</v>
      </c>
      <c r="H27" t="str">
        <f>IF(OR(ISNUMBER(SEARCH("Released",tblShipments5[[#This Row],[ROSL]])),
      ISNUMBER(SEARCH("Scroll",tblShipments5[[#This Row],[ROSL]])),
      ISNUMBER(SEARCH("Y",tblShipments5[[#This Row],[ROSL]]))),
   "Released",
   "Not Released")</f>
        <v>Released</v>
      </c>
      <c r="I27" t="str">
        <f>IF(OR(tblShipments5[[#This Row],[EGM no]]="", tblShipments5[[#This Row],[EGM no]]="N.A."), "Not Submitted", "Submitted")</f>
        <v>Submitted</v>
      </c>
      <c r="J27" t="str">
        <f>IF(LEFT(tblShipments5[[#This Row],[Gateway_Extracted]],2)="IN","Valid","Invalid")</f>
        <v>Valid</v>
      </c>
      <c r="K27" t="s">
        <v>1635</v>
      </c>
      <c r="L27" t="s">
        <v>1636</v>
      </c>
      <c r="M27" t="s">
        <v>31</v>
      </c>
      <c r="N27" t="s">
        <v>1637</v>
      </c>
      <c r="O27" t="str">
        <f>IFERROR("IN" &amp; _xlfn.TEXTBEFORE(_xlfn.TEXTAFTER(UPPER(tblShipments5[[#This Row],[Gateway_clean]]),"IN")," ",1),"")</f>
        <v>INMUN1</v>
      </c>
      <c r="P27" t="str">
        <f>SUBSTITUTE(tblShipments5[[#This Row],[Gateway]], CHAR(10), " ")</f>
        <v xml:space="preserve">AWB No. Gateway Port Gateway EGM No. Gateway EGM Date Gateway Site ID Error Code N.A.  INMUN1  142133  2018-01-08 00:00:00.0  INMUN1  S </v>
      </c>
      <c r="Q27" t="s">
        <v>1638</v>
      </c>
    </row>
    <row r="28" spans="1:17" x14ac:dyDescent="0.35">
      <c r="A28" t="s">
        <v>8</v>
      </c>
      <c r="B28">
        <v>1808535</v>
      </c>
      <c r="C28" s="2" t="s">
        <v>1657</v>
      </c>
      <c r="D28" s="2" t="str">
        <f>LEFT(TRIM(MID(SUBSTITUTE(tblShipments5[[#This Row],[Details]],CHAR(10)," "), FIND(CHAR(10),tblShipments5[[#This Row],[Details]])+1, 50)), 10)</f>
        <v>0504077171</v>
      </c>
      <c r="E28" t="s">
        <v>1658</v>
      </c>
      <c r="F2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 t="str">
        <f>IF(tblShipments5[[#This Row],[EGM no]]="", "Missing EGM", "EGM Submitted")</f>
        <v>EGM Submitted</v>
      </c>
      <c r="H28" t="str">
        <f>IF(OR(ISNUMBER(SEARCH("Released",tblShipments5[[#This Row],[ROSL]])),
      ISNUMBER(SEARCH("Scroll",tblShipments5[[#This Row],[ROSL]])),
      ISNUMBER(SEARCH("Y",tblShipments5[[#This Row],[ROSL]]))),
   "Released",
   "Not Released")</f>
        <v>Released</v>
      </c>
      <c r="I28" t="str">
        <f>IF(OR(tblShipments5[[#This Row],[EGM no]]="", tblShipments5[[#This Row],[EGM no]]="N.A."), "Not Submitted", "Submitted")</f>
        <v>Submitted</v>
      </c>
      <c r="J28" t="str">
        <f>IF(LEFT(tblShipments5[[#This Row],[Gateway_Extracted]],2)="IN","Valid","Invalid")</f>
        <v>Valid</v>
      </c>
      <c r="K28" t="s">
        <v>1659</v>
      </c>
      <c r="L28" t="s">
        <v>1660</v>
      </c>
      <c r="M28" t="s">
        <v>31</v>
      </c>
      <c r="N28" t="s">
        <v>1661</v>
      </c>
      <c r="O28" t="str">
        <f>IFERROR("IN" &amp; _xlfn.TEXTBEFORE(_xlfn.TEXTAFTER(UPPER(tblShipments5[[#This Row],[Gateway_clean]]),"IN")," ",1),"")</f>
        <v>INMUN1</v>
      </c>
      <c r="P28" t="str">
        <f>SUBSTITUTE(tblShipments5[[#This Row],[Gateway]], CHAR(10), " ")</f>
        <v xml:space="preserve">AWB No. Gateway Port Gateway EGM No. Gateway EGM Date Gateway Site ID Error Code N.A.  INMUN1  142133  2018-01-08 00:00:00.0  INMUN1  S </v>
      </c>
      <c r="Q28" t="s">
        <v>1638</v>
      </c>
    </row>
    <row r="29" spans="1:17" x14ac:dyDescent="0.35">
      <c r="A29" t="s">
        <v>8</v>
      </c>
      <c r="B29">
        <v>1838515</v>
      </c>
      <c r="C29" s="2" t="s">
        <v>1677</v>
      </c>
      <c r="D29" s="2" t="str">
        <f>LEFT(TRIM(MID(SUBSTITUTE(tblShipments5[[#This Row],[Details]],CHAR(10)," "), FIND(CHAR(10),tblShipments5[[#This Row],[Details]])+1, 50)), 10)</f>
        <v>0504077171</v>
      </c>
      <c r="E29" t="s">
        <v>1678</v>
      </c>
      <c r="F2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 t="str">
        <f>IF(tblShipments5[[#This Row],[EGM no]]="", "Missing EGM", "EGM Submitted")</f>
        <v>EGM Submitted</v>
      </c>
      <c r="H29" t="str">
        <f>IF(OR(ISNUMBER(SEARCH("Released",tblShipments5[[#This Row],[ROSL]])),
      ISNUMBER(SEARCH("Scroll",tblShipments5[[#This Row],[ROSL]])),
      ISNUMBER(SEARCH("Y",tblShipments5[[#This Row],[ROSL]]))),
   "Released",
   "Not Released")</f>
        <v>Released</v>
      </c>
      <c r="I29" t="str">
        <f>IF(OR(tblShipments5[[#This Row],[EGM no]]="", tblShipments5[[#This Row],[EGM no]]="N.A."), "Not Submitted", "Submitted")</f>
        <v>Submitted</v>
      </c>
      <c r="J29" t="str">
        <f>IF(LEFT(tblShipments5[[#This Row],[Gateway_Extracted]],2)="IN","Valid","Invalid")</f>
        <v>Valid</v>
      </c>
      <c r="K29" t="s">
        <v>1679</v>
      </c>
      <c r="L29" t="s">
        <v>1680</v>
      </c>
      <c r="M29" t="s">
        <v>31</v>
      </c>
      <c r="N29" t="s">
        <v>1681</v>
      </c>
      <c r="O29" t="str">
        <f>IFERROR("IN" &amp; _xlfn.TEXTBEFORE(_xlfn.TEXTAFTER(UPPER(tblShipments5[[#This Row],[Gateway_clean]]),"IN")," ",1),"")</f>
        <v>INMUN1</v>
      </c>
      <c r="P29" t="str">
        <f>SUBSTITUTE(tblShipments5[[#This Row],[Gateway]], CHAR(10), " ")</f>
        <v xml:space="preserve">AWB No. Gateway Port Gateway EGM No. Gateway EGM Date Gateway Site ID Error Code N.A.  INMUN1  142479  2018-01-12 00:00:00.0  INMUN1  S </v>
      </c>
      <c r="Q29" t="s">
        <v>1682</v>
      </c>
    </row>
    <row r="30" spans="1:17" x14ac:dyDescent="0.35">
      <c r="A30" t="s">
        <v>8</v>
      </c>
      <c r="B30">
        <v>1865329</v>
      </c>
      <c r="C30" s="2" t="s">
        <v>1687</v>
      </c>
      <c r="D30" s="2" t="str">
        <f>LEFT(TRIM(MID(SUBSTITUTE(tblShipments5[[#This Row],[Details]],CHAR(10)," "), FIND(CHAR(10),tblShipments5[[#This Row],[Details]])+1, 50)), 10)</f>
        <v>0504077171</v>
      </c>
      <c r="E30" t="s">
        <v>1691</v>
      </c>
      <c r="F3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 t="str">
        <f>IF(tblShipments5[[#This Row],[EGM no]]="", "Missing EGM", "EGM Submitted")</f>
        <v>EGM Submitted</v>
      </c>
      <c r="H30" t="str">
        <f>IF(OR(ISNUMBER(SEARCH("Released",tblShipments5[[#This Row],[ROSL]])),
      ISNUMBER(SEARCH("Scroll",tblShipments5[[#This Row],[ROSL]])),
      ISNUMBER(SEARCH("Y",tblShipments5[[#This Row],[ROSL]]))),
   "Released",
   "Not Released")</f>
        <v>Released</v>
      </c>
      <c r="I30" t="str">
        <f>IF(OR(tblShipments5[[#This Row],[EGM no]]="", tblShipments5[[#This Row],[EGM no]]="N.A."), "Not Submitted", "Submitted")</f>
        <v>Submitted</v>
      </c>
      <c r="J30" t="str">
        <f>IF(LEFT(tblShipments5[[#This Row],[Gateway_Extracted]],2)="IN","Valid","Invalid")</f>
        <v>Valid</v>
      </c>
      <c r="K30" t="s">
        <v>1692</v>
      </c>
      <c r="L30" t="s">
        <v>1693</v>
      </c>
      <c r="M30" t="s">
        <v>31</v>
      </c>
      <c r="N30" t="s">
        <v>1694</v>
      </c>
      <c r="O30" t="str">
        <f>IFERROR("IN" &amp; _xlfn.TEXTBEFORE(_xlfn.TEXTAFTER(UPPER(tblShipments5[[#This Row],[Gateway_clean]]),"IN")," ",1),"")</f>
        <v>INPAV1</v>
      </c>
      <c r="P30" t="str">
        <f>SUBSTITUTE(tblShipments5[[#This Row],[Gateway]], CHAR(10), " ")</f>
        <v xml:space="preserve">AWB No. Gateway Port Gateway EGM No. Gateway EGM Date Gateway Site ID Error Code N.A.  INPAV1  141634  2017-12-29 00:00:00.0  INPAV1  S </v>
      </c>
      <c r="Q30" t="s">
        <v>1695</v>
      </c>
    </row>
    <row r="31" spans="1:17" x14ac:dyDescent="0.35">
      <c r="A31" t="s">
        <v>8</v>
      </c>
      <c r="B31">
        <v>9098433</v>
      </c>
      <c r="C31" s="2" t="s">
        <v>939</v>
      </c>
      <c r="D31" s="2" t="str">
        <f>LEFT(TRIM(MID(SUBSTITUTE(tblShipments5[[#This Row],[Details]],CHAR(10)," "), FIND(CHAR(10),tblShipments5[[#This Row],[Details]])+1, 50)), 10)</f>
        <v>0501061428</v>
      </c>
      <c r="E31" t="s">
        <v>957</v>
      </c>
      <c r="F3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 t="str">
        <f>IF(tblShipments5[[#This Row],[EGM no]]="", "Missing EGM", "EGM Submitted")</f>
        <v>EGM Submitted</v>
      </c>
      <c r="H31" t="str">
        <f>IF(OR(ISNUMBER(SEARCH("Released",tblShipments5[[#This Row],[ROSL]])),
      ISNUMBER(SEARCH("Scroll",tblShipments5[[#This Row],[ROSL]])),
      ISNUMBER(SEARCH("Y",tblShipments5[[#This Row],[ROSL]]))),
   "Released",
   "Not Released")</f>
        <v>Released</v>
      </c>
      <c r="I31" t="str">
        <f>IF(OR(tblShipments5[[#This Row],[EGM no]]="", tblShipments5[[#This Row],[EGM no]]="N.A."), "Not Submitted", "Submitted")</f>
        <v>Submitted</v>
      </c>
      <c r="J31" t="str">
        <f>IF(LEFT(tblShipments5[[#This Row],[Gateway_Extracted]],2)="IN","Valid","Invalid")</f>
        <v>Valid</v>
      </c>
      <c r="K31" t="s">
        <v>894</v>
      </c>
      <c r="L31" t="s">
        <v>958</v>
      </c>
      <c r="M31" t="s">
        <v>13</v>
      </c>
      <c r="N31" t="s">
        <v>959</v>
      </c>
      <c r="O31" t="str">
        <f>IFERROR("IN" &amp; _xlfn.TEXTBEFORE(_xlfn.TEXTAFTER(UPPER(tblShipments5[[#This Row],[Gateway_clean]]),"IN")," ",1),"")</f>
        <v>INNSA1</v>
      </c>
      <c r="P31" t="str">
        <f>SUBSTITUTE(tblShipments5[[#This Row],[Gateway]], CHAR(10), " ")</f>
        <v xml:space="preserve">AWB No. Gateway Port Gateway EGM No. Gateway EGM Date Gateway Site ID Error Code N.A.  INNSA1  135895  2017-09-27 00:00:00.0  INNSA1  S </v>
      </c>
      <c r="Q31" t="s">
        <v>933</v>
      </c>
    </row>
    <row r="32" spans="1:17" x14ac:dyDescent="0.35">
      <c r="A32" t="s">
        <v>8</v>
      </c>
      <c r="B32">
        <v>8612296</v>
      </c>
      <c r="C32" s="2" t="s">
        <v>681</v>
      </c>
      <c r="D32" s="2" t="str">
        <f>LEFT(TRIM(MID(SUBSTITUTE(tblShipments5[[#This Row],[Details]],CHAR(10)," "), FIND(CHAR(10),tblShipments5[[#This Row],[Details]])+1, 50)), 10)</f>
        <v>0511063865</v>
      </c>
      <c r="E32" t="s">
        <v>719</v>
      </c>
      <c r="F3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 t="str">
        <f>IF(tblShipments5[[#This Row],[EGM no]]="", "Missing EGM", "EGM Submitted")</f>
        <v>EGM Submitted</v>
      </c>
      <c r="H32" t="str">
        <f>IF(OR(ISNUMBER(SEARCH("Released",tblShipments5[[#This Row],[ROSL]])),
      ISNUMBER(SEARCH("Scroll",tblShipments5[[#This Row],[ROSL]])),
      ISNUMBER(SEARCH("Y",tblShipments5[[#This Row],[ROSL]]))),
   "Released",
   "Not Released")</f>
        <v>Released</v>
      </c>
      <c r="I32" t="str">
        <f>IF(OR(tblShipments5[[#This Row],[EGM no]]="", tblShipments5[[#This Row],[EGM no]]="N.A."), "Not Submitted", "Submitted")</f>
        <v>Submitted</v>
      </c>
      <c r="J32" t="str">
        <f>IF(LEFT(tblShipments5[[#This Row],[Gateway_Extracted]],2)="IN","Valid","Invalid")</f>
        <v>Valid</v>
      </c>
      <c r="K32" t="s">
        <v>645</v>
      </c>
      <c r="L32" t="s">
        <v>720</v>
      </c>
      <c r="M32" t="s">
        <v>31</v>
      </c>
      <c r="N32" t="s">
        <v>721</v>
      </c>
      <c r="O32" t="str">
        <f>IFERROR("IN" &amp; _xlfn.TEXTBEFORE(_xlfn.TEXTAFTER(UPPER(tblShipments5[[#This Row],[Gateway_clean]]),"IN")," ",1),"")</f>
        <v>INNSA1</v>
      </c>
      <c r="P32" t="str">
        <f>SUBSTITUTE(tblShipments5[[#This Row],[Gateway]], CHAR(10), " ")</f>
        <v xml:space="preserve">AWB No. Gateway Port Gateway EGM No. Gateway EGM Date Gateway Site ID Error Code N.A.  INNSA1  135086  2017-09-14 00:00:00.0  INNSA1  S </v>
      </c>
      <c r="Q32" t="s">
        <v>676</v>
      </c>
    </row>
    <row r="33" spans="1:17" x14ac:dyDescent="0.35">
      <c r="A33" t="s">
        <v>8</v>
      </c>
      <c r="B33">
        <v>9683904</v>
      </c>
      <c r="C33" s="2" t="s">
        <v>1139</v>
      </c>
      <c r="D33" s="2" t="str">
        <f>LEFT(TRIM(MID(SUBSTITUTE(tblShipments5[[#This Row],[Details]],CHAR(10)," "), FIND(CHAR(10),tblShipments5[[#This Row],[Details]])+1, 50)), 10)</f>
        <v>3303004897</v>
      </c>
      <c r="E33" t="s">
        <v>1147</v>
      </c>
      <c r="F3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 t="str">
        <f>IF(tblShipments5[[#This Row],[EGM no]]="", "Missing EGM", "EGM Submitted")</f>
        <v>EGM Submitted</v>
      </c>
      <c r="H33" t="str">
        <f>IF(OR(ISNUMBER(SEARCH("Released",tblShipments5[[#This Row],[ROSL]])),
      ISNUMBER(SEARCH("Scroll",tblShipments5[[#This Row],[ROSL]])),
      ISNUMBER(SEARCH("Y",tblShipments5[[#This Row],[ROSL]]))),
   "Released",
   "Not Released")</f>
        <v>Released</v>
      </c>
      <c r="I33" t="str">
        <f>IF(OR(tblShipments5[[#This Row],[EGM no]]="", tblShipments5[[#This Row],[EGM no]]="N.A."), "Not Submitted", "Submitted")</f>
        <v>Submitted</v>
      </c>
      <c r="J33" t="str">
        <f>IF(LEFT(tblShipments5[[#This Row],[Gateway_Extracted]],2)="IN","Valid","Invalid")</f>
        <v>Valid</v>
      </c>
      <c r="K33" t="s">
        <v>1148</v>
      </c>
      <c r="L33" t="s">
        <v>1149</v>
      </c>
      <c r="M33" t="s">
        <v>31</v>
      </c>
      <c r="N33" t="s">
        <v>1150</v>
      </c>
      <c r="O33" t="str">
        <f>IFERROR("IN" &amp; _xlfn.TEXTBEFORE(_xlfn.TEXTAFTER(UPPER(tblShipments5[[#This Row],[Gateway_clean]]),"IN")," ",1),"")</f>
        <v>INMUN1</v>
      </c>
      <c r="P33" t="str">
        <f>SUBSTITUTE(tblShipments5[[#This Row],[Gateway]], CHAR(10), " ")</f>
        <v xml:space="preserve">AWB No. Gateway Port Gateway EGM No. Gateway EGM Date Gateway Site ID Error Code N.A.  INMUN1  140630  2017-12-13 00:00:00.0  INMUN1  S </v>
      </c>
      <c r="Q33" t="s">
        <v>1151</v>
      </c>
    </row>
    <row r="34" spans="1:17" x14ac:dyDescent="0.35">
      <c r="A34" t="s">
        <v>8</v>
      </c>
      <c r="B34">
        <v>8201692</v>
      </c>
      <c r="C34" s="2" t="s">
        <v>409</v>
      </c>
      <c r="D34" s="2" t="str">
        <f>LEFT(TRIM(MID(SUBSTITUTE(tblShipments5[[#This Row],[Details]],CHAR(10)," "), FIND(CHAR(10),tblShipments5[[#This Row],[Details]])+1, 50)), 10)</f>
        <v>0507042034</v>
      </c>
      <c r="E34" t="s">
        <v>410</v>
      </c>
      <c r="F3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 t="str">
        <f>IF(tblShipments5[[#This Row],[EGM no]]="", "Missing EGM", "EGM Submitted")</f>
        <v>EGM Submitted</v>
      </c>
      <c r="H34" t="str">
        <f>IF(OR(ISNUMBER(SEARCH("Released",tblShipments5[[#This Row],[ROSL]])),
      ISNUMBER(SEARCH("Scroll",tblShipments5[[#This Row],[ROSL]])),
      ISNUMBER(SEARCH("Y",tblShipments5[[#This Row],[ROSL]]))),
   "Released",
   "Not Released")</f>
        <v>Released</v>
      </c>
      <c r="I34" t="str">
        <f>IF(OR(tblShipments5[[#This Row],[EGM no]]="", tblShipments5[[#This Row],[EGM no]]="N.A."), "Not Submitted", "Submitted")</f>
        <v>Submitted</v>
      </c>
      <c r="J34" t="str">
        <f>IF(LEFT(tblShipments5[[#This Row],[Gateway_Extracted]],2)="IN","Valid","Invalid")</f>
        <v>Valid</v>
      </c>
      <c r="K34" t="s">
        <v>374</v>
      </c>
      <c r="L34" t="s">
        <v>411</v>
      </c>
      <c r="M34" t="s">
        <v>13</v>
      </c>
      <c r="N34" t="s">
        <v>412</v>
      </c>
      <c r="O34" t="str">
        <f>IFERROR("IN" &amp; _xlfn.TEXTBEFORE(_xlfn.TEXTAFTER(UPPER(tblShipments5[[#This Row],[Gateway_clean]]),"IN")," ",1),"")</f>
        <v>INMUN1</v>
      </c>
      <c r="P34" t="str">
        <f>SUBSTITUTE(tblShipments5[[#This Row],[Gateway]], CHAR(10), " ")</f>
        <v xml:space="preserve">AWB No. Gateway Port Gateway EGM No. Gateway EGM Date Gateway Site ID Error Code N.A.  INMUN1  133789  2017-08-23 00:00:00.0  INMUN1  S </v>
      </c>
      <c r="Q34" t="s">
        <v>413</v>
      </c>
    </row>
    <row r="35" spans="1:17" x14ac:dyDescent="0.35">
      <c r="A35" t="s">
        <v>8</v>
      </c>
      <c r="B35">
        <v>7096937</v>
      </c>
      <c r="C35" s="2" t="s">
        <v>9</v>
      </c>
      <c r="D35" s="2" t="str">
        <f>LEFT(TRIM(MID(SUBSTITUTE(tblShipments5[[#This Row],[Details]],CHAR(10)," "), FIND(CHAR(10),tblShipments5[[#This Row],[Details]])+1, 50)), 10)</f>
        <v>0597024561</v>
      </c>
      <c r="E35" t="s">
        <v>10</v>
      </c>
      <c r="F3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 t="str">
        <f>IF(tblShipments5[[#This Row],[EGM no]]="", "Missing EGM", "EGM Submitted")</f>
        <v>EGM Submitted</v>
      </c>
      <c r="H35" t="str">
        <f>IF(OR(ISNUMBER(SEARCH("Released",tblShipments5[[#This Row],[ROSL]])),
      ISNUMBER(SEARCH("Scroll",tblShipments5[[#This Row],[ROSL]])),
      ISNUMBER(SEARCH("Y",tblShipments5[[#This Row],[ROSL]]))),
   "Released",
   "Not Released")</f>
        <v>Released</v>
      </c>
      <c r="I35" t="str">
        <f>IF(OR(tblShipments5[[#This Row],[EGM no]]="", tblShipments5[[#This Row],[EGM no]]="N.A."), "Not Submitted", "Submitted")</f>
        <v>Submitted</v>
      </c>
      <c r="J35" t="str">
        <f>IF(LEFT(tblShipments5[[#This Row],[Gateway_Extracted]],2)="IN","Valid","Invalid")</f>
        <v>Valid</v>
      </c>
      <c r="K35" t="s">
        <v>11</v>
      </c>
      <c r="L35" t="s">
        <v>12</v>
      </c>
      <c r="M35" t="s">
        <v>13</v>
      </c>
      <c r="N35" t="s">
        <v>14</v>
      </c>
      <c r="O35" t="str">
        <f>IFERROR("IN" &amp; _xlfn.TEXTBEFORE(_xlfn.TEXTAFTER(UPPER(tblShipments5[[#This Row],[Gateway_clean]]),"IN")," ",1),"")</f>
        <v>INMUN1</v>
      </c>
      <c r="P35" t="str">
        <f>SUBSTITUTE(tblShipments5[[#This Row],[Gateway]], CHAR(10), " ")</f>
        <v xml:space="preserve">AWB No. Gateway Port Gateway EGM No. Gateway EGM Date Gateway Site ID Error Code N.A.  INMUN1  137976  2017-11-01 00:00:00.0  INMUN1  S </v>
      </c>
      <c r="Q35" t="s">
        <v>15</v>
      </c>
    </row>
    <row r="36" spans="1:17" ht="58" x14ac:dyDescent="0.35">
      <c r="A36" t="s">
        <v>8</v>
      </c>
      <c r="B36">
        <v>7100605</v>
      </c>
      <c r="C36" s="2" t="s">
        <v>9</v>
      </c>
      <c r="D36" s="2" t="str">
        <f>LEFT(TRIM(MID(SUBSTITUTE(tblShipments5[[#This Row],[Details]],CHAR(10)," "), FIND(CHAR(10),tblShipments5[[#This Row],[Details]])+1, 50)), 10)</f>
        <v>0597024561</v>
      </c>
      <c r="E36" s="1" t="s">
        <v>16</v>
      </c>
      <c r="F36" s="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 s="1" t="str">
        <f>IF(tblShipments5[[#This Row],[EGM no]]="", "Missing EGM", "EGM Submitted")</f>
        <v>EGM Submitted</v>
      </c>
      <c r="H36" s="1" t="str">
        <f>IF(OR(ISNUMBER(SEARCH("Released",tblShipments5[[#This Row],[ROSL]])),
      ISNUMBER(SEARCH("Scroll",tblShipments5[[#This Row],[ROSL]])),
      ISNUMBER(SEARCH("Y",tblShipments5[[#This Row],[ROSL]]))),
   "Released",
   "Not Released")</f>
        <v>Released</v>
      </c>
      <c r="I36" s="1" t="str">
        <f>IF(OR(tblShipments5[[#This Row],[EGM no]]="", tblShipments5[[#This Row],[EGM no]]="N.A."), "Not Submitted", "Submitted")</f>
        <v>Submitted</v>
      </c>
      <c r="J36" s="1" t="str">
        <f>IF(LEFT(tblShipments5[[#This Row],[Gateway_Extracted]],2)="IN","Valid","Invalid")</f>
        <v>Valid</v>
      </c>
      <c r="K36" t="s">
        <v>17</v>
      </c>
      <c r="L36" t="s">
        <v>18</v>
      </c>
      <c r="M36" t="s">
        <v>13</v>
      </c>
      <c r="N36" t="s">
        <v>19</v>
      </c>
      <c r="O36" t="str">
        <f>IFERROR("IN" &amp; _xlfn.TEXTBEFORE(_xlfn.TEXTAFTER(UPPER(tblShipments5[[#This Row],[Gateway_clean]]),"IN")," ",1),"")</f>
        <v>INMUN1</v>
      </c>
      <c r="P36" t="str">
        <f>SUBSTITUTE(tblShipments5[[#This Row],[Gateway]], CHAR(10), " ")</f>
        <v xml:space="preserve">AWB No. Gateway Port Gateway EGM No. Gateway EGM Date Gateway Site ID Error Code N.A.  INMUN1  131465  2017-07-14 00:00:00.0  INMUN1  S </v>
      </c>
      <c r="Q36" t="s">
        <v>20</v>
      </c>
    </row>
    <row r="37" spans="1:17" x14ac:dyDescent="0.35">
      <c r="A37" t="s">
        <v>8</v>
      </c>
      <c r="B37">
        <v>1235474</v>
      </c>
      <c r="C37" s="2" t="s">
        <v>1336</v>
      </c>
      <c r="D37" s="2" t="str">
        <f>LEFT(TRIM(MID(SUBSTITUTE(tblShipments5[[#This Row],[Details]],CHAR(10)," "), FIND(CHAR(10),tblShipments5[[#This Row],[Details]])+1, 50)), 10)</f>
        <v>3393002155</v>
      </c>
      <c r="E37" t="s">
        <v>1337</v>
      </c>
      <c r="F3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 t="str">
        <f>IF(tblShipments5[[#This Row],[EGM no]]="", "Missing EGM", "EGM Submitted")</f>
        <v>EGM Submitted</v>
      </c>
      <c r="H37" t="str">
        <f>IF(OR(ISNUMBER(SEARCH("Released",tblShipments5[[#This Row],[ROSL]])),
      ISNUMBER(SEARCH("Scroll",tblShipments5[[#This Row],[ROSL]])),
      ISNUMBER(SEARCH("Y",tblShipments5[[#This Row],[ROSL]]))),
   "Released",
   "Not Released")</f>
        <v>Released</v>
      </c>
      <c r="I37" t="str">
        <f>IF(OR(tblShipments5[[#This Row],[EGM no]]="", tblShipments5[[#This Row],[EGM no]]="N.A."), "Not Submitted", "Submitted")</f>
        <v>Submitted</v>
      </c>
      <c r="J37" t="str">
        <f>IF(LEFT(tblShipments5[[#This Row],[Gateway_Extracted]],2)="IN","Valid","Invalid")</f>
        <v>Valid</v>
      </c>
      <c r="K37" t="s">
        <v>1338</v>
      </c>
      <c r="L37" t="s">
        <v>1339</v>
      </c>
      <c r="M37" t="s">
        <v>13</v>
      </c>
      <c r="N37" t="s">
        <v>1340</v>
      </c>
      <c r="O37" t="str">
        <f>IFERROR("IN" &amp; _xlfn.TEXTBEFORE(_xlfn.TEXTAFTER(UPPER(tblShipments5[[#This Row],[Gateway_clean]]),"IN")," ",1),"")</f>
        <v>INMUN1</v>
      </c>
      <c r="P37" t="str">
        <f>SUBSTITUTE(tblShipments5[[#This Row],[Gateway]], CHAR(10), " ")</f>
        <v xml:space="preserve">AWB No. Gateway Port Gateway EGM No. Gateway EGM Date Gateway Site ID Error Code N.A.  INMUN1  138172  2017-11-03 00:00:00.0  INMUN1  S </v>
      </c>
      <c r="Q37" t="s">
        <v>1341</v>
      </c>
    </row>
    <row r="38" spans="1:17" x14ac:dyDescent="0.35">
      <c r="A38" t="s">
        <v>8</v>
      </c>
      <c r="B38">
        <v>1671114</v>
      </c>
      <c r="C38" s="2" t="s">
        <v>1579</v>
      </c>
      <c r="D38" s="2" t="str">
        <f>LEFT(TRIM(MID(SUBSTITUTE(tblShipments5[[#This Row],[Details]],CHAR(10)," "), FIND(CHAR(10),tblShipments5[[#This Row],[Details]])+1, 50)), 10)</f>
        <v>3393002155</v>
      </c>
      <c r="E38" t="s">
        <v>1589</v>
      </c>
      <c r="F3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8" t="str">
        <f>IF(tblShipments5[[#This Row],[EGM no]]="", "Missing EGM", "EGM Submitted")</f>
        <v>EGM Submitted</v>
      </c>
      <c r="H38" t="str">
        <f>IF(OR(ISNUMBER(SEARCH("Released",tblShipments5[[#This Row],[ROSL]])),
      ISNUMBER(SEARCH("Scroll",tblShipments5[[#This Row],[ROSL]])),
      ISNUMBER(SEARCH("Y",tblShipments5[[#This Row],[ROSL]]))),
   "Released",
   "Not Released")</f>
        <v>Released</v>
      </c>
      <c r="I38" t="str">
        <f>IF(OR(tblShipments5[[#This Row],[EGM no]]="", tblShipments5[[#This Row],[EGM no]]="N.A."), "Not Submitted", "Submitted")</f>
        <v>Submitted</v>
      </c>
      <c r="J38" t="str">
        <f>IF(LEFT(tblShipments5[[#This Row],[Gateway_Extracted]],2)="IN","Valid","Invalid")</f>
        <v>Valid</v>
      </c>
      <c r="K38" t="s">
        <v>1590</v>
      </c>
      <c r="L38" t="s">
        <v>1591</v>
      </c>
      <c r="M38" t="s">
        <v>13</v>
      </c>
      <c r="N38" t="s">
        <v>1592</v>
      </c>
      <c r="O38" t="str">
        <f>IFERROR("IN" &amp; _xlfn.TEXTBEFORE(_xlfn.TEXTAFTER(UPPER(tblShipments5[[#This Row],[Gateway_clean]]),"IN")," ",1),"")</f>
        <v>INMUN1</v>
      </c>
      <c r="P38" t="str">
        <f>SUBSTITUTE(tblShipments5[[#This Row],[Gateway]], CHAR(10), " ")</f>
        <v xml:space="preserve">AWB No. Gateway Port Gateway EGM No. Gateway EGM Date Gateway Site ID Error Code N.A.  INMUN1  141756  2018-01-02 00:00:00.0  INMUN1  S </v>
      </c>
      <c r="Q38" t="s">
        <v>1593</v>
      </c>
    </row>
    <row r="39" spans="1:17" x14ac:dyDescent="0.35">
      <c r="A39" t="s">
        <v>8</v>
      </c>
      <c r="B39">
        <v>9687200</v>
      </c>
      <c r="C39" s="2" t="s">
        <v>1139</v>
      </c>
      <c r="D39" s="2" t="str">
        <f>LEFT(TRIM(MID(SUBSTITUTE(tblShipments5[[#This Row],[Details]],CHAR(10)," "), FIND(CHAR(10),tblShipments5[[#This Row],[Details]])+1, 50)), 10)</f>
        <v>0506074285</v>
      </c>
      <c r="E39" t="s">
        <v>1152</v>
      </c>
      <c r="F3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9" t="str">
        <f>IF(tblShipments5[[#This Row],[EGM no]]="", "Missing EGM", "EGM Submitted")</f>
        <v>EGM Submitted</v>
      </c>
      <c r="H39" t="str">
        <f>IF(OR(ISNUMBER(SEARCH("Released",tblShipments5[[#This Row],[ROSL]])),
      ISNUMBER(SEARCH("Scroll",tblShipments5[[#This Row],[ROSL]])),
      ISNUMBER(SEARCH("Y",tblShipments5[[#This Row],[ROSL]]))),
   "Released",
   "Not Released")</f>
        <v>Released</v>
      </c>
      <c r="I39" t="str">
        <f>IF(OR(tblShipments5[[#This Row],[EGM no]]="", tblShipments5[[#This Row],[EGM no]]="N.A."), "Not Submitted", "Submitted")</f>
        <v>Submitted</v>
      </c>
      <c r="J39" t="str">
        <f>IF(LEFT(tblShipments5[[#This Row],[Gateway_Extracted]],2)="IN","Valid","Invalid")</f>
        <v>Valid</v>
      </c>
      <c r="K39" t="s">
        <v>1129</v>
      </c>
      <c r="L39" t="s">
        <v>1153</v>
      </c>
      <c r="M39" t="s">
        <v>1154</v>
      </c>
      <c r="N39" t="s">
        <v>1155</v>
      </c>
      <c r="O39" t="str">
        <f>IFERROR("IN" &amp; _xlfn.TEXTBEFORE(_xlfn.TEXTAFTER(UPPER(tblShipments5[[#This Row],[Gateway_clean]]),"IN")," ",1),"")</f>
        <v>INNSA1</v>
      </c>
      <c r="P39" t="str">
        <f>SUBSTITUTE(tblShipments5[[#This Row],[Gateway]], CHAR(10), " ")</f>
        <v xml:space="preserve">AWB No. Gateway Port Gateway EGM No. Gateway EGM Date Gateway Site ID Error Code N.A.  INNSA1  N.A.  N.A.  N.A.  N.A. </v>
      </c>
      <c r="Q39" t="s">
        <v>26</v>
      </c>
    </row>
    <row r="40" spans="1:17" x14ac:dyDescent="0.35">
      <c r="A40" t="s">
        <v>8</v>
      </c>
      <c r="B40">
        <v>9565498</v>
      </c>
      <c r="C40" s="2" t="s">
        <v>1092</v>
      </c>
      <c r="D40" s="2" t="str">
        <f>LEFT(TRIM(MID(SUBSTITUTE(tblShipments5[[#This Row],[Details]],CHAR(10)," "), FIND(CHAR(10),tblShipments5[[#This Row],[Details]])+1, 50)), 10)</f>
        <v>0508028078</v>
      </c>
      <c r="E40" t="s">
        <v>1093</v>
      </c>
      <c r="F4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0" t="str">
        <f>IF(tblShipments5[[#This Row],[EGM no]]="", "Missing EGM", "EGM Submitted")</f>
        <v>EGM Submitted</v>
      </c>
      <c r="H40" t="str">
        <f>IF(OR(ISNUMBER(SEARCH("Released",tblShipments5[[#This Row],[ROSL]])),
      ISNUMBER(SEARCH("Scroll",tblShipments5[[#This Row],[ROSL]])),
      ISNUMBER(SEARCH("Y",tblShipments5[[#This Row],[ROSL]]))),
   "Released",
   "Not Released")</f>
        <v>Released</v>
      </c>
      <c r="I40" t="str">
        <f>IF(OR(tblShipments5[[#This Row],[EGM no]]="", tblShipments5[[#This Row],[EGM no]]="N.A."), "Not Submitted", "Submitted")</f>
        <v>Submitted</v>
      </c>
      <c r="J40" t="str">
        <f>IF(LEFT(tblShipments5[[#This Row],[Gateway_Extracted]],2)="IN","Valid","Invalid")</f>
        <v>Valid</v>
      </c>
      <c r="K40" t="s">
        <v>1094</v>
      </c>
      <c r="L40" t="s">
        <v>1095</v>
      </c>
      <c r="M40" t="s">
        <v>31</v>
      </c>
      <c r="N40" t="s">
        <v>1096</v>
      </c>
      <c r="O40" t="str">
        <f>IFERROR("IN" &amp; _xlfn.TEXTBEFORE(_xlfn.TEXTAFTER(UPPER(tblShipments5[[#This Row],[Gateway_clean]]),"IN")," ",1),"")</f>
        <v>INNSA1</v>
      </c>
      <c r="P40" t="str">
        <f>SUBSTITUTE(tblShipments5[[#This Row],[Gateway]], CHAR(10), " ")</f>
        <v xml:space="preserve">AWB No. Gateway Port Gateway EGM No. Gateway EGM Date Gateway Site ID Error Code N.A.  INNSA1  137453  2017-10-24 00:00:00.0  INNSA1  C </v>
      </c>
      <c r="Q40" t="s">
        <v>1097</v>
      </c>
    </row>
    <row r="41" spans="1:17" x14ac:dyDescent="0.35">
      <c r="A41" t="s">
        <v>8</v>
      </c>
      <c r="B41">
        <v>1512374</v>
      </c>
      <c r="C41" s="2" t="s">
        <v>1499</v>
      </c>
      <c r="D41" s="2" t="str">
        <f>LEFT(TRIM(MID(SUBSTITUTE(tblShipments5[[#This Row],[Details]],CHAR(10)," "), FIND(CHAR(10),tblShipments5[[#This Row],[Details]])+1, 50)), 10)</f>
        <v>0508028078</v>
      </c>
      <c r="E41" t="s">
        <v>1504</v>
      </c>
      <c r="F4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1" t="str">
        <f>IF(tblShipments5[[#This Row],[EGM no]]="", "Missing EGM", "EGM Submitted")</f>
        <v>EGM Submitted</v>
      </c>
      <c r="H41" t="str">
        <f>IF(OR(ISNUMBER(SEARCH("Released",tblShipments5[[#This Row],[ROSL]])),
      ISNUMBER(SEARCH("Scroll",tblShipments5[[#This Row],[ROSL]])),
      ISNUMBER(SEARCH("Y",tblShipments5[[#This Row],[ROSL]]))),
   "Released",
   "Not Released")</f>
        <v>Released</v>
      </c>
      <c r="I41" t="str">
        <f>IF(OR(tblShipments5[[#This Row],[EGM no]]="", tblShipments5[[#This Row],[EGM no]]="N.A."), "Not Submitted", "Submitted")</f>
        <v>Submitted</v>
      </c>
      <c r="J41" t="str">
        <f>IF(LEFT(tblShipments5[[#This Row],[Gateway_Extracted]],2)="IN","Valid","Invalid")</f>
        <v>Valid</v>
      </c>
      <c r="K41" t="s">
        <v>1505</v>
      </c>
      <c r="L41" t="s">
        <v>1506</v>
      </c>
      <c r="M41" t="s">
        <v>13</v>
      </c>
      <c r="N41" t="s">
        <v>1507</v>
      </c>
      <c r="O41" t="str">
        <f>IFERROR("IN" &amp; _xlfn.TEXTBEFORE(_xlfn.TEXTAFTER(UPPER(tblShipments5[[#This Row],[Gateway_clean]]),"IN")," ",1),"")</f>
        <v>INNSA1</v>
      </c>
      <c r="P41" t="str">
        <f>SUBSTITUTE(tblShipments5[[#This Row],[Gateway]], CHAR(10), " ")</f>
        <v xml:space="preserve">AWB No. Gateway Port Gateway EGM No. Gateway EGM Date Gateway Site ID Error Code N.A.  INNSA1  140677  2017-12-14 00:00:00.0  INNSA1  S </v>
      </c>
      <c r="Q41" t="s">
        <v>1464</v>
      </c>
    </row>
    <row r="42" spans="1:17" x14ac:dyDescent="0.35">
      <c r="A42" t="s">
        <v>8</v>
      </c>
      <c r="B42">
        <v>8607674</v>
      </c>
      <c r="C42" s="2" t="s">
        <v>681</v>
      </c>
      <c r="D42" s="2" t="str">
        <f>LEFT(TRIM(MID(SUBSTITUTE(tblShipments5[[#This Row],[Details]],CHAR(10)," "), FIND(CHAR(10),tblShipments5[[#This Row],[Details]])+1, 50)), 10)</f>
        <v>0709012331</v>
      </c>
      <c r="E42" t="s">
        <v>698</v>
      </c>
      <c r="F4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2" t="str">
        <f>IF(tblShipments5[[#This Row],[EGM no]]="", "Missing EGM", "EGM Submitted")</f>
        <v>EGM Submitted</v>
      </c>
      <c r="H42" t="str">
        <f>IF(OR(ISNUMBER(SEARCH("Released",tblShipments5[[#This Row],[ROSL]])),
      ISNUMBER(SEARCH("Scroll",tblShipments5[[#This Row],[ROSL]])),
      ISNUMBER(SEARCH("Y",tblShipments5[[#This Row],[ROSL]]))),
   "Released",
   "Not Released")</f>
        <v>Released</v>
      </c>
      <c r="I42" t="str">
        <f>IF(OR(tblShipments5[[#This Row],[EGM no]]="", tblShipments5[[#This Row],[EGM no]]="N.A."), "Not Submitted", "Submitted")</f>
        <v>Submitted</v>
      </c>
      <c r="J42" t="str">
        <f>IF(LEFT(tblShipments5[[#This Row],[Gateway_Extracted]],2)="IN","Valid","Invalid")</f>
        <v>Valid</v>
      </c>
      <c r="K42" t="s">
        <v>699</v>
      </c>
      <c r="L42" t="s">
        <v>700</v>
      </c>
      <c r="M42" t="s">
        <v>13</v>
      </c>
      <c r="N42" t="s">
        <v>701</v>
      </c>
      <c r="O42" t="str">
        <f>IFERROR("IN" &amp; _xlfn.TEXTBEFORE(_xlfn.TEXTAFTER(UPPER(tblShipments5[[#This Row],[Gateway_clean]]),"IN")," ",1),"")</f>
        <v>INNSA1</v>
      </c>
      <c r="P42" t="str">
        <f>SUBSTITUTE(tblShipments5[[#This Row],[Gateway]], CHAR(10), " ")</f>
        <v xml:space="preserve">AWB No. Gateway Port Gateway EGM No. Gateway EGM Date Gateway Site ID Error Code N.A.  INNSA1  N.A.  N.A.  N.A.  N.A. </v>
      </c>
      <c r="Q42" t="s">
        <v>26</v>
      </c>
    </row>
    <row r="43" spans="1:17" x14ac:dyDescent="0.35">
      <c r="A43" t="s">
        <v>8</v>
      </c>
      <c r="B43">
        <v>1072758</v>
      </c>
      <c r="C43" s="2" t="s">
        <v>1251</v>
      </c>
      <c r="D43" s="2" t="str">
        <f>LEFT(TRIM(MID(SUBSTITUTE(tblShipments5[[#This Row],[Details]],CHAR(10)," "), FIND(CHAR(10),tblShipments5[[#This Row],[Details]])+1, 50)), 10)</f>
        <v>0709012331</v>
      </c>
      <c r="E43" t="s">
        <v>1275</v>
      </c>
      <c r="F4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3" t="str">
        <f>IF(tblShipments5[[#This Row],[EGM no]]="", "Missing EGM", "EGM Submitted")</f>
        <v>EGM Submitted</v>
      </c>
      <c r="H43" t="str">
        <f>IF(OR(ISNUMBER(SEARCH("Released",tblShipments5[[#This Row],[ROSL]])),
      ISNUMBER(SEARCH("Scroll",tblShipments5[[#This Row],[ROSL]])),
      ISNUMBER(SEARCH("Y",tblShipments5[[#This Row],[ROSL]]))),
   "Released",
   "Not Released")</f>
        <v>Released</v>
      </c>
      <c r="I43" t="str">
        <f>IF(OR(tblShipments5[[#This Row],[EGM no]]="", tblShipments5[[#This Row],[EGM no]]="N.A."), "Not Submitted", "Submitted")</f>
        <v>Submitted</v>
      </c>
      <c r="J43" t="str">
        <f>IF(LEFT(tblShipments5[[#This Row],[Gateway_Extracted]],2)="IN","Valid","Invalid")</f>
        <v>Valid</v>
      </c>
      <c r="K43" t="s">
        <v>1253</v>
      </c>
      <c r="L43" t="s">
        <v>1276</v>
      </c>
      <c r="M43" t="s">
        <v>13</v>
      </c>
      <c r="N43" t="s">
        <v>1277</v>
      </c>
      <c r="O43" t="str">
        <f>IFERROR("IN" &amp; _xlfn.TEXTBEFORE(_xlfn.TEXTAFTER(UPPER(tblShipments5[[#This Row],[Gateway_clean]]),"IN")," ",1),"")</f>
        <v>INMUN1</v>
      </c>
      <c r="P43" t="str">
        <f>SUBSTITUTE(tblShipments5[[#This Row],[Gateway]], CHAR(10), " ")</f>
        <v xml:space="preserve">AWB No. Gateway Port Gateway EGM No. Gateway EGM Date Gateway Site ID Error Code N.A.  INMUN1  139513  2017-11-24 00:00:00.0  INMUN1  S </v>
      </c>
      <c r="Q43" t="s">
        <v>1278</v>
      </c>
    </row>
    <row r="44" spans="1:17" x14ac:dyDescent="0.35">
      <c r="A44" t="s">
        <v>8</v>
      </c>
      <c r="B44">
        <v>9330767</v>
      </c>
      <c r="C44" s="2" t="s">
        <v>1018</v>
      </c>
      <c r="D44" s="2" t="str">
        <f>LEFT(TRIM(MID(SUBSTITUTE(tblShipments5[[#This Row],[Details]],CHAR(10)," "), FIND(CHAR(10),tblShipments5[[#This Row],[Details]])+1, 50)), 10)</f>
        <v>0503014761</v>
      </c>
      <c r="E44" t="s">
        <v>1028</v>
      </c>
      <c r="F4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4" t="str">
        <f>IF(tblShipments5[[#This Row],[EGM no]]="", "Missing EGM", "EGM Submitted")</f>
        <v>EGM Submitted</v>
      </c>
      <c r="H44" t="str">
        <f>IF(OR(ISNUMBER(SEARCH("Released",tblShipments5[[#This Row],[ROSL]])),
      ISNUMBER(SEARCH("Scroll",tblShipments5[[#This Row],[ROSL]])),
      ISNUMBER(SEARCH("Y",tblShipments5[[#This Row],[ROSL]]))),
   "Released",
   "Not Released")</f>
        <v>Released</v>
      </c>
      <c r="I44" t="str">
        <f>IF(OR(tblShipments5[[#This Row],[EGM no]]="", tblShipments5[[#This Row],[EGM no]]="N.A."), "Not Submitted", "Submitted")</f>
        <v>Submitted</v>
      </c>
      <c r="J44" t="str">
        <f>IF(LEFT(tblShipments5[[#This Row],[Gateway_Extracted]],2)="IN","Valid","Invalid")</f>
        <v>Valid</v>
      </c>
      <c r="K44" t="s">
        <v>1029</v>
      </c>
      <c r="L44" t="s">
        <v>1030</v>
      </c>
      <c r="M44" t="s">
        <v>31</v>
      </c>
      <c r="N44" t="s">
        <v>1031</v>
      </c>
      <c r="O44" t="str">
        <f>IFERROR("IN" &amp; _xlfn.TEXTBEFORE(_xlfn.TEXTAFTER(UPPER(tblShipments5[[#This Row],[Gateway_clean]]),"IN")," ",1),"")</f>
        <v>INNSA1</v>
      </c>
      <c r="P44" t="str">
        <f>SUBSTITUTE(tblShipments5[[#This Row],[Gateway]], CHAR(10), " ")</f>
        <v xml:space="preserve">AWB No. Gateway Port Gateway EGM No. Gateway EGM Date Gateway Site ID Error Code N.A.  INNSA1  136204  2017-10-03 00:00:00.0  INNSA1  S </v>
      </c>
      <c r="Q44" t="s">
        <v>992</v>
      </c>
    </row>
    <row r="45" spans="1:17" x14ac:dyDescent="0.35">
      <c r="A45" t="s">
        <v>8</v>
      </c>
      <c r="B45">
        <v>8173971</v>
      </c>
      <c r="C45" s="2" t="s">
        <v>380</v>
      </c>
      <c r="D45" s="2" t="str">
        <f>LEFT(TRIM(MID(SUBSTITUTE(tblShipments5[[#This Row],[Details]],CHAR(10)," "), FIND(CHAR(10),tblShipments5[[#This Row],[Details]])+1, 50)), 10)</f>
        <v>0504038966</v>
      </c>
      <c r="E45" t="s">
        <v>397</v>
      </c>
      <c r="F4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5" t="str">
        <f>IF(tblShipments5[[#This Row],[EGM no]]="", "Missing EGM", "EGM Submitted")</f>
        <v>EGM Submitted</v>
      </c>
      <c r="H45" t="str">
        <f>IF(OR(ISNUMBER(SEARCH("Released",tblShipments5[[#This Row],[ROSL]])),
      ISNUMBER(SEARCH("Scroll",tblShipments5[[#This Row],[ROSL]])),
      ISNUMBER(SEARCH("Y",tblShipments5[[#This Row],[ROSL]]))),
   "Released",
   "Not Released")</f>
        <v>Released</v>
      </c>
      <c r="I45" t="str">
        <f>IF(OR(tblShipments5[[#This Row],[EGM no]]="", tblShipments5[[#This Row],[EGM no]]="N.A."), "Not Submitted", "Submitted")</f>
        <v>Submitted</v>
      </c>
      <c r="J45" t="str">
        <f>IF(LEFT(tblShipments5[[#This Row],[Gateway_Extracted]],2)="IN","Valid","Invalid")</f>
        <v>Valid</v>
      </c>
      <c r="K45" t="s">
        <v>317</v>
      </c>
      <c r="L45" t="s">
        <v>398</v>
      </c>
      <c r="M45" t="s">
        <v>13</v>
      </c>
      <c r="N45" t="s">
        <v>399</v>
      </c>
      <c r="O45" t="str">
        <f>IFERROR("IN" &amp; _xlfn.TEXTBEFORE(_xlfn.TEXTAFTER(UPPER(tblShipments5[[#This Row],[Gateway_clean]]),"IN")," ",1),"")</f>
        <v>INMUN1</v>
      </c>
      <c r="P45" t="str">
        <f>SUBSTITUTE(tblShipments5[[#This Row],[Gateway]], CHAR(10), " ")</f>
        <v xml:space="preserve">AWB No. Gateway Port Gateway EGM No. Gateway EGM Date Gateway Site ID Error Code N.A.  INMUN1  134487  2017-09-04 00:00:00.0  INMUN1  S </v>
      </c>
      <c r="Q45" t="s">
        <v>400</v>
      </c>
    </row>
    <row r="46" spans="1:17" x14ac:dyDescent="0.35">
      <c r="A46" t="s">
        <v>8</v>
      </c>
      <c r="B46">
        <v>9626392</v>
      </c>
      <c r="C46" s="2" t="s">
        <v>1127</v>
      </c>
      <c r="D46" s="2" t="str">
        <f>LEFT(TRIM(MID(SUBSTITUTE(tblShipments5[[#This Row],[Details]],CHAR(10)," "), FIND(CHAR(10),tblShipments5[[#This Row],[Details]])+1, 50)), 10)</f>
        <v>0504038966</v>
      </c>
      <c r="E46" t="s">
        <v>1128</v>
      </c>
      <c r="F4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6" t="str">
        <f>IF(tblShipments5[[#This Row],[EGM no]]="", "Missing EGM", "EGM Submitted")</f>
        <v>EGM Submitted</v>
      </c>
      <c r="H46" t="str">
        <f>IF(OR(ISNUMBER(SEARCH("Released",tblShipments5[[#This Row],[ROSL]])),
      ISNUMBER(SEARCH("Scroll",tblShipments5[[#This Row],[ROSL]])),
      ISNUMBER(SEARCH("Y",tblShipments5[[#This Row],[ROSL]]))),
   "Released",
   "Not Released")</f>
        <v>Released</v>
      </c>
      <c r="I46" t="str">
        <f>IF(OR(tblShipments5[[#This Row],[EGM no]]="", tblShipments5[[#This Row],[EGM no]]="N.A."), "Not Submitted", "Submitted")</f>
        <v>Submitted</v>
      </c>
      <c r="J46" t="str">
        <f>IF(LEFT(tblShipments5[[#This Row],[Gateway_Extracted]],2)="IN","Valid","Invalid")</f>
        <v>Valid</v>
      </c>
      <c r="K46" t="s">
        <v>1129</v>
      </c>
      <c r="L46" t="s">
        <v>1130</v>
      </c>
      <c r="M46" t="s">
        <v>13</v>
      </c>
      <c r="N46" t="s">
        <v>1131</v>
      </c>
      <c r="O46" t="str">
        <f>IFERROR("IN" &amp; _xlfn.TEXTBEFORE(_xlfn.TEXTAFTER(UPPER(tblShipments5[[#This Row],[Gateway_clean]]),"IN")," ",1),"")</f>
        <v>INNSA1</v>
      </c>
      <c r="P46" t="str">
        <f>SUBSTITUTE(tblShipments5[[#This Row],[Gateway]], CHAR(10), " ")</f>
        <v xml:space="preserve">AWB No. Gateway Port Gateway EGM No. Gateway EGM Date Gateway Site ID Error Code N.A.  INNSA1  137889  2017-10-31 00:00:00.0  INNSA1  S </v>
      </c>
      <c r="Q46" t="s">
        <v>1132</v>
      </c>
    </row>
    <row r="47" spans="1:17" x14ac:dyDescent="0.35">
      <c r="A47" t="s">
        <v>8</v>
      </c>
      <c r="B47">
        <v>1349436</v>
      </c>
      <c r="C47" s="2" t="s">
        <v>1415</v>
      </c>
      <c r="D47" s="2" t="str">
        <f>LEFT(TRIM(MID(SUBSTITUTE(tblShipments5[[#This Row],[Details]],CHAR(10)," "), FIND(CHAR(10),tblShipments5[[#This Row],[Details]])+1, 50)), 10)</f>
        <v>0504019392</v>
      </c>
      <c r="E47" t="s">
        <v>1422</v>
      </c>
      <c r="F4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7" t="str">
        <f>IF(tblShipments5[[#This Row],[EGM no]]="", "Missing EGM", "EGM Submitted")</f>
        <v>EGM Submitted</v>
      </c>
      <c r="H47" t="str">
        <f>IF(OR(ISNUMBER(SEARCH("Released",tblShipments5[[#This Row],[ROSL]])),
      ISNUMBER(SEARCH("Scroll",tblShipments5[[#This Row],[ROSL]])),
      ISNUMBER(SEARCH("Y",tblShipments5[[#This Row],[ROSL]]))),
   "Released",
   "Not Released")</f>
        <v>Released</v>
      </c>
      <c r="I47" t="str">
        <f>IF(OR(tblShipments5[[#This Row],[EGM no]]="", tblShipments5[[#This Row],[EGM no]]="N.A."), "Not Submitted", "Submitted")</f>
        <v>Submitted</v>
      </c>
      <c r="J47" t="str">
        <f>IF(LEFT(tblShipments5[[#This Row],[Gateway_Extracted]],2)="IN","Valid","Invalid")</f>
        <v>Valid</v>
      </c>
      <c r="K47" t="s">
        <v>1379</v>
      </c>
      <c r="L47" t="s">
        <v>1423</v>
      </c>
      <c r="M47" t="s">
        <v>13</v>
      </c>
      <c r="N47" t="s">
        <v>1424</v>
      </c>
      <c r="O47" t="str">
        <f>IFERROR("IN" &amp; _xlfn.TEXTBEFORE(_xlfn.TEXTAFTER(UPPER(tblShipments5[[#This Row],[Gateway_clean]]),"IN")," ",1),"")</f>
        <v>INNSA1</v>
      </c>
      <c r="P47" t="str">
        <f>SUBSTITUTE(tblShipments5[[#This Row],[Gateway]], CHAR(10), " ")</f>
        <v xml:space="preserve">AWB No. Gateway Port Gateway EGM No. Gateway EGM Date Gateway Site ID Error Code N.A.  INNSA1  140472  2017-12-12 00:00:00.0  INNSA1  S </v>
      </c>
      <c r="Q47" t="s">
        <v>1425</v>
      </c>
    </row>
    <row r="48" spans="1:17" x14ac:dyDescent="0.35">
      <c r="A48" t="s">
        <v>8</v>
      </c>
      <c r="B48">
        <v>1206147</v>
      </c>
      <c r="C48" s="2" t="s">
        <v>1314</v>
      </c>
      <c r="D48" s="2" t="str">
        <f>LEFT(TRIM(MID(SUBSTITUTE(tblShipments5[[#This Row],[Details]],CHAR(10)," "), FIND(CHAR(10),tblShipments5[[#This Row],[Details]])+1, 50)), 10)</f>
        <v>0510019439</v>
      </c>
      <c r="E48" t="s">
        <v>1315</v>
      </c>
      <c r="F4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8" t="str">
        <f>IF(tblShipments5[[#This Row],[EGM no]]="", "Missing EGM", "EGM Submitted")</f>
        <v>EGM Submitted</v>
      </c>
      <c r="H48" t="str">
        <f>IF(OR(ISNUMBER(SEARCH("Released",tblShipments5[[#This Row],[ROSL]])),
      ISNUMBER(SEARCH("Scroll",tblShipments5[[#This Row],[ROSL]])),
      ISNUMBER(SEARCH("Y",tblShipments5[[#This Row],[ROSL]]))),
   "Released",
   "Not Released")</f>
        <v>Released</v>
      </c>
      <c r="I48" t="str">
        <f>IF(OR(tblShipments5[[#This Row],[EGM no]]="", tblShipments5[[#This Row],[EGM no]]="N.A."), "Not Submitted", "Submitted")</f>
        <v>Submitted</v>
      </c>
      <c r="J48" t="str">
        <f>IF(LEFT(tblShipments5[[#This Row],[Gateway_Extracted]],2)="IN","Valid","Invalid")</f>
        <v>Valid</v>
      </c>
      <c r="K48" t="s">
        <v>1316</v>
      </c>
      <c r="L48" t="s">
        <v>1317</v>
      </c>
      <c r="M48" t="s">
        <v>31</v>
      </c>
      <c r="N48" t="s">
        <v>1318</v>
      </c>
      <c r="O48" t="str">
        <f>IFERROR("IN" &amp; _xlfn.TEXTBEFORE(_xlfn.TEXTAFTER(UPPER(tblShipments5[[#This Row],[Gateway_clean]]),"IN")," ",1),"")</f>
        <v>INMUN1</v>
      </c>
      <c r="P48" t="str">
        <f>SUBSTITUTE(tblShipments5[[#This Row],[Gateway]], CHAR(10), " ")</f>
        <v xml:space="preserve">AWB No. Gateway Port Gateway EGM No. Gateway EGM Date Gateway Site ID Error Code N.A.  INMUN1  141045  2017-12-20 00:00:00.0  INMUN1  S </v>
      </c>
      <c r="Q48" t="s">
        <v>1319</v>
      </c>
    </row>
    <row r="49" spans="1:17" x14ac:dyDescent="0.35">
      <c r="A49" t="s">
        <v>8</v>
      </c>
      <c r="B49">
        <v>1487575</v>
      </c>
      <c r="C49" s="2" t="s">
        <v>1485</v>
      </c>
      <c r="D49" s="2" t="str">
        <f>LEFT(TRIM(MID(SUBSTITUTE(tblShipments5[[#This Row],[Details]],CHAR(10)," "), FIND(CHAR(10),tblShipments5[[#This Row],[Details]])+1, 50)), 10)</f>
        <v>0595008844</v>
      </c>
      <c r="E49" t="s">
        <v>1491</v>
      </c>
      <c r="F4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49" t="str">
        <f>IF(tblShipments5[[#This Row],[EGM no]]="", "Missing EGM", "EGM Submitted")</f>
        <v>EGM Submitted</v>
      </c>
      <c r="H49" t="str">
        <f>IF(OR(ISNUMBER(SEARCH("Released",tblShipments5[[#This Row],[ROSL]])),
      ISNUMBER(SEARCH("Scroll",tblShipments5[[#This Row],[ROSL]])),
      ISNUMBER(SEARCH("Y",tblShipments5[[#This Row],[ROSL]]))),
   "Released",
   "Not Released")</f>
        <v>Released</v>
      </c>
      <c r="I49" t="str">
        <f>IF(OR(tblShipments5[[#This Row],[EGM no]]="", tblShipments5[[#This Row],[EGM no]]="N.A."), "Not Submitted", "Submitted")</f>
        <v>Submitted</v>
      </c>
      <c r="J49" t="str">
        <f>IF(LEFT(tblShipments5[[#This Row],[Gateway_Extracted]],2)="IN","Valid","Invalid")</f>
        <v>Valid</v>
      </c>
      <c r="K49" t="s">
        <v>1492</v>
      </c>
      <c r="L49" t="s">
        <v>1493</v>
      </c>
      <c r="M49" t="s">
        <v>13</v>
      </c>
      <c r="N49" t="s">
        <v>1494</v>
      </c>
      <c r="O49" t="str">
        <f>IFERROR("IN" &amp; _xlfn.TEXTBEFORE(_xlfn.TEXTAFTER(UPPER(tblShipments5[[#This Row],[Gateway_clean]]),"IN")," ",1),"")</f>
        <v>INMUN1</v>
      </c>
      <c r="P49" t="str">
        <f>SUBSTITUTE(tblShipments5[[#This Row],[Gateway]], CHAR(10), " ")</f>
        <v xml:space="preserve">AWB No. Gateway Port Gateway EGM No. Gateway EGM Date Gateway Site ID Error Code N.A.  INMUN1  140930  2017-12-19 00:00:00.0  INMUN1  S </v>
      </c>
      <c r="Q49" t="s">
        <v>1495</v>
      </c>
    </row>
    <row r="50" spans="1:17" x14ac:dyDescent="0.35">
      <c r="A50" t="s">
        <v>8</v>
      </c>
      <c r="B50">
        <v>9226280</v>
      </c>
      <c r="C50" s="2" t="s">
        <v>993</v>
      </c>
      <c r="D50" s="2" t="str">
        <f>LEFT(TRIM(MID(SUBSTITUTE(tblShipments5[[#This Row],[Details]],CHAR(10)," "), FIND(CHAR(10),tblShipments5[[#This Row],[Details]])+1, 50)), 10)</f>
        <v>0592023052</v>
      </c>
      <c r="E50" t="s">
        <v>1003</v>
      </c>
      <c r="F5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0" t="str">
        <f>IF(tblShipments5[[#This Row],[EGM no]]="", "Missing EGM", "EGM Submitted")</f>
        <v>EGM Submitted</v>
      </c>
      <c r="H50" t="str">
        <f>IF(OR(ISNUMBER(SEARCH("Released",tblShipments5[[#This Row],[ROSL]])),
      ISNUMBER(SEARCH("Scroll",tblShipments5[[#This Row],[ROSL]])),
      ISNUMBER(SEARCH("Y",tblShipments5[[#This Row],[ROSL]]))),
   "Released",
   "Not Released")</f>
        <v>Released</v>
      </c>
      <c r="I50" t="str">
        <f>IF(OR(tblShipments5[[#This Row],[EGM no]]="", tblShipments5[[#This Row],[EGM no]]="N.A."), "Not Submitted", "Submitted")</f>
        <v>Submitted</v>
      </c>
      <c r="J50" t="str">
        <f>IF(LEFT(tblShipments5[[#This Row],[Gateway_Extracted]],2)="IN","Valid","Invalid")</f>
        <v>Valid</v>
      </c>
      <c r="K50" t="s">
        <v>1004</v>
      </c>
      <c r="L50" t="s">
        <v>1005</v>
      </c>
      <c r="M50" t="s">
        <v>13</v>
      </c>
      <c r="N50" t="s">
        <v>1006</v>
      </c>
      <c r="O50" t="str">
        <f>IFERROR("IN" &amp; _xlfn.TEXTBEFORE(_xlfn.TEXTAFTER(UPPER(tblShipments5[[#This Row],[Gateway_clean]]),"IN")," ",1),"")</f>
        <v>INNSA1</v>
      </c>
      <c r="P50" t="str">
        <f>SUBSTITUTE(tblShipments5[[#This Row],[Gateway]], CHAR(10), " ")</f>
        <v xml:space="preserve">AWB No. Gateway Port Gateway EGM No. Gateway EGM Date Gateway Site ID Error Code N.A.  INNSA1  138138  2017-11-03 00:00:00.0  INNSA1  C </v>
      </c>
      <c r="Q50" t="s">
        <v>1007</v>
      </c>
    </row>
    <row r="51" spans="1:17" x14ac:dyDescent="0.35">
      <c r="A51" t="s">
        <v>8</v>
      </c>
      <c r="B51">
        <v>9474719</v>
      </c>
      <c r="C51" s="2" t="s">
        <v>1055</v>
      </c>
      <c r="D51" s="2" t="str">
        <f>LEFT(TRIM(MID(SUBSTITUTE(tblShipments5[[#This Row],[Details]],CHAR(10)," "), FIND(CHAR(10),tblShipments5[[#This Row],[Details]])+1, 50)), 10)</f>
        <v>0512076341</v>
      </c>
      <c r="E51" t="s">
        <v>1056</v>
      </c>
      <c r="F5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1" t="str">
        <f>IF(tblShipments5[[#This Row],[EGM no]]="", "Missing EGM", "EGM Submitted")</f>
        <v>EGM Submitted</v>
      </c>
      <c r="H51" t="str">
        <f>IF(OR(ISNUMBER(SEARCH("Released",tblShipments5[[#This Row],[ROSL]])),
      ISNUMBER(SEARCH("Scroll",tblShipments5[[#This Row],[ROSL]])),
      ISNUMBER(SEARCH("Y",tblShipments5[[#This Row],[ROSL]]))),
   "Released",
   "Not Released")</f>
        <v>Released</v>
      </c>
      <c r="I51" t="str">
        <f>IF(OR(tblShipments5[[#This Row],[EGM no]]="", tblShipments5[[#This Row],[EGM no]]="N.A."), "Not Submitted", "Submitted")</f>
        <v>Submitted</v>
      </c>
      <c r="J51" t="str">
        <f>IF(LEFT(tblShipments5[[#This Row],[Gateway_Extracted]],2)="IN","Valid","Invalid")</f>
        <v>Valid</v>
      </c>
      <c r="K51" t="s">
        <v>1057</v>
      </c>
      <c r="L51" t="s">
        <v>1058</v>
      </c>
      <c r="M51" t="s">
        <v>13</v>
      </c>
      <c r="N51" t="s">
        <v>1059</v>
      </c>
      <c r="O51" t="str">
        <f>IFERROR("IN" &amp; _xlfn.TEXTBEFORE(_xlfn.TEXTAFTER(UPPER(tblShipments5[[#This Row],[Gateway_clean]]),"IN")," ",1),"")</f>
        <v>INMUN1</v>
      </c>
      <c r="P51" t="str">
        <f>SUBSTITUTE(tblShipments5[[#This Row],[Gateway]], CHAR(10), " ")</f>
        <v xml:space="preserve">AWB No. Gateway Port Gateway EGM No. Gateway EGM Date Gateway Site ID Error Code N.A.  INMUN1  137953  2017-11-01 00:00:00.0  INMUN1  S </v>
      </c>
      <c r="Q51" t="s">
        <v>1060</v>
      </c>
    </row>
    <row r="52" spans="1:17" x14ac:dyDescent="0.35">
      <c r="A52" t="s">
        <v>8</v>
      </c>
      <c r="B52">
        <v>8263241</v>
      </c>
      <c r="C52" s="2" t="s">
        <v>467</v>
      </c>
      <c r="D52" s="2" t="str">
        <f>LEFT(TRIM(MID(SUBSTITUTE(tblShipments5[[#This Row],[Details]],CHAR(10)," "), FIND(CHAR(10),tblShipments5[[#This Row],[Details]])+1, 50)), 10)</f>
        <v>0592023052</v>
      </c>
      <c r="E52" t="s">
        <v>476</v>
      </c>
      <c r="F5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2" t="str">
        <f>IF(tblShipments5[[#This Row],[EGM no]]="", "Missing EGM", "EGM Submitted")</f>
        <v>EGM Submitted</v>
      </c>
      <c r="H52" t="str">
        <f>IF(OR(ISNUMBER(SEARCH("Released",tblShipments5[[#This Row],[ROSL]])),
      ISNUMBER(SEARCH("Scroll",tblShipments5[[#This Row],[ROSL]])),
      ISNUMBER(SEARCH("Y",tblShipments5[[#This Row],[ROSL]]))),
   "Released",
   "Not Released")</f>
        <v>Released</v>
      </c>
      <c r="I52" t="str">
        <f>IF(OR(tblShipments5[[#This Row],[EGM no]]="", tblShipments5[[#This Row],[EGM no]]="N.A."), "Not Submitted", "Submitted")</f>
        <v>Submitted</v>
      </c>
      <c r="J52" t="str">
        <f>IF(LEFT(tblShipments5[[#This Row],[Gateway_Extracted]],2)="IN","Valid","Invalid")</f>
        <v>Valid</v>
      </c>
      <c r="K52" t="s">
        <v>473</v>
      </c>
      <c r="L52" t="s">
        <v>477</v>
      </c>
      <c r="M52" t="s">
        <v>13</v>
      </c>
      <c r="N52" t="s">
        <v>478</v>
      </c>
      <c r="O52" t="str">
        <f>IFERROR("IN" &amp; _xlfn.TEXTBEFORE(_xlfn.TEXTAFTER(UPPER(tblShipments5[[#This Row],[Gateway_clean]]),"IN")," ",1),"")</f>
        <v>INNSA1</v>
      </c>
      <c r="P52" t="str">
        <f>SUBSTITUTE(tblShipments5[[#This Row],[Gateway]], CHAR(10), " ")</f>
        <v xml:space="preserve">AWB No. Gateway Port Gateway EGM No. Gateway EGM Date Gateway Site ID Error Code N.A.  INNSA1  N.A.  N.A.  N.A.  N.A. </v>
      </c>
      <c r="Q52" t="s">
        <v>26</v>
      </c>
    </row>
    <row r="53" spans="1:17" x14ac:dyDescent="0.35">
      <c r="A53" t="s">
        <v>8</v>
      </c>
      <c r="B53">
        <v>8466834</v>
      </c>
      <c r="C53" s="2" t="s">
        <v>590</v>
      </c>
      <c r="D53" s="2" t="str">
        <f>LEFT(TRIM(MID(SUBSTITUTE(tblShipments5[[#This Row],[Details]],CHAR(10)," "), FIND(CHAR(10),tblShipments5[[#This Row],[Details]])+1, 50)), 10)</f>
        <v>0592023052</v>
      </c>
      <c r="E53" t="s">
        <v>603</v>
      </c>
      <c r="F5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3" t="str">
        <f>IF(tblShipments5[[#This Row],[EGM no]]="", "Missing EGM", "EGM Submitted")</f>
        <v>EGM Submitted</v>
      </c>
      <c r="H53" t="str">
        <f>IF(OR(ISNUMBER(SEARCH("Released",tblShipments5[[#This Row],[ROSL]])),
      ISNUMBER(SEARCH("Scroll",tblShipments5[[#This Row],[ROSL]])),
      ISNUMBER(SEARCH("Y",tblShipments5[[#This Row],[ROSL]]))),
   "Released",
   "Not Released")</f>
        <v>Released</v>
      </c>
      <c r="I53" t="str">
        <f>IF(OR(tblShipments5[[#This Row],[EGM no]]="", tblShipments5[[#This Row],[EGM no]]="N.A."), "Not Submitted", "Submitted")</f>
        <v>Submitted</v>
      </c>
      <c r="J53" t="str">
        <f>IF(LEFT(tblShipments5[[#This Row],[Gateway_Extracted]],2)="IN","Valid","Invalid")</f>
        <v>Valid</v>
      </c>
      <c r="K53" t="s">
        <v>528</v>
      </c>
      <c r="L53" t="s">
        <v>604</v>
      </c>
      <c r="M53" t="s">
        <v>13</v>
      </c>
      <c r="N53" t="s">
        <v>605</v>
      </c>
      <c r="O53" t="str">
        <f>IFERROR("IN" &amp; _xlfn.TEXTBEFORE(_xlfn.TEXTAFTER(UPPER(tblShipments5[[#This Row],[Gateway_clean]]),"IN")," ",1),"")</f>
        <v>INNSA1</v>
      </c>
      <c r="P53" t="str">
        <f>SUBSTITUTE(tblShipments5[[#This Row],[Gateway]], CHAR(10), " ")</f>
        <v xml:space="preserve">AWB No. Gateway Port Gateway EGM No. Gateway EGM Date Gateway Site ID Error Code N.A.  INNSA1  134474  2017-09-04 00:00:00.0  INNSA1  S </v>
      </c>
      <c r="Q53" t="s">
        <v>606</v>
      </c>
    </row>
    <row r="54" spans="1:17" x14ac:dyDescent="0.35">
      <c r="A54" t="s">
        <v>8</v>
      </c>
      <c r="B54">
        <v>9535945</v>
      </c>
      <c r="C54" s="2" t="s">
        <v>1072</v>
      </c>
      <c r="D54" s="2" t="str">
        <f>LEFT(TRIM(MID(SUBSTITUTE(tblShipments5[[#This Row],[Details]],CHAR(10)," "), FIND(CHAR(10),tblShipments5[[#This Row],[Details]])+1, 50)), 10)</f>
        <v>0592023052</v>
      </c>
      <c r="E54" t="s">
        <v>1083</v>
      </c>
      <c r="F5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4" t="str">
        <f>IF(tblShipments5[[#This Row],[EGM no]]="", "Missing EGM", "EGM Submitted")</f>
        <v>EGM Submitted</v>
      </c>
      <c r="H54" t="str">
        <f>IF(OR(ISNUMBER(SEARCH("Released",tblShipments5[[#This Row],[ROSL]])),
      ISNUMBER(SEARCH("Scroll",tblShipments5[[#This Row],[ROSL]])),
      ISNUMBER(SEARCH("Y",tblShipments5[[#This Row],[ROSL]]))),
   "Released",
   "Not Released")</f>
        <v>Released</v>
      </c>
      <c r="I54" t="str">
        <f>IF(OR(tblShipments5[[#This Row],[EGM no]]="", tblShipments5[[#This Row],[EGM no]]="N.A."), "Not Submitted", "Submitted")</f>
        <v>Submitted</v>
      </c>
      <c r="J54" t="str">
        <f>IF(LEFT(tblShipments5[[#This Row],[Gateway_Extracted]],2)="IN","Valid","Invalid")</f>
        <v>Valid</v>
      </c>
      <c r="K54" t="s">
        <v>1024</v>
      </c>
      <c r="L54" t="s">
        <v>1084</v>
      </c>
      <c r="M54" t="s">
        <v>13</v>
      </c>
      <c r="N54" t="s">
        <v>1085</v>
      </c>
      <c r="O54" t="str">
        <f>IFERROR("IN" &amp; _xlfn.TEXTBEFORE(_xlfn.TEXTAFTER(UPPER(tblShipments5[[#This Row],[Gateway_clean]]),"IN")," ",1),"")</f>
        <v>INNSA1</v>
      </c>
      <c r="P54" t="str">
        <f>SUBSTITUTE(tblShipments5[[#This Row],[Gateway]], CHAR(10), " ")</f>
        <v xml:space="preserve">AWB No. Gateway Port Gateway EGM No. Gateway EGM Date Gateway Site ID Error Code N.A.  INNSA1  137969  2017-11-01 00:00:00.0  INNSA1  C </v>
      </c>
      <c r="Q54" t="s">
        <v>1086</v>
      </c>
    </row>
    <row r="55" spans="1:17" x14ac:dyDescent="0.35">
      <c r="A55" t="s">
        <v>8</v>
      </c>
      <c r="B55">
        <v>7795473</v>
      </c>
      <c r="C55" s="2" t="s">
        <v>153</v>
      </c>
      <c r="D55" s="2" t="str">
        <f>LEFT(TRIM(MID(SUBSTITUTE(tblShipments5[[#This Row],[Details]],CHAR(10)," "), FIND(CHAR(10),tblShipments5[[#This Row],[Details]])+1, 50)), 10)</f>
        <v>0592023052</v>
      </c>
      <c r="E55" t="s">
        <v>163</v>
      </c>
      <c r="F5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5" t="str">
        <f>IF(tblShipments5[[#This Row],[EGM no]]="", "Missing EGM", "EGM Submitted")</f>
        <v>EGM Submitted</v>
      </c>
      <c r="H55" t="str">
        <f>IF(OR(ISNUMBER(SEARCH("Released",tblShipments5[[#This Row],[ROSL]])),
      ISNUMBER(SEARCH("Scroll",tblShipments5[[#This Row],[ROSL]])),
      ISNUMBER(SEARCH("Y",tblShipments5[[#This Row],[ROSL]]))),
   "Released",
   "Not Released")</f>
        <v>Released</v>
      </c>
      <c r="I55" t="str">
        <f>IF(OR(tblShipments5[[#This Row],[EGM no]]="", tblShipments5[[#This Row],[EGM no]]="N.A."), "Not Submitted", "Submitted")</f>
        <v>Submitted</v>
      </c>
      <c r="J55" t="str">
        <f>IF(LEFT(tblShipments5[[#This Row],[Gateway_Extracted]],2)="IN","Valid","Invalid")</f>
        <v>Valid</v>
      </c>
      <c r="K55" t="s">
        <v>164</v>
      </c>
      <c r="L55" t="s">
        <v>165</v>
      </c>
      <c r="M55" t="s">
        <v>13</v>
      </c>
      <c r="N55" t="s">
        <v>166</v>
      </c>
      <c r="O55" t="str">
        <f>IFERROR("IN" &amp; _xlfn.TEXTBEFORE(_xlfn.TEXTAFTER(UPPER(tblShipments5[[#This Row],[Gateway_clean]]),"IN")," ",1),"")</f>
        <v>INPAV1</v>
      </c>
      <c r="P55" t="str">
        <f>SUBSTITUTE(tblShipments5[[#This Row],[Gateway]], CHAR(10), " ")</f>
        <v xml:space="preserve">AWB No. Gateway Port Gateway EGM No. Gateway EGM Date Gateway Site ID Error Code N.A.  INPAV1  132205  2017-07-26 00:00:00.0  INPAV1  S </v>
      </c>
      <c r="Q55" t="s">
        <v>167</v>
      </c>
    </row>
    <row r="56" spans="1:17" x14ac:dyDescent="0.35">
      <c r="A56" t="s">
        <v>8</v>
      </c>
      <c r="B56">
        <v>7835799</v>
      </c>
      <c r="C56" s="2" t="s">
        <v>191</v>
      </c>
      <c r="D56" s="2" t="str">
        <f>LEFT(TRIM(MID(SUBSTITUTE(tblShipments5[[#This Row],[Details]],CHAR(10)," "), FIND(CHAR(10),tblShipments5[[#This Row],[Details]])+1, 50)), 10)</f>
        <v>0592023052</v>
      </c>
      <c r="E56" t="s">
        <v>192</v>
      </c>
      <c r="F5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6" t="str">
        <f>IF(tblShipments5[[#This Row],[EGM no]]="", "Missing EGM", "EGM Submitted")</f>
        <v>EGM Submitted</v>
      </c>
      <c r="H56" t="str">
        <f>IF(OR(ISNUMBER(SEARCH("Released",tblShipments5[[#This Row],[ROSL]])),
      ISNUMBER(SEARCH("Scroll",tblShipments5[[#This Row],[ROSL]])),
      ISNUMBER(SEARCH("Y",tblShipments5[[#This Row],[ROSL]]))),
   "Released",
   "Not Released")</f>
        <v>Released</v>
      </c>
      <c r="I56" t="str">
        <f>IF(OR(tblShipments5[[#This Row],[EGM no]]="", tblShipments5[[#This Row],[EGM no]]="N.A."), "Not Submitted", "Submitted")</f>
        <v>Submitted</v>
      </c>
      <c r="J56" t="str">
        <f>IF(LEFT(tblShipments5[[#This Row],[Gateway_Extracted]],2)="IN","Valid","Invalid")</f>
        <v>Valid</v>
      </c>
      <c r="K56" t="s">
        <v>169</v>
      </c>
      <c r="L56" t="s">
        <v>193</v>
      </c>
      <c r="M56" t="s">
        <v>13</v>
      </c>
      <c r="N56" t="s">
        <v>194</v>
      </c>
      <c r="O56" t="str">
        <f>IFERROR("IN" &amp; _xlfn.TEXTBEFORE(_xlfn.TEXTAFTER(UPPER(tblShipments5[[#This Row],[Gateway_clean]]),"IN")," ",1),"")</f>
        <v>INNSA1</v>
      </c>
      <c r="P56" t="str">
        <f>SUBSTITUTE(tblShipments5[[#This Row],[Gateway]], CHAR(10), " ")</f>
        <v xml:space="preserve">AWB No. Gateway Port Gateway EGM No. Gateway EGM Date Gateway Site ID Error Code N.A.  INNSA1  N.A.  N.A.  N.A.  N.A. </v>
      </c>
      <c r="Q56" t="s">
        <v>26</v>
      </c>
    </row>
    <row r="57" spans="1:17" x14ac:dyDescent="0.35">
      <c r="A57" t="s">
        <v>8</v>
      </c>
      <c r="B57">
        <v>8338839</v>
      </c>
      <c r="C57" s="2" t="s">
        <v>498</v>
      </c>
      <c r="D57" s="2" t="str">
        <f>LEFT(TRIM(MID(SUBSTITUTE(tblShipments5[[#This Row],[Details]],CHAR(10)," "), FIND(CHAR(10),tblShipments5[[#This Row],[Details]])+1, 50)), 10)</f>
        <v>0592023052</v>
      </c>
      <c r="E57" t="s">
        <v>522</v>
      </c>
      <c r="F5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7" t="str">
        <f>IF(tblShipments5[[#This Row],[EGM no]]="", "Missing EGM", "EGM Submitted")</f>
        <v>EGM Submitted</v>
      </c>
      <c r="H57" t="str">
        <f>IF(OR(ISNUMBER(SEARCH("Released",tblShipments5[[#This Row],[ROSL]])),
      ISNUMBER(SEARCH("Scroll",tblShipments5[[#This Row],[ROSL]])),
      ISNUMBER(SEARCH("Y",tblShipments5[[#This Row],[ROSL]]))),
   "Released",
   "Not Released")</f>
        <v>Released</v>
      </c>
      <c r="I57" t="str">
        <f>IF(OR(tblShipments5[[#This Row],[EGM no]]="", tblShipments5[[#This Row],[EGM no]]="N.A."), "Not Submitted", "Submitted")</f>
        <v>Submitted</v>
      </c>
      <c r="J57" t="str">
        <f>IF(LEFT(tblShipments5[[#This Row],[Gateway_Extracted]],2)="IN","Valid","Invalid")</f>
        <v>Valid</v>
      </c>
      <c r="K57" t="s">
        <v>523</v>
      </c>
      <c r="L57" t="s">
        <v>524</v>
      </c>
      <c r="M57" t="s">
        <v>13</v>
      </c>
      <c r="N57" t="s">
        <v>525</v>
      </c>
      <c r="O57" t="str">
        <f>IFERROR("IN" &amp; _xlfn.TEXTBEFORE(_xlfn.TEXTAFTER(UPPER(tblShipments5[[#This Row],[Gateway_clean]]),"IN")," ",1),"")</f>
        <v>INPAV1</v>
      </c>
      <c r="P57" t="str">
        <f>SUBSTITUTE(tblShipments5[[#This Row],[Gateway]], CHAR(10), " ")</f>
        <v xml:space="preserve">AWB No. Gateway Port Gateway EGM No. Gateway EGM Date Gateway Site ID Error Code N.A.  INPAV1  134667  2017-09-07 00:00:00.0  INMAA1  MC </v>
      </c>
      <c r="Q57" t="s">
        <v>526</v>
      </c>
    </row>
    <row r="58" spans="1:17" x14ac:dyDescent="0.35">
      <c r="A58" t="s">
        <v>8</v>
      </c>
      <c r="B58">
        <v>1099071</v>
      </c>
      <c r="C58" s="2" t="s">
        <v>1284</v>
      </c>
      <c r="D58" s="2" t="str">
        <f>LEFT(TRIM(MID(SUBSTITUTE(tblShipments5[[#This Row],[Details]],CHAR(10)," "), FIND(CHAR(10),tblShipments5[[#This Row],[Details]])+1, 50)), 10)</f>
        <v>0592023052</v>
      </c>
      <c r="E58" t="s">
        <v>1289</v>
      </c>
      <c r="F5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8" t="str">
        <f>IF(tblShipments5[[#This Row],[EGM no]]="", "Missing EGM", "EGM Submitted")</f>
        <v>EGM Submitted</v>
      </c>
      <c r="H58" t="str">
        <f>IF(OR(ISNUMBER(SEARCH("Released",tblShipments5[[#This Row],[ROSL]])),
      ISNUMBER(SEARCH("Scroll",tblShipments5[[#This Row],[ROSL]])),
      ISNUMBER(SEARCH("Y",tblShipments5[[#This Row],[ROSL]]))),
   "Released",
   "Not Released")</f>
        <v>Released</v>
      </c>
      <c r="I58" t="str">
        <f>IF(OR(tblShipments5[[#This Row],[EGM no]]="", tblShipments5[[#This Row],[EGM no]]="N.A."), "Not Submitted", "Submitted")</f>
        <v>Submitted</v>
      </c>
      <c r="J58" t="str">
        <f>IF(LEFT(tblShipments5[[#This Row],[Gateway_Extracted]],2)="IN","Valid","Invalid")</f>
        <v>Valid</v>
      </c>
      <c r="K58" t="s">
        <v>1263</v>
      </c>
      <c r="L58" t="s">
        <v>1290</v>
      </c>
      <c r="M58" t="s">
        <v>13</v>
      </c>
      <c r="N58" t="s">
        <v>1291</v>
      </c>
      <c r="O58" t="str">
        <f>IFERROR("IN" &amp; _xlfn.TEXTBEFORE(_xlfn.TEXTAFTER(UPPER(tblShipments5[[#This Row],[Gateway_clean]]),"IN")," ",1),"")</f>
        <v>INNSA1</v>
      </c>
      <c r="P58" t="str">
        <f>SUBSTITUTE(tblShipments5[[#This Row],[Gateway]], CHAR(10), " ")</f>
        <v xml:space="preserve">AWB No. Gateway Port Gateway EGM No. Gateway EGM Date Gateway Site ID Error Code N.A.  INNSA1  139301  2017-11-22 00:00:00.0  INNSA1  S </v>
      </c>
      <c r="Q58" t="s">
        <v>1292</v>
      </c>
    </row>
    <row r="59" spans="1:17" x14ac:dyDescent="0.35">
      <c r="A59" t="s">
        <v>8</v>
      </c>
      <c r="B59">
        <v>8140947</v>
      </c>
      <c r="C59" s="2" t="s">
        <v>356</v>
      </c>
      <c r="D59" s="2" t="str">
        <f>LEFT(TRIM(MID(SUBSTITUTE(tblShipments5[[#This Row],[Details]],CHAR(10)," "), FIND(CHAR(10),tblShipments5[[#This Row],[Details]])+1, 50)), 10)</f>
        <v>0592023052</v>
      </c>
      <c r="E59" t="s">
        <v>365</v>
      </c>
      <c r="F5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59" t="str">
        <f>IF(tblShipments5[[#This Row],[EGM no]]="", "Missing EGM", "EGM Submitted")</f>
        <v>EGM Submitted</v>
      </c>
      <c r="H59" t="str">
        <f>IF(OR(ISNUMBER(SEARCH("Released",tblShipments5[[#This Row],[ROSL]])),
      ISNUMBER(SEARCH("Scroll",tblShipments5[[#This Row],[ROSL]])),
      ISNUMBER(SEARCH("Y",tblShipments5[[#This Row],[ROSL]]))),
   "Released",
   "Not Released")</f>
        <v>Released</v>
      </c>
      <c r="I59" t="str">
        <f>IF(OR(tblShipments5[[#This Row],[EGM no]]="", tblShipments5[[#This Row],[EGM no]]="N.A."), "Not Submitted", "Submitted")</f>
        <v>Submitted</v>
      </c>
      <c r="J59" t="str">
        <f>IF(LEFT(tblShipments5[[#This Row],[Gateway_Extracted]],2)="IN","Valid","Invalid")</f>
        <v>Valid</v>
      </c>
      <c r="K59" t="s">
        <v>261</v>
      </c>
      <c r="L59" t="s">
        <v>366</v>
      </c>
      <c r="M59" t="s">
        <v>13</v>
      </c>
      <c r="N59" t="s">
        <v>367</v>
      </c>
      <c r="O59" t="str">
        <f>IFERROR("IN" &amp; _xlfn.TEXTBEFORE(_xlfn.TEXTAFTER(UPPER(tblShipments5[[#This Row],[Gateway_clean]]),"IN")," ",1),"")</f>
        <v>INNSA1</v>
      </c>
      <c r="P59" t="str">
        <f>SUBSTITUTE(tblShipments5[[#This Row],[Gateway]], CHAR(10), " ")</f>
        <v xml:space="preserve">AWB No. Gateway Port Gateway EGM No. Gateway EGM Date Gateway Site ID Error Code N.A.  INNSA1  N.A.  N.A.  N.A.  N.A. </v>
      </c>
      <c r="Q59" t="s">
        <v>26</v>
      </c>
    </row>
    <row r="60" spans="1:17" x14ac:dyDescent="0.35">
      <c r="A60" t="s">
        <v>8</v>
      </c>
      <c r="B60">
        <v>7924066</v>
      </c>
      <c r="C60" s="2" t="s">
        <v>239</v>
      </c>
      <c r="D60" s="2" t="str">
        <f>LEFT(TRIM(MID(SUBSTITUTE(tblShipments5[[#This Row],[Details]],CHAR(10)," "), FIND(CHAR(10),tblShipments5[[#This Row],[Details]])+1, 50)), 10)</f>
        <v>0595025714</v>
      </c>
      <c r="E60" t="s">
        <v>240</v>
      </c>
      <c r="F6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0" t="str">
        <f>IF(tblShipments5[[#This Row],[EGM no]]="", "Missing EGM", "EGM Submitted")</f>
        <v>EGM Submitted</v>
      </c>
      <c r="H60" t="str">
        <f>IF(OR(ISNUMBER(SEARCH("Released",tblShipments5[[#This Row],[ROSL]])),
      ISNUMBER(SEARCH("Scroll",tblShipments5[[#This Row],[ROSL]])),
      ISNUMBER(SEARCH("Y",tblShipments5[[#This Row],[ROSL]]))),
   "Released",
   "Not Released")</f>
        <v>Released</v>
      </c>
      <c r="I60" t="str">
        <f>IF(OR(tblShipments5[[#This Row],[EGM no]]="", tblShipments5[[#This Row],[EGM no]]="N.A."), "Not Submitted", "Submitted")</f>
        <v>Submitted</v>
      </c>
      <c r="J60" t="str">
        <f>IF(LEFT(tblShipments5[[#This Row],[Gateway_Extracted]],2)="IN","Valid","Invalid")</f>
        <v>Valid</v>
      </c>
      <c r="K60" t="s">
        <v>241</v>
      </c>
      <c r="L60" t="s">
        <v>242</v>
      </c>
      <c r="M60" t="s">
        <v>13</v>
      </c>
      <c r="N60" t="s">
        <v>243</v>
      </c>
      <c r="O60" t="str">
        <f>IFERROR("IN" &amp; _xlfn.TEXTBEFORE(_xlfn.TEXTAFTER(UPPER(tblShipments5[[#This Row],[Gateway_clean]]),"IN")," ",1),"")</f>
        <v>INMUN1</v>
      </c>
      <c r="P60" t="str">
        <f>SUBSTITUTE(tblShipments5[[#This Row],[Gateway]], CHAR(10), " ")</f>
        <v xml:space="preserve">AWB No. Gateway Port Gateway EGM No. Gateway EGM Date Gateway Site ID Error Code N.A.  INMUN1  N.A.  N.A.  N.A.  N.A. </v>
      </c>
      <c r="Q60" t="s">
        <v>244</v>
      </c>
    </row>
    <row r="61" spans="1:17" x14ac:dyDescent="0.35">
      <c r="A61" t="s">
        <v>8</v>
      </c>
      <c r="B61">
        <v>9962305</v>
      </c>
      <c r="C61" s="2" t="s">
        <v>1219</v>
      </c>
      <c r="D61" s="2" t="str">
        <f>LEFT(TRIM(MID(SUBSTITUTE(tblShipments5[[#This Row],[Details]],CHAR(10)," "), FIND(CHAR(10),tblShipments5[[#This Row],[Details]])+1, 50)), 10)</f>
        <v>0588044440</v>
      </c>
      <c r="E61" t="s">
        <v>1224</v>
      </c>
      <c r="F6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1" t="str">
        <f>IF(tblShipments5[[#This Row],[EGM no]]="", "Missing EGM", "EGM Submitted")</f>
        <v>EGM Submitted</v>
      </c>
      <c r="H61" t="str">
        <f>IF(OR(ISNUMBER(SEARCH("Released",tblShipments5[[#This Row],[ROSL]])),
      ISNUMBER(SEARCH("Scroll",tblShipments5[[#This Row],[ROSL]])),
      ISNUMBER(SEARCH("Y",tblShipments5[[#This Row],[ROSL]]))),
   "Released",
   "Not Released")</f>
        <v>Released</v>
      </c>
      <c r="I61" t="str">
        <f>IF(OR(tblShipments5[[#This Row],[EGM no]]="", tblShipments5[[#This Row],[EGM no]]="N.A."), "Not Submitted", "Submitted")</f>
        <v>Submitted</v>
      </c>
      <c r="J61" t="str">
        <f>IF(LEFT(tblShipments5[[#This Row],[Gateway_Extracted]],2)="IN","Valid","Invalid")</f>
        <v>Valid</v>
      </c>
      <c r="K61" t="s">
        <v>1225</v>
      </c>
      <c r="L61" t="s">
        <v>1226</v>
      </c>
      <c r="M61" t="s">
        <v>13</v>
      </c>
      <c r="N61" t="s">
        <v>1227</v>
      </c>
      <c r="O61" t="str">
        <f>IFERROR("IN" &amp; _xlfn.TEXTBEFORE(_xlfn.TEXTAFTER(UPPER(tblShipments5[[#This Row],[Gateway_clean]]),"IN")," ",1),"")</f>
        <v>INNSA1</v>
      </c>
      <c r="P61" t="str">
        <f>SUBSTITUTE(tblShipments5[[#This Row],[Gateway]], CHAR(10), " ")</f>
        <v xml:space="preserve">AWB No. Gateway Port Gateway EGM No. Gateway EGM Date Gateway Site ID Error Code N.A.  INNSA1  N.A.  N.A.  N.A.  N.A. </v>
      </c>
      <c r="Q61" t="s">
        <v>26</v>
      </c>
    </row>
    <row r="62" spans="1:17" x14ac:dyDescent="0.35">
      <c r="A62" t="s">
        <v>8</v>
      </c>
      <c r="B62">
        <v>9962200</v>
      </c>
      <c r="C62" s="2" t="s">
        <v>1219</v>
      </c>
      <c r="D62" s="2" t="str">
        <f>LEFT(TRIM(MID(SUBSTITUTE(tblShipments5[[#This Row],[Details]],CHAR(10)," "), FIND(CHAR(10),tblShipments5[[#This Row],[Details]])+1, 50)), 10)</f>
        <v>0588044440</v>
      </c>
      <c r="E62" t="s">
        <v>1220</v>
      </c>
      <c r="F6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2" t="str">
        <f>IF(tblShipments5[[#This Row],[EGM no]]="", "Missing EGM", "EGM Submitted")</f>
        <v>EGM Submitted</v>
      </c>
      <c r="H62" t="str">
        <f>IF(OR(ISNUMBER(SEARCH("Released",tblShipments5[[#This Row],[ROSL]])),
      ISNUMBER(SEARCH("Scroll",tblShipments5[[#This Row],[ROSL]])),
      ISNUMBER(SEARCH("Y",tblShipments5[[#This Row],[ROSL]]))),
   "Released",
   "Not Released")</f>
        <v>Released</v>
      </c>
      <c r="I62" t="str">
        <f>IF(OR(tblShipments5[[#This Row],[EGM no]]="", tblShipments5[[#This Row],[EGM no]]="N.A."), "Not Submitted", "Submitted")</f>
        <v>Submitted</v>
      </c>
      <c r="J62" t="str">
        <f>IF(LEFT(tblShipments5[[#This Row],[Gateway_Extracted]],2)="IN","Valid","Invalid")</f>
        <v>Valid</v>
      </c>
      <c r="K62" t="s">
        <v>1221</v>
      </c>
      <c r="L62" t="s">
        <v>1222</v>
      </c>
      <c r="M62" t="s">
        <v>13</v>
      </c>
      <c r="N62" t="s">
        <v>1223</v>
      </c>
      <c r="O62" t="str">
        <f>IFERROR("IN" &amp; _xlfn.TEXTBEFORE(_xlfn.TEXTAFTER(UPPER(tblShipments5[[#This Row],[Gateway_clean]]),"IN")," ",1),"")</f>
        <v>INNSA1</v>
      </c>
      <c r="P62" t="str">
        <f>SUBSTITUTE(tblShipments5[[#This Row],[Gateway]], CHAR(10), " ")</f>
        <v xml:space="preserve">AWB No. Gateway Port Gateway EGM No. Gateway EGM Date Gateway Site ID Error Code N.A.  INNSA1  N.A.  N.A.  N.A.  N.A. </v>
      </c>
      <c r="Q62" t="s">
        <v>26</v>
      </c>
    </row>
    <row r="63" spans="1:17" x14ac:dyDescent="0.35">
      <c r="A63" t="s">
        <v>8</v>
      </c>
      <c r="B63">
        <v>1071710</v>
      </c>
      <c r="C63" s="2" t="s">
        <v>1251</v>
      </c>
      <c r="D63" s="2" t="str">
        <f>LEFT(TRIM(MID(SUBSTITUTE(tblShipments5[[#This Row],[Details]],CHAR(10)," "), FIND(CHAR(10),tblShipments5[[#This Row],[Details]])+1, 50)), 10)</f>
        <v>3307004344</v>
      </c>
      <c r="E63" t="s">
        <v>1271</v>
      </c>
      <c r="F6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3" t="str">
        <f>IF(tblShipments5[[#This Row],[EGM no]]="", "Missing EGM", "EGM Submitted")</f>
        <v>EGM Submitted</v>
      </c>
      <c r="H63" t="str">
        <f>IF(OR(ISNUMBER(SEARCH("Released",tblShipments5[[#This Row],[ROSL]])),
      ISNUMBER(SEARCH("Scroll",tblShipments5[[#This Row],[ROSL]])),
      ISNUMBER(SEARCH("Y",tblShipments5[[#This Row],[ROSL]]))),
   "Released",
   "Not Released")</f>
        <v>Released</v>
      </c>
      <c r="I63" t="str">
        <f>IF(OR(tblShipments5[[#This Row],[EGM no]]="", tblShipments5[[#This Row],[EGM no]]="N.A."), "Not Submitted", "Submitted")</f>
        <v>Submitted</v>
      </c>
      <c r="J63" t="str">
        <f>IF(LEFT(tblShipments5[[#This Row],[Gateway_Extracted]],2)="IN","Valid","Invalid")</f>
        <v>Valid</v>
      </c>
      <c r="K63" t="s">
        <v>1241</v>
      </c>
      <c r="L63" t="s">
        <v>1272</v>
      </c>
      <c r="M63" t="s">
        <v>13</v>
      </c>
      <c r="N63" t="s">
        <v>1273</v>
      </c>
      <c r="O63" t="str">
        <f>IFERROR("IN" &amp; _xlfn.TEXTBEFORE(_xlfn.TEXTAFTER(UPPER(tblShipments5[[#This Row],[Gateway_clean]]),"IN")," ",1),"")</f>
        <v>INNSA1</v>
      </c>
      <c r="P63" t="str">
        <f>SUBSTITUTE(tblShipments5[[#This Row],[Gateway]], CHAR(10), " ")</f>
        <v xml:space="preserve">AWB No. Gateway Port Gateway EGM No. Gateway EGM Date Gateway Site ID Error Code N.A.  INNSA1  138478  2017-11-09 00:00:00.0  INNSA1  S </v>
      </c>
      <c r="Q63" t="s">
        <v>1274</v>
      </c>
    </row>
    <row r="64" spans="1:17" x14ac:dyDescent="0.35">
      <c r="A64" t="s">
        <v>8</v>
      </c>
      <c r="B64">
        <v>8661641</v>
      </c>
      <c r="C64" s="2" t="s">
        <v>730</v>
      </c>
      <c r="D64" s="2" t="str">
        <f>LEFT(TRIM(MID(SUBSTITUTE(tblShipments5[[#This Row],[Details]],CHAR(10)," "), FIND(CHAR(10),tblShipments5[[#This Row],[Details]])+1, 50)), 10)</f>
        <v>0508075416</v>
      </c>
      <c r="E64" t="s">
        <v>736</v>
      </c>
      <c r="F6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4" t="str">
        <f>IF(tblShipments5[[#This Row],[EGM no]]="", "Missing EGM", "EGM Submitted")</f>
        <v>EGM Submitted</v>
      </c>
      <c r="H64" t="str">
        <f>IF(OR(ISNUMBER(SEARCH("Released",tblShipments5[[#This Row],[ROSL]])),
      ISNUMBER(SEARCH("Scroll",tblShipments5[[#This Row],[ROSL]])),
      ISNUMBER(SEARCH("Y",tblShipments5[[#This Row],[ROSL]]))),
   "Released",
   "Not Released")</f>
        <v>Released</v>
      </c>
      <c r="I64" t="str">
        <f>IF(OR(tblShipments5[[#This Row],[EGM no]]="", tblShipments5[[#This Row],[EGM no]]="N.A."), "Not Submitted", "Submitted")</f>
        <v>Submitted</v>
      </c>
      <c r="J64" t="str">
        <f>IF(LEFT(tblShipments5[[#This Row],[Gateway_Extracted]],2)="IN","Valid","Invalid")</f>
        <v>Valid</v>
      </c>
      <c r="K64" t="s">
        <v>737</v>
      </c>
      <c r="L64" t="s">
        <v>738</v>
      </c>
      <c r="M64" t="s">
        <v>31</v>
      </c>
      <c r="N64" t="s">
        <v>739</v>
      </c>
      <c r="O64" t="str">
        <f>IFERROR("IN" &amp; _xlfn.TEXTBEFORE(_xlfn.TEXTAFTER(UPPER(tblShipments5[[#This Row],[Gateway_clean]]),"IN")," ",1),"")</f>
        <v>INNSA1</v>
      </c>
      <c r="P64" t="str">
        <f>SUBSTITUTE(tblShipments5[[#This Row],[Gateway]], CHAR(10), " ")</f>
        <v xml:space="preserve">AWB No. Gateway Port Gateway EGM No. Gateway EGM Date Gateway Site ID Error Code N.A.  INNSA1  135603  2017-09-22 00:00:00.0  INNSA1  S </v>
      </c>
      <c r="Q64" t="s">
        <v>740</v>
      </c>
    </row>
    <row r="65" spans="1:17" x14ac:dyDescent="0.35">
      <c r="A65" t="s">
        <v>8</v>
      </c>
      <c r="B65">
        <v>1729499</v>
      </c>
      <c r="C65" s="2" t="s">
        <v>1615</v>
      </c>
      <c r="D65" s="2" t="str">
        <f>LEFT(TRIM(MID(SUBSTITUTE(tblShipments5[[#This Row],[Details]],CHAR(10)," "), FIND(CHAR(10),tblShipments5[[#This Row],[Details]])+1, 50)), 10)</f>
        <v>0503010316</v>
      </c>
      <c r="E65" t="s">
        <v>1623</v>
      </c>
      <c r="F6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5" t="str">
        <f>IF(tblShipments5[[#This Row],[EGM no]]="", "Missing EGM", "EGM Submitted")</f>
        <v>EGM Submitted</v>
      </c>
      <c r="H65" t="str">
        <f>IF(OR(ISNUMBER(SEARCH("Released",tblShipments5[[#This Row],[ROSL]])),
      ISNUMBER(SEARCH("Scroll",tblShipments5[[#This Row],[ROSL]])),
      ISNUMBER(SEARCH("Y",tblShipments5[[#This Row],[ROSL]]))),
   "Released",
   "Not Released")</f>
        <v>Released</v>
      </c>
      <c r="I65" t="str">
        <f>IF(OR(tblShipments5[[#This Row],[EGM no]]="", tblShipments5[[#This Row],[EGM no]]="N.A."), "Not Submitted", "Submitted")</f>
        <v>Submitted</v>
      </c>
      <c r="J65" t="str">
        <f>IF(LEFT(tblShipments5[[#This Row],[Gateway_Extracted]],2)="IN","Valid","Invalid")</f>
        <v>Valid</v>
      </c>
      <c r="K65" t="s">
        <v>1624</v>
      </c>
      <c r="L65" t="s">
        <v>1625</v>
      </c>
      <c r="M65" t="s">
        <v>13</v>
      </c>
      <c r="N65" t="s">
        <v>1626</v>
      </c>
      <c r="O65" t="str">
        <f>IFERROR("IN" &amp; _xlfn.TEXTBEFORE(_xlfn.TEXTAFTER(UPPER(tblShipments5[[#This Row],[Gateway_clean]]),"IN")," ",1),"")</f>
        <v>INMUN1</v>
      </c>
      <c r="P65" t="str">
        <f>SUBSTITUTE(tblShipments5[[#This Row],[Gateway]], CHAR(10), " ")</f>
        <v xml:space="preserve">AWB No. Gateway Port Gateway EGM No. Gateway EGM Date Gateway Site ID Error Code N.A.  INMUN1  141855  2018-01-03 00:00:00.0  INMUN1  S </v>
      </c>
      <c r="Q65" t="s">
        <v>1627</v>
      </c>
    </row>
    <row r="66" spans="1:17" x14ac:dyDescent="0.35">
      <c r="A66" t="s">
        <v>8</v>
      </c>
      <c r="B66">
        <v>8942181</v>
      </c>
      <c r="C66" s="2" t="s">
        <v>861</v>
      </c>
      <c r="D66" s="2" t="str">
        <f>LEFT(TRIM(MID(SUBSTITUTE(tblShipments5[[#This Row],[Details]],CHAR(10)," "), FIND(CHAR(10),tblShipments5[[#This Row],[Details]])+1, 50)), 10)</f>
        <v>0599059206</v>
      </c>
      <c r="E66" t="s">
        <v>867</v>
      </c>
      <c r="F6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6" t="str">
        <f>IF(tblShipments5[[#This Row],[EGM no]]="", "Missing EGM", "EGM Submitted")</f>
        <v>EGM Submitted</v>
      </c>
      <c r="H66" t="str">
        <f>IF(OR(ISNUMBER(SEARCH("Released",tblShipments5[[#This Row],[ROSL]])),
      ISNUMBER(SEARCH("Scroll",tblShipments5[[#This Row],[ROSL]])),
      ISNUMBER(SEARCH("Y",tblShipments5[[#This Row],[ROSL]]))),
   "Released",
   "Not Released")</f>
        <v>Released</v>
      </c>
      <c r="I66" t="str">
        <f>IF(OR(tblShipments5[[#This Row],[EGM no]]="", tblShipments5[[#This Row],[EGM no]]="N.A."), "Not Submitted", "Submitted")</f>
        <v>Submitted</v>
      </c>
      <c r="J66" t="str">
        <f>IF(LEFT(tblShipments5[[#This Row],[Gateway_Extracted]],2)="IN","Valid","Invalid")</f>
        <v>Valid</v>
      </c>
      <c r="K66" t="s">
        <v>749</v>
      </c>
      <c r="L66" t="s">
        <v>868</v>
      </c>
      <c r="M66" t="s">
        <v>31</v>
      </c>
      <c r="N66" t="s">
        <v>869</v>
      </c>
      <c r="O66" t="str">
        <f>IFERROR("IN" &amp; _xlfn.TEXTBEFORE(_xlfn.TEXTAFTER(UPPER(tblShipments5[[#This Row],[Gateway_clean]]),"IN")," ",1),"")</f>
        <v>INMUN1</v>
      </c>
      <c r="P66" t="str">
        <f>SUBSTITUTE(tblShipments5[[#This Row],[Gateway]], CHAR(10), " ")</f>
        <v xml:space="preserve">AWB No. Gateway Port Gateway EGM No. Gateway EGM Date Gateway Site ID Error Code N.A.  INMUN1  136519  2017-10-09 00:00:00.0  INMUN1  S </v>
      </c>
      <c r="Q66" t="s">
        <v>870</v>
      </c>
    </row>
    <row r="67" spans="1:17" x14ac:dyDescent="0.35">
      <c r="A67" t="s">
        <v>8</v>
      </c>
      <c r="B67">
        <v>8942185</v>
      </c>
      <c r="C67" s="2" t="s">
        <v>861</v>
      </c>
      <c r="D67" s="2" t="str">
        <f>LEFT(TRIM(MID(SUBSTITUTE(tblShipments5[[#This Row],[Details]],CHAR(10)," "), FIND(CHAR(10),tblShipments5[[#This Row],[Details]])+1, 50)), 10)</f>
        <v>0599059206</v>
      </c>
      <c r="E67" t="s">
        <v>871</v>
      </c>
      <c r="F6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7" t="str">
        <f>IF(tblShipments5[[#This Row],[EGM no]]="", "Missing EGM", "EGM Submitted")</f>
        <v>EGM Submitted</v>
      </c>
      <c r="H67" t="str">
        <f>IF(OR(ISNUMBER(SEARCH("Released",tblShipments5[[#This Row],[ROSL]])),
      ISNUMBER(SEARCH("Scroll",tblShipments5[[#This Row],[ROSL]])),
      ISNUMBER(SEARCH("Y",tblShipments5[[#This Row],[ROSL]]))),
   "Released",
   "Not Released")</f>
        <v>Released</v>
      </c>
      <c r="I67" t="str">
        <f>IF(OR(tblShipments5[[#This Row],[EGM no]]="", tblShipments5[[#This Row],[EGM no]]="N.A."), "Not Submitted", "Submitted")</f>
        <v>Submitted</v>
      </c>
      <c r="J67" t="str">
        <f>IF(LEFT(tblShipments5[[#This Row],[Gateway_Extracted]],2)="IN","Valid","Invalid")</f>
        <v>Valid</v>
      </c>
      <c r="K67" t="s">
        <v>749</v>
      </c>
      <c r="L67" t="s">
        <v>872</v>
      </c>
      <c r="M67" t="s">
        <v>31</v>
      </c>
      <c r="N67" t="s">
        <v>873</v>
      </c>
      <c r="O67" t="str">
        <f>IFERROR("IN" &amp; _xlfn.TEXTBEFORE(_xlfn.TEXTAFTER(UPPER(tblShipments5[[#This Row],[Gateway_clean]]),"IN")," ",1),"")</f>
        <v>INMUN1</v>
      </c>
      <c r="P67" t="str">
        <f>SUBSTITUTE(tblShipments5[[#This Row],[Gateway]], CHAR(10), " ")</f>
        <v xml:space="preserve">AWB No. Gateway Port Gateway EGM No. Gateway EGM Date Gateway Site ID Error Code N.A.  INMUN1  136519  2017-10-09 00:00:00.0  INMUN1  S </v>
      </c>
      <c r="Q67" t="s">
        <v>870</v>
      </c>
    </row>
    <row r="68" spans="1:17" x14ac:dyDescent="0.35">
      <c r="A68" t="s">
        <v>8</v>
      </c>
      <c r="B68">
        <v>7721241</v>
      </c>
      <c r="C68" s="2" t="s">
        <v>87</v>
      </c>
      <c r="D68" s="2" t="str">
        <f>LEFT(TRIM(MID(SUBSTITUTE(tblShipments5[[#This Row],[Details]],CHAR(10)," "), FIND(CHAR(10),tblShipments5[[#This Row],[Details]])+1, 50)), 10)</f>
        <v>3306001678</v>
      </c>
      <c r="E68" t="s">
        <v>101</v>
      </c>
      <c r="F6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8" t="str">
        <f>IF(tblShipments5[[#This Row],[EGM no]]="", "Missing EGM", "EGM Submitted")</f>
        <v>EGM Submitted</v>
      </c>
      <c r="H68" t="str">
        <f>IF(OR(ISNUMBER(SEARCH("Released",tblShipments5[[#This Row],[ROSL]])),
      ISNUMBER(SEARCH("Scroll",tblShipments5[[#This Row],[ROSL]])),
      ISNUMBER(SEARCH("Y",tblShipments5[[#This Row],[ROSL]]))),
   "Released",
   "Not Released")</f>
        <v>Released</v>
      </c>
      <c r="I68" t="str">
        <f>IF(OR(tblShipments5[[#This Row],[EGM no]]="", tblShipments5[[#This Row],[EGM no]]="N.A."), "Not Submitted", "Submitted")</f>
        <v>Submitted</v>
      </c>
      <c r="J68" t="str">
        <f>IF(LEFT(tblShipments5[[#This Row],[Gateway_Extracted]],2)="IN","Valid","Invalid")</f>
        <v>Invalid</v>
      </c>
      <c r="K68" t="s">
        <v>102</v>
      </c>
      <c r="L68" t="s">
        <v>103</v>
      </c>
      <c r="M68" t="s">
        <v>13</v>
      </c>
      <c r="N68" t="s">
        <v>104</v>
      </c>
      <c r="O68" t="str">
        <f>IFERROR("IN" &amp; _xlfn.TEXTBEFORE(_xlfn.TEXTAFTER(UPPER(tblShipments5[[#This Row],[Gateway_clean]]),"IN")," ",1),"")</f>
        <v/>
      </c>
      <c r="P68" t="str">
        <f>SUBSTITUTE(tblShipments5[[#This Row],[Gateway]], CHAR(10), " ")</f>
        <v>Please Wait....</v>
      </c>
      <c r="Q68" t="s">
        <v>105</v>
      </c>
    </row>
    <row r="69" spans="1:17" x14ac:dyDescent="0.35">
      <c r="A69" t="s">
        <v>8</v>
      </c>
      <c r="B69">
        <v>7616933</v>
      </c>
      <c r="C69" s="2" t="s">
        <v>27</v>
      </c>
      <c r="D69" s="2" t="str">
        <f>LEFT(TRIM(MID(SUBSTITUTE(tblShipments5[[#This Row],[Details]],CHAR(10)," "), FIND(CHAR(10),tblShipments5[[#This Row],[Details]])+1, 50)), 10)</f>
        <v>0508003300</v>
      </c>
      <c r="E69" t="s">
        <v>33</v>
      </c>
      <c r="F6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69" t="str">
        <f>IF(tblShipments5[[#This Row],[EGM no]]="", "Missing EGM", "EGM Submitted")</f>
        <v>EGM Submitted</v>
      </c>
      <c r="H69" t="str">
        <f>IF(OR(ISNUMBER(SEARCH("Released",tblShipments5[[#This Row],[ROSL]])),
      ISNUMBER(SEARCH("Scroll",tblShipments5[[#This Row],[ROSL]])),
      ISNUMBER(SEARCH("Y",tblShipments5[[#This Row],[ROSL]]))),
   "Released",
   "Not Released")</f>
        <v>Released</v>
      </c>
      <c r="I69" t="str">
        <f>IF(OR(tblShipments5[[#This Row],[EGM no]]="", tblShipments5[[#This Row],[EGM no]]="N.A."), "Not Submitted", "Submitted")</f>
        <v>Submitted</v>
      </c>
      <c r="J69" t="str">
        <f>IF(LEFT(tblShipments5[[#This Row],[Gateway_Extracted]],2)="IN","Valid","Invalid")</f>
        <v>Valid</v>
      </c>
      <c r="K69" t="s">
        <v>34</v>
      </c>
      <c r="L69" t="s">
        <v>35</v>
      </c>
      <c r="M69" t="s">
        <v>13</v>
      </c>
      <c r="N69" t="s">
        <v>36</v>
      </c>
      <c r="O69" t="str">
        <f>IFERROR("IN" &amp; _xlfn.TEXTBEFORE(_xlfn.TEXTAFTER(UPPER(tblShipments5[[#This Row],[Gateway_clean]]),"IN")," ",1),"")</f>
        <v>INNSA1</v>
      </c>
      <c r="P69" t="str">
        <f>SUBSTITUTE(tblShipments5[[#This Row],[Gateway]], CHAR(10), " ")</f>
        <v xml:space="preserve">AWB No. Gateway Port Gateway EGM No. Gateway EGM Date Gateway Site ID Error Code N.A.  INNSA1  132025  2017-07-24 00:00:00.0  INNSA1  S </v>
      </c>
      <c r="Q69" t="s">
        <v>37</v>
      </c>
    </row>
    <row r="70" spans="1:17" x14ac:dyDescent="0.35">
      <c r="A70" t="s">
        <v>8</v>
      </c>
      <c r="B70">
        <v>7642279</v>
      </c>
      <c r="C70" s="2" t="s">
        <v>38</v>
      </c>
      <c r="D70" s="2" t="str">
        <f>LEFT(TRIM(MID(SUBSTITUTE(tblShipments5[[#This Row],[Details]],CHAR(10)," "), FIND(CHAR(10),tblShipments5[[#This Row],[Details]])+1, 50)), 10)</f>
        <v>0508003300</v>
      </c>
      <c r="E70" t="s">
        <v>59</v>
      </c>
      <c r="F7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0" t="str">
        <f>IF(tblShipments5[[#This Row],[EGM no]]="", "Missing EGM", "EGM Submitted")</f>
        <v>EGM Submitted</v>
      </c>
      <c r="H70" t="str">
        <f>IF(OR(ISNUMBER(SEARCH("Released",tblShipments5[[#This Row],[ROSL]])),
      ISNUMBER(SEARCH("Scroll",tblShipments5[[#This Row],[ROSL]])),
      ISNUMBER(SEARCH("Y",tblShipments5[[#This Row],[ROSL]]))),
   "Released",
   "Not Released")</f>
        <v>Released</v>
      </c>
      <c r="I70" t="str">
        <f>IF(OR(tblShipments5[[#This Row],[EGM no]]="", tblShipments5[[#This Row],[EGM no]]="N.A."), "Not Submitted", "Submitted")</f>
        <v>Submitted</v>
      </c>
      <c r="J70" t="str">
        <f>IF(LEFT(tblShipments5[[#This Row],[Gateway_Extracted]],2)="IN","Valid","Invalid")</f>
        <v>Valid</v>
      </c>
      <c r="K70" t="s">
        <v>49</v>
      </c>
      <c r="L70" t="s">
        <v>60</v>
      </c>
      <c r="M70" t="s">
        <v>13</v>
      </c>
      <c r="N70" t="s">
        <v>61</v>
      </c>
      <c r="O70" t="str">
        <f>IFERROR("IN" &amp; _xlfn.TEXTBEFORE(_xlfn.TEXTAFTER(UPPER(tblShipments5[[#This Row],[Gateway_clean]]),"IN")," ",1),"")</f>
        <v>INNSA1</v>
      </c>
      <c r="P70" t="str">
        <f>SUBSTITUTE(tblShipments5[[#This Row],[Gateway]], CHAR(10), " ")</f>
        <v xml:space="preserve">AWB No. Gateway Port Gateway EGM No. Gateway EGM Date Gateway Site ID Error Code N.A.  INNSA1  131685  2017-07-18 00:00:00.0  INNSA1  S </v>
      </c>
      <c r="Q70" t="s">
        <v>56</v>
      </c>
    </row>
    <row r="71" spans="1:17" x14ac:dyDescent="0.35">
      <c r="A71" t="s">
        <v>8</v>
      </c>
      <c r="B71">
        <v>7641415</v>
      </c>
      <c r="C71" s="2" t="s">
        <v>38</v>
      </c>
      <c r="D71" s="2" t="str">
        <f>LEFT(TRIM(MID(SUBSTITUTE(tblShipments5[[#This Row],[Details]],CHAR(10)," "), FIND(CHAR(10),tblShipments5[[#This Row],[Details]])+1, 50)), 10)</f>
        <v>0508003300</v>
      </c>
      <c r="E71" t="s">
        <v>57</v>
      </c>
      <c r="F7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1" t="str">
        <f>IF(tblShipments5[[#This Row],[EGM no]]="", "Missing EGM", "EGM Submitted")</f>
        <v>EGM Submitted</v>
      </c>
      <c r="H71" t="str">
        <f>IF(OR(ISNUMBER(SEARCH("Released",tblShipments5[[#This Row],[ROSL]])),
      ISNUMBER(SEARCH("Scroll",tblShipments5[[#This Row],[ROSL]])),
      ISNUMBER(SEARCH("Y",tblShipments5[[#This Row],[ROSL]]))),
   "Released",
   "Not Released")</f>
        <v>Released</v>
      </c>
      <c r="I71" t="str">
        <f>IF(OR(tblShipments5[[#This Row],[EGM no]]="", tblShipments5[[#This Row],[EGM no]]="N.A."), "Not Submitted", "Submitted")</f>
        <v>Submitted</v>
      </c>
      <c r="J71" t="str">
        <f>IF(LEFT(tblShipments5[[#This Row],[Gateway_Extracted]],2)="IN","Valid","Invalid")</f>
        <v>Valid</v>
      </c>
      <c r="K71" t="s">
        <v>49</v>
      </c>
      <c r="L71" t="s">
        <v>54</v>
      </c>
      <c r="M71" t="s">
        <v>13</v>
      </c>
      <c r="N71" t="s">
        <v>58</v>
      </c>
      <c r="O71" t="str">
        <f>IFERROR("IN" &amp; _xlfn.TEXTBEFORE(_xlfn.TEXTAFTER(UPPER(tblShipments5[[#This Row],[Gateway_clean]]),"IN")," ",1),"")</f>
        <v>INNSA1</v>
      </c>
      <c r="P71" t="str">
        <f>SUBSTITUTE(tblShipments5[[#This Row],[Gateway]], CHAR(10), " ")</f>
        <v xml:space="preserve">AWB No. Gateway Port Gateway EGM No. Gateway EGM Date Gateway Site ID Error Code N.A.  INNSA1  131685  2017-07-18 00:00:00.0  INNSA1  S </v>
      </c>
      <c r="Q71" t="s">
        <v>56</v>
      </c>
    </row>
    <row r="72" spans="1:17" x14ac:dyDescent="0.35">
      <c r="A72" t="s">
        <v>8</v>
      </c>
      <c r="B72">
        <v>7641404</v>
      </c>
      <c r="C72" s="2" t="s">
        <v>38</v>
      </c>
      <c r="D72" s="2" t="str">
        <f>LEFT(TRIM(MID(SUBSTITUTE(tblShipments5[[#This Row],[Details]],CHAR(10)," "), FIND(CHAR(10),tblShipments5[[#This Row],[Details]])+1, 50)), 10)</f>
        <v>0508003300</v>
      </c>
      <c r="E72" t="s">
        <v>53</v>
      </c>
      <c r="F7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2" t="str">
        <f>IF(tblShipments5[[#This Row],[EGM no]]="", "Missing EGM", "EGM Submitted")</f>
        <v>EGM Submitted</v>
      </c>
      <c r="H72" t="str">
        <f>IF(OR(ISNUMBER(SEARCH("Released",tblShipments5[[#This Row],[ROSL]])),
      ISNUMBER(SEARCH("Scroll",tblShipments5[[#This Row],[ROSL]])),
      ISNUMBER(SEARCH("Y",tblShipments5[[#This Row],[ROSL]]))),
   "Released",
   "Not Released")</f>
        <v>Released</v>
      </c>
      <c r="I72" t="str">
        <f>IF(OR(tblShipments5[[#This Row],[EGM no]]="", tblShipments5[[#This Row],[EGM no]]="N.A."), "Not Submitted", "Submitted")</f>
        <v>Submitted</v>
      </c>
      <c r="J72" t="str">
        <f>IF(LEFT(tblShipments5[[#This Row],[Gateway_Extracted]],2)="IN","Valid","Invalid")</f>
        <v>Valid</v>
      </c>
      <c r="K72" t="s">
        <v>49</v>
      </c>
      <c r="L72" t="s">
        <v>54</v>
      </c>
      <c r="M72" t="s">
        <v>13</v>
      </c>
      <c r="N72" t="s">
        <v>55</v>
      </c>
      <c r="O72" t="str">
        <f>IFERROR("IN" &amp; _xlfn.TEXTBEFORE(_xlfn.TEXTAFTER(UPPER(tblShipments5[[#This Row],[Gateway_clean]]),"IN")," ",1),"")</f>
        <v>INNSA1</v>
      </c>
      <c r="P72" t="str">
        <f>SUBSTITUTE(tblShipments5[[#This Row],[Gateway]], CHAR(10), " ")</f>
        <v xml:space="preserve">AWB No. Gateway Port Gateway EGM No. Gateway EGM Date Gateway Site ID Error Code N.A.  INNSA1  131685  2017-07-18 00:00:00.0  INNSA1  S </v>
      </c>
      <c r="Q72" t="s">
        <v>56</v>
      </c>
    </row>
    <row r="73" spans="1:17" x14ac:dyDescent="0.35">
      <c r="A73" t="s">
        <v>8</v>
      </c>
      <c r="B73">
        <v>8794182</v>
      </c>
      <c r="C73" s="2" t="s">
        <v>798</v>
      </c>
      <c r="D73" s="2" t="str">
        <f>LEFT(TRIM(MID(SUBSTITUTE(tblShipments5[[#This Row],[Details]],CHAR(10)," "), FIND(CHAR(10),tblShipments5[[#This Row],[Details]])+1, 50)), 10)</f>
        <v>0508003300</v>
      </c>
      <c r="E73" t="s">
        <v>799</v>
      </c>
      <c r="F7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3" t="str">
        <f>IF(tblShipments5[[#This Row],[EGM no]]="", "Missing EGM", "EGM Submitted")</f>
        <v>EGM Submitted</v>
      </c>
      <c r="H73" t="str">
        <f>IF(OR(ISNUMBER(SEARCH("Released",tblShipments5[[#This Row],[ROSL]])),
      ISNUMBER(SEARCH("Scroll",tblShipments5[[#This Row],[ROSL]])),
      ISNUMBER(SEARCH("Y",tblShipments5[[#This Row],[ROSL]]))),
   "Released",
   "Not Released")</f>
        <v>Released</v>
      </c>
      <c r="I73" t="str">
        <f>IF(OR(tblShipments5[[#This Row],[EGM no]]="", tblShipments5[[#This Row],[EGM no]]="N.A."), "Not Submitted", "Submitted")</f>
        <v>Submitted</v>
      </c>
      <c r="J73" t="str">
        <f>IF(LEFT(tblShipments5[[#This Row],[Gateway_Extracted]],2)="IN","Valid","Invalid")</f>
        <v>Valid</v>
      </c>
      <c r="K73" t="s">
        <v>800</v>
      </c>
      <c r="L73" t="s">
        <v>801</v>
      </c>
      <c r="M73" t="s">
        <v>13</v>
      </c>
      <c r="N73" t="s">
        <v>802</v>
      </c>
      <c r="O73" t="str">
        <f>IFERROR("IN" &amp; _xlfn.TEXTBEFORE(_xlfn.TEXTAFTER(UPPER(tblShipments5[[#This Row],[Gateway_clean]]),"IN")," ",1),"")</f>
        <v>INNSA1</v>
      </c>
      <c r="P73" t="str">
        <f>SUBSTITUTE(tblShipments5[[#This Row],[Gateway]], CHAR(10), " ")</f>
        <v xml:space="preserve">AWB No. Gateway Port Gateway EGM No. Gateway EGM Date Gateway Site ID Error Code N.A.  INNSA1  135731  2017-09-25 00:00:00.0  INNSA1  S </v>
      </c>
      <c r="Q73" t="s">
        <v>803</v>
      </c>
    </row>
    <row r="74" spans="1:17" x14ac:dyDescent="0.35">
      <c r="A74" t="s">
        <v>8</v>
      </c>
      <c r="B74">
        <v>8325105</v>
      </c>
      <c r="C74" s="2" t="s">
        <v>498</v>
      </c>
      <c r="D74" s="2" t="str">
        <f>LEFT(TRIM(MID(SUBSTITUTE(tblShipments5[[#This Row],[Details]],CHAR(10)," "), FIND(CHAR(10),tblShipments5[[#This Row],[Details]])+1, 50)), 10)</f>
        <v>0595021255</v>
      </c>
      <c r="E74" t="s">
        <v>508</v>
      </c>
      <c r="F7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4" t="str">
        <f>IF(tblShipments5[[#This Row],[EGM no]]="", "Missing EGM", "EGM Submitted")</f>
        <v>EGM Submitted</v>
      </c>
      <c r="H74" t="str">
        <f>IF(OR(ISNUMBER(SEARCH("Released",tblShipments5[[#This Row],[ROSL]])),
      ISNUMBER(SEARCH("Scroll",tblShipments5[[#This Row],[ROSL]])),
      ISNUMBER(SEARCH("Y",tblShipments5[[#This Row],[ROSL]]))),
   "Released",
   "Not Released")</f>
        <v>Released</v>
      </c>
      <c r="I74" t="str">
        <f>IF(OR(tblShipments5[[#This Row],[EGM no]]="", tblShipments5[[#This Row],[EGM no]]="N.A."), "Not Submitted", "Submitted")</f>
        <v>Submitted</v>
      </c>
      <c r="J74" t="str">
        <f>IF(LEFT(tblShipments5[[#This Row],[Gateway_Extracted]],2)="IN","Valid","Invalid")</f>
        <v>Valid</v>
      </c>
      <c r="K74" t="s">
        <v>509</v>
      </c>
      <c r="L74" t="s">
        <v>510</v>
      </c>
      <c r="M74" t="s">
        <v>13</v>
      </c>
      <c r="N74" t="s">
        <v>511</v>
      </c>
      <c r="O74" t="str">
        <f>IFERROR("IN" &amp; _xlfn.TEXTBEFORE(_xlfn.TEXTAFTER(UPPER(tblShipments5[[#This Row],[Gateway_clean]]),"IN")," ",1),"")</f>
        <v>INNSA1</v>
      </c>
      <c r="P74" t="str">
        <f>SUBSTITUTE(tblShipments5[[#This Row],[Gateway]], CHAR(10), " ")</f>
        <v xml:space="preserve">AWB No. Gateway Port Gateway EGM No. Gateway EGM Date Gateway Site ID Error Code N.A.  INNSA1  135507  2017-09-21 00:00:00.0  INNSA1  S </v>
      </c>
      <c r="Q74" t="s">
        <v>512</v>
      </c>
    </row>
    <row r="75" spans="1:17" x14ac:dyDescent="0.35">
      <c r="A75" t="s">
        <v>8</v>
      </c>
      <c r="B75">
        <v>7640213</v>
      </c>
      <c r="C75" s="2" t="s">
        <v>38</v>
      </c>
      <c r="D75" s="2" t="str">
        <f>LEFT(TRIM(MID(SUBSTITUTE(tblShipments5[[#This Row],[Details]],CHAR(10)," "), FIND(CHAR(10),tblShipments5[[#This Row],[Details]])+1, 50)), 10)</f>
        <v>0514019492</v>
      </c>
      <c r="E75" t="s">
        <v>48</v>
      </c>
      <c r="F7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5" t="str">
        <f>IF(tblShipments5[[#This Row],[EGM no]]="", "Missing EGM", "EGM Submitted")</f>
        <v>EGM Submitted</v>
      </c>
      <c r="H75" t="str">
        <f>IF(OR(ISNUMBER(SEARCH("Released",tblShipments5[[#This Row],[ROSL]])),
      ISNUMBER(SEARCH("Scroll",tblShipments5[[#This Row],[ROSL]])),
      ISNUMBER(SEARCH("Y",tblShipments5[[#This Row],[ROSL]]))),
   "Released",
   "Not Released")</f>
        <v>Released</v>
      </c>
      <c r="I75" t="str">
        <f>IF(OR(tblShipments5[[#This Row],[EGM no]]="", tblShipments5[[#This Row],[EGM no]]="N.A."), "Not Submitted", "Submitted")</f>
        <v>Submitted</v>
      </c>
      <c r="J75" t="str">
        <f>IF(LEFT(tblShipments5[[#This Row],[Gateway_Extracted]],2)="IN","Valid","Invalid")</f>
        <v>Valid</v>
      </c>
      <c r="K75" t="s">
        <v>49</v>
      </c>
      <c r="L75" t="s">
        <v>50</v>
      </c>
      <c r="M75" t="s">
        <v>13</v>
      </c>
      <c r="N75" t="s">
        <v>51</v>
      </c>
      <c r="O75" t="str">
        <f>IFERROR("IN" &amp; _xlfn.TEXTBEFORE(_xlfn.TEXTAFTER(UPPER(tblShipments5[[#This Row],[Gateway_clean]]),"IN")," ",1),"")</f>
        <v>INMUN1</v>
      </c>
      <c r="P75" t="str">
        <f>SUBSTITUTE(tblShipments5[[#This Row],[Gateway]], CHAR(10), " ")</f>
        <v xml:space="preserve">AWB No. Gateway Port Gateway EGM No. Gateway EGM Date Gateway Site ID Error Code N.A.  INMUN1  134053  2017-08-28 00:00:00.0  INMUN1  ST </v>
      </c>
      <c r="Q75" t="s">
        <v>52</v>
      </c>
    </row>
    <row r="76" spans="1:17" x14ac:dyDescent="0.35">
      <c r="A76" t="s">
        <v>8</v>
      </c>
      <c r="B76">
        <v>8471397</v>
      </c>
      <c r="C76" s="2" t="s">
        <v>590</v>
      </c>
      <c r="D76" s="2" t="str">
        <f>LEFT(TRIM(MID(SUBSTITUTE(tblShipments5[[#This Row],[Details]],CHAR(10)," "), FIND(CHAR(10),tblShipments5[[#This Row],[Details]])+1, 50)), 10)</f>
        <v>0504016865</v>
      </c>
      <c r="E76" t="s">
        <v>611</v>
      </c>
      <c r="F7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6" t="str">
        <f>IF(tblShipments5[[#This Row],[EGM no]]="", "Missing EGM", "EGM Submitted")</f>
        <v>EGM Submitted</v>
      </c>
      <c r="H76" t="str">
        <f>IF(OR(ISNUMBER(SEARCH("Released",tblShipments5[[#This Row],[ROSL]])),
      ISNUMBER(SEARCH("Scroll",tblShipments5[[#This Row],[ROSL]])),
      ISNUMBER(SEARCH("Y",tblShipments5[[#This Row],[ROSL]]))),
   "Released",
   "Not Released")</f>
        <v>Released</v>
      </c>
      <c r="I76" t="str">
        <f>IF(OR(tblShipments5[[#This Row],[EGM no]]="", tblShipments5[[#This Row],[EGM no]]="N.A."), "Not Submitted", "Submitted")</f>
        <v>Submitted</v>
      </c>
      <c r="J76" t="str">
        <f>IF(LEFT(tblShipments5[[#This Row],[Gateway_Extracted]],2)="IN","Valid","Invalid")</f>
        <v>Valid</v>
      </c>
      <c r="K76" t="s">
        <v>612</v>
      </c>
      <c r="L76" t="s">
        <v>613</v>
      </c>
      <c r="M76" t="s">
        <v>31</v>
      </c>
      <c r="N76" t="s">
        <v>614</v>
      </c>
      <c r="O76" t="str">
        <f>IFERROR("IN" &amp; _xlfn.TEXTBEFORE(_xlfn.TEXTAFTER(UPPER(tblShipments5[[#This Row],[Gateway_clean]]),"IN")," ",1),"")</f>
        <v>INMUN1</v>
      </c>
      <c r="P76" t="str">
        <f>SUBSTITUTE(tblShipments5[[#This Row],[Gateway]], CHAR(10), " ")</f>
        <v xml:space="preserve">AWB No. Gateway Port Gateway EGM No. Gateway EGM Date Gateway Site ID Error Code N.A.  INMUN1  135378  2017-09-19 00:00:00.0  INMUN1  S </v>
      </c>
      <c r="Q76" t="s">
        <v>425</v>
      </c>
    </row>
    <row r="77" spans="1:17" x14ac:dyDescent="0.35">
      <c r="A77" t="s">
        <v>8</v>
      </c>
      <c r="B77">
        <v>8180485</v>
      </c>
      <c r="C77" s="2" t="s">
        <v>401</v>
      </c>
      <c r="D77" s="2" t="str">
        <f>LEFT(TRIM(MID(SUBSTITUTE(tblShipments5[[#This Row],[Details]],CHAR(10)," "), FIND(CHAR(10),tblShipments5[[#This Row],[Details]])+1, 50)), 10)</f>
        <v>0505023954</v>
      </c>
      <c r="E77" t="s">
        <v>402</v>
      </c>
      <c r="F7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7" t="str">
        <f>IF(tblShipments5[[#This Row],[EGM no]]="", "Missing EGM", "EGM Submitted")</f>
        <v>EGM Submitted</v>
      </c>
      <c r="H77" t="str">
        <f>IF(OR(ISNUMBER(SEARCH("Released",tblShipments5[[#This Row],[ROSL]])),
      ISNUMBER(SEARCH("Scroll",tblShipments5[[#This Row],[ROSL]])),
      ISNUMBER(SEARCH("Y",tblShipments5[[#This Row],[ROSL]]))),
   "Released",
   "Not Released")</f>
        <v>Released</v>
      </c>
      <c r="I77" t="str">
        <f>IF(OR(tblShipments5[[#This Row],[EGM no]]="", tblShipments5[[#This Row],[EGM no]]="N.A."), "Not Submitted", "Submitted")</f>
        <v>Submitted</v>
      </c>
      <c r="J77" t="str">
        <f>IF(LEFT(tblShipments5[[#This Row],[Gateway_Extracted]],2)="IN","Valid","Invalid")</f>
        <v>Valid</v>
      </c>
      <c r="K77" t="s">
        <v>369</v>
      </c>
      <c r="L77" t="s">
        <v>403</v>
      </c>
      <c r="M77" t="s">
        <v>31</v>
      </c>
      <c r="N77" t="s">
        <v>404</v>
      </c>
      <c r="O77" t="str">
        <f>IFERROR("IN" &amp; _xlfn.TEXTBEFORE(_xlfn.TEXTAFTER(UPPER(tblShipments5[[#This Row],[Gateway_clean]]),"IN")," ",1),"")</f>
        <v>INNSA1</v>
      </c>
      <c r="P77" t="str">
        <f>SUBSTITUTE(tblShipments5[[#This Row],[Gateway]], CHAR(10), " ")</f>
        <v xml:space="preserve">AWB No. Gateway Port Gateway EGM No. Gateway EGM Date Gateway Site ID Error Code N.A.  INNSA1  N.A.  N.A.  N.A.  N.A. </v>
      </c>
      <c r="Q77" t="s">
        <v>26</v>
      </c>
    </row>
    <row r="78" spans="1:17" x14ac:dyDescent="0.35">
      <c r="A78" t="s">
        <v>8</v>
      </c>
      <c r="B78">
        <v>7603758</v>
      </c>
      <c r="C78" s="2" t="s">
        <v>27</v>
      </c>
      <c r="D78" s="2" t="str">
        <f>LEFT(TRIM(MID(SUBSTITUTE(tblShipments5[[#This Row],[Details]],CHAR(10)," "), FIND(CHAR(10),tblShipments5[[#This Row],[Details]])+1, 50)), 10)</f>
        <v>0505023954</v>
      </c>
      <c r="E78" t="s">
        <v>28</v>
      </c>
      <c r="F7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8" t="str">
        <f>IF(tblShipments5[[#This Row],[EGM no]]="", "Missing EGM", "EGM Submitted")</f>
        <v>EGM Submitted</v>
      </c>
      <c r="H78" t="str">
        <f>IF(OR(ISNUMBER(SEARCH("Released",tblShipments5[[#This Row],[ROSL]])),
      ISNUMBER(SEARCH("Scroll",tblShipments5[[#This Row],[ROSL]])),
      ISNUMBER(SEARCH("Y",tblShipments5[[#This Row],[ROSL]]))),
   "Released",
   "Not Released")</f>
        <v>Released</v>
      </c>
      <c r="I78" t="str">
        <f>IF(OR(tblShipments5[[#This Row],[EGM no]]="", tblShipments5[[#This Row],[EGM no]]="N.A."), "Not Submitted", "Submitted")</f>
        <v>Submitted</v>
      </c>
      <c r="J78" t="str">
        <f>IF(LEFT(tblShipments5[[#This Row],[Gateway_Extracted]],2)="IN","Valid","Invalid")</f>
        <v>Valid</v>
      </c>
      <c r="K78" t="s">
        <v>29</v>
      </c>
      <c r="L78" t="s">
        <v>30</v>
      </c>
      <c r="M78" t="s">
        <v>31</v>
      </c>
      <c r="N78" t="s">
        <v>32</v>
      </c>
      <c r="O78" t="str">
        <f>IFERROR("IN" &amp; _xlfn.TEXTBEFORE(_xlfn.TEXTAFTER(UPPER(tblShipments5[[#This Row],[Gateway_clean]]),"IN")," ",1),"")</f>
        <v>INNSA1</v>
      </c>
      <c r="P78" t="str">
        <f>SUBSTITUTE(tblShipments5[[#This Row],[Gateway]], CHAR(10), " ")</f>
        <v xml:space="preserve">AWB No. Gateway Port Gateway EGM No. Gateway EGM Date Gateway Site ID Error Code N.A.  INNSA1  N.A.  N.A.  N.A.  N.A. </v>
      </c>
      <c r="Q78" t="s">
        <v>26</v>
      </c>
    </row>
    <row r="79" spans="1:17" x14ac:dyDescent="0.35">
      <c r="A79" t="s">
        <v>8</v>
      </c>
      <c r="B79">
        <v>7891039</v>
      </c>
      <c r="C79" s="2" t="s">
        <v>208</v>
      </c>
      <c r="D79" s="2" t="str">
        <f>LEFT(TRIM(MID(SUBSTITUTE(tblShipments5[[#This Row],[Details]],CHAR(10)," "), FIND(CHAR(10),tblShipments5[[#This Row],[Details]])+1, 50)), 10)</f>
        <v>0502077905</v>
      </c>
      <c r="E79" t="s">
        <v>213</v>
      </c>
      <c r="F7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79" t="str">
        <f>IF(tblShipments5[[#This Row],[EGM no]]="", "Missing EGM", "EGM Submitted")</f>
        <v>EGM Submitted</v>
      </c>
      <c r="H79" t="str">
        <f>IF(OR(ISNUMBER(SEARCH("Released",tblShipments5[[#This Row],[ROSL]])),
      ISNUMBER(SEARCH("Scroll",tblShipments5[[#This Row],[ROSL]])),
      ISNUMBER(SEARCH("Y",tblShipments5[[#This Row],[ROSL]]))),
   "Released",
   "Not Released")</f>
        <v>Released</v>
      </c>
      <c r="I79" t="str">
        <f>IF(OR(tblShipments5[[#This Row],[EGM no]]="", tblShipments5[[#This Row],[EGM no]]="N.A."), "Not Submitted", "Submitted")</f>
        <v>Submitted</v>
      </c>
      <c r="J79" t="str">
        <f>IF(LEFT(tblShipments5[[#This Row],[Gateway_Extracted]],2)="IN","Valid","Invalid")</f>
        <v>Valid</v>
      </c>
      <c r="K79" t="s">
        <v>214</v>
      </c>
      <c r="L79" t="s">
        <v>215</v>
      </c>
      <c r="M79" t="s">
        <v>13</v>
      </c>
      <c r="N79" t="s">
        <v>216</v>
      </c>
      <c r="O79" t="str">
        <f>IFERROR("IN" &amp; _xlfn.TEXTBEFORE(_xlfn.TEXTAFTER(UPPER(tblShipments5[[#This Row],[Gateway_clean]]),"IN")," ",1),"")</f>
        <v>INNSA1</v>
      </c>
      <c r="P79" t="str">
        <f>SUBSTITUTE(tblShipments5[[#This Row],[Gateway]], CHAR(10), " ")</f>
        <v xml:space="preserve">AWB No. Gateway Port Gateway EGM No. Gateway EGM Date Gateway Site ID Error Code N.A.  INNSA1  N.A.  N.A.  N.A.  N.A. </v>
      </c>
      <c r="Q79" t="s">
        <v>26</v>
      </c>
    </row>
    <row r="80" spans="1:17" x14ac:dyDescent="0.35">
      <c r="A80" t="s">
        <v>8</v>
      </c>
      <c r="B80">
        <v>1673346</v>
      </c>
      <c r="C80" s="2" t="s">
        <v>1579</v>
      </c>
      <c r="D80" s="2" t="str">
        <f>LEFT(TRIM(MID(SUBSTITUTE(tblShipments5[[#This Row],[Details]],CHAR(10)," "), FIND(CHAR(10),tblShipments5[[#This Row],[Details]])+1, 50)), 10)</f>
        <v>0510006329</v>
      </c>
      <c r="E80" t="s">
        <v>1594</v>
      </c>
      <c r="F8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0" t="str">
        <f>IF(tblShipments5[[#This Row],[EGM no]]="", "Missing EGM", "EGM Submitted")</f>
        <v>EGM Submitted</v>
      </c>
      <c r="H80" t="str">
        <f>IF(OR(ISNUMBER(SEARCH("Released",tblShipments5[[#This Row],[ROSL]])),
      ISNUMBER(SEARCH("Scroll",tblShipments5[[#This Row],[ROSL]])),
      ISNUMBER(SEARCH("Y",tblShipments5[[#This Row],[ROSL]]))),
   "Released",
   "Not Released")</f>
        <v>Released</v>
      </c>
      <c r="I80" t="str">
        <f>IF(OR(tblShipments5[[#This Row],[EGM no]]="", tblShipments5[[#This Row],[EGM no]]="N.A."), "Not Submitted", "Submitted")</f>
        <v>Submitted</v>
      </c>
      <c r="J80" t="str">
        <f>IF(LEFT(tblShipments5[[#This Row],[Gateway_Extracted]],2)="IN","Valid","Invalid")</f>
        <v>Valid</v>
      </c>
      <c r="K80" t="s">
        <v>1549</v>
      </c>
      <c r="L80" t="s">
        <v>1467</v>
      </c>
      <c r="M80" t="s">
        <v>31</v>
      </c>
      <c r="N80" t="s">
        <v>1595</v>
      </c>
      <c r="O80" t="str">
        <f>IFERROR("IN" &amp; _xlfn.TEXTBEFORE(_xlfn.TEXTAFTER(UPPER(tblShipments5[[#This Row],[Gateway_clean]]),"IN")," ",1),"")</f>
        <v>INNSA1</v>
      </c>
      <c r="P80" t="str">
        <f>SUBSTITUTE(tblShipments5[[#This Row],[Gateway]], CHAR(10), " ")</f>
        <v xml:space="preserve">AWB No. Gateway Port Gateway EGM No. Gateway EGM Date Gateway Site ID Error Code N.A.  INNSA1  140365  2017-12-08 00:00:00.0  INNSA1  N </v>
      </c>
      <c r="Q80" t="s">
        <v>1469</v>
      </c>
    </row>
    <row r="81" spans="1:17" x14ac:dyDescent="0.35">
      <c r="A81" t="s">
        <v>8</v>
      </c>
      <c r="B81">
        <v>1682294</v>
      </c>
      <c r="C81" s="2" t="s">
        <v>1579</v>
      </c>
      <c r="D81" s="2" t="str">
        <f>LEFT(TRIM(MID(SUBSTITUTE(tblShipments5[[#This Row],[Details]],CHAR(10)," "), FIND(CHAR(10),tblShipments5[[#This Row],[Details]])+1, 50)), 10)</f>
        <v>0507018591</v>
      </c>
      <c r="E81" t="s">
        <v>1596</v>
      </c>
      <c r="F8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1" t="str">
        <f>IF(tblShipments5[[#This Row],[EGM no]]="", "Missing EGM", "EGM Submitted")</f>
        <v>EGM Submitted</v>
      </c>
      <c r="H81" t="str">
        <f>IF(OR(ISNUMBER(SEARCH("Released",tblShipments5[[#This Row],[ROSL]])),
      ISNUMBER(SEARCH("Scroll",tblShipments5[[#This Row],[ROSL]])),
      ISNUMBER(SEARCH("Y",tblShipments5[[#This Row],[ROSL]]))),
   "Released",
   "Not Released")</f>
        <v>Released</v>
      </c>
      <c r="I81" t="str">
        <f>IF(OR(tblShipments5[[#This Row],[EGM no]]="", tblShipments5[[#This Row],[EGM no]]="N.A."), "Not Submitted", "Submitted")</f>
        <v>Submitted</v>
      </c>
      <c r="J81" t="str">
        <f>IF(LEFT(tblShipments5[[#This Row],[Gateway_Extracted]],2)="IN","Valid","Invalid")</f>
        <v>Valid</v>
      </c>
      <c r="K81" t="s">
        <v>1597</v>
      </c>
      <c r="L81" t="s">
        <v>1598</v>
      </c>
      <c r="M81" t="s">
        <v>13</v>
      </c>
      <c r="N81" t="s">
        <v>1599</v>
      </c>
      <c r="O81" t="str">
        <f>IFERROR("IN" &amp; _xlfn.TEXTBEFORE(_xlfn.TEXTAFTER(UPPER(tblShipments5[[#This Row],[Gateway_clean]]),"IN")," ",1),"")</f>
        <v>INNSA1</v>
      </c>
      <c r="P81" t="str">
        <f>SUBSTITUTE(tblShipments5[[#This Row],[Gateway]], CHAR(10), " ")</f>
        <v xml:space="preserve">AWB No. Gateway Port Gateway EGM No. Gateway EGM Date Gateway Site ID Error Code N.A.  INNSA1  141116  2017-12-21 00:00:00.0  INNSA1  S </v>
      </c>
      <c r="Q81" t="s">
        <v>1600</v>
      </c>
    </row>
    <row r="82" spans="1:17" x14ac:dyDescent="0.35">
      <c r="A82" t="s">
        <v>8</v>
      </c>
      <c r="B82">
        <v>8169500</v>
      </c>
      <c r="C82" s="2" t="s">
        <v>380</v>
      </c>
      <c r="D82" s="2" t="str">
        <f>LEFT(TRIM(MID(SUBSTITUTE(tblShipments5[[#This Row],[Details]],CHAR(10)," "), FIND(CHAR(10),tblShipments5[[#This Row],[Details]])+1, 50)), 10)</f>
        <v>0591028549</v>
      </c>
      <c r="E82" t="s">
        <v>388</v>
      </c>
      <c r="F8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2" t="str">
        <f>IF(tblShipments5[[#This Row],[EGM no]]="", "Missing EGM", "EGM Submitted")</f>
        <v>EGM Submitted</v>
      </c>
      <c r="H82" t="str">
        <f>IF(OR(ISNUMBER(SEARCH("Released",tblShipments5[[#This Row],[ROSL]])),
      ISNUMBER(SEARCH("Scroll",tblShipments5[[#This Row],[ROSL]])),
      ISNUMBER(SEARCH("Y",tblShipments5[[#This Row],[ROSL]]))),
   "Released",
   "Not Released")</f>
        <v>Released</v>
      </c>
      <c r="I82" t="str">
        <f>IF(OR(tblShipments5[[#This Row],[EGM no]]="", tblShipments5[[#This Row],[EGM no]]="N.A."), "Not Submitted", "Submitted")</f>
        <v>Submitted</v>
      </c>
      <c r="J82" t="str">
        <f>IF(LEFT(tblShipments5[[#This Row],[Gateway_Extracted]],2)="IN","Valid","Invalid")</f>
        <v>Valid</v>
      </c>
      <c r="K82" t="s">
        <v>389</v>
      </c>
      <c r="L82" t="s">
        <v>390</v>
      </c>
      <c r="M82" t="s">
        <v>31</v>
      </c>
      <c r="N82" t="s">
        <v>391</v>
      </c>
      <c r="O82" t="str">
        <f>IFERROR("IN" &amp; _xlfn.TEXTBEFORE(_xlfn.TEXTAFTER(UPPER(tblShipments5[[#This Row],[Gateway_clean]]),"IN")," ",1),"")</f>
        <v>INNSA1</v>
      </c>
      <c r="P82" t="str">
        <f>SUBSTITUTE(tblShipments5[[#This Row],[Gateway]], CHAR(10), " ")</f>
        <v xml:space="preserve">AWB No. Gateway Port Gateway EGM No. Gateway EGM Date Gateway Site ID Error Code N.A.  INNSA1  133453  2017-08-17 00:00:00.0  INNSA1  S </v>
      </c>
      <c r="Q82" t="s">
        <v>392</v>
      </c>
    </row>
    <row r="83" spans="1:17" x14ac:dyDescent="0.35">
      <c r="A83" t="s">
        <v>8</v>
      </c>
      <c r="B83">
        <v>9575454</v>
      </c>
      <c r="C83" s="2" t="s">
        <v>1092</v>
      </c>
      <c r="D83" s="2" t="str">
        <f>LEFT(TRIM(MID(SUBSTITUTE(tblShipments5[[#This Row],[Details]],CHAR(10)," "), FIND(CHAR(10),tblShipments5[[#This Row],[Details]])+1, 50)), 10)</f>
        <v>0591028549</v>
      </c>
      <c r="E83" t="s">
        <v>1103</v>
      </c>
      <c r="F8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3" t="str">
        <f>IF(tblShipments5[[#This Row],[EGM no]]="", "Missing EGM", "EGM Submitted")</f>
        <v>EGM Submitted</v>
      </c>
      <c r="H83" t="str">
        <f>IF(OR(ISNUMBER(SEARCH("Released",tblShipments5[[#This Row],[ROSL]])),
      ISNUMBER(SEARCH("Scroll",tblShipments5[[#This Row],[ROSL]])),
      ISNUMBER(SEARCH("Y",tblShipments5[[#This Row],[ROSL]]))),
   "Released",
   "Not Released")</f>
        <v>Released</v>
      </c>
      <c r="I83" t="str">
        <f>IF(OR(tblShipments5[[#This Row],[EGM no]]="", tblShipments5[[#This Row],[EGM no]]="N.A."), "Not Submitted", "Submitted")</f>
        <v>Submitted</v>
      </c>
      <c r="J83" t="str">
        <f>IF(LEFT(tblShipments5[[#This Row],[Gateway_Extracted]],2)="IN","Valid","Invalid")</f>
        <v>Valid</v>
      </c>
      <c r="K83" t="s">
        <v>1094</v>
      </c>
      <c r="L83" t="s">
        <v>1104</v>
      </c>
      <c r="M83" t="s">
        <v>31</v>
      </c>
      <c r="N83" t="s">
        <v>1105</v>
      </c>
      <c r="O83" t="str">
        <f>IFERROR("IN" &amp; _xlfn.TEXTBEFORE(_xlfn.TEXTAFTER(UPPER(tblShipments5[[#This Row],[Gateway_clean]]),"IN")," ",1),"")</f>
        <v>INNSA1</v>
      </c>
      <c r="P83" t="str">
        <f>SUBSTITUTE(tblShipments5[[#This Row],[Gateway]], CHAR(10), " ")</f>
        <v xml:space="preserve">AWB No. Gateway Port Gateway EGM No. Gateway EGM Date Gateway Site ID Error Code N.A.  INNSA1  137348  2017-10-23 00:00:00.0  INNSA1  S </v>
      </c>
      <c r="Q83" t="s">
        <v>1106</v>
      </c>
    </row>
    <row r="84" spans="1:17" x14ac:dyDescent="0.35">
      <c r="A84" t="s">
        <v>8</v>
      </c>
      <c r="B84">
        <v>7662086</v>
      </c>
      <c r="C84" s="2" t="s">
        <v>62</v>
      </c>
      <c r="D84" s="2" t="str">
        <f>LEFT(TRIM(MID(SUBSTITUTE(tblShipments5[[#This Row],[Details]],CHAR(10)," "), FIND(CHAR(10),tblShipments5[[#This Row],[Details]])+1, 50)), 10)</f>
        <v>0516929674</v>
      </c>
      <c r="E84" t="s">
        <v>71</v>
      </c>
      <c r="F8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4" t="str">
        <f>IF(tblShipments5[[#This Row],[EGM no]]="", "Missing EGM", "EGM Submitted")</f>
        <v>EGM Submitted</v>
      </c>
      <c r="H84" t="str">
        <f>IF(OR(ISNUMBER(SEARCH("Released",tblShipments5[[#This Row],[ROSL]])),
      ISNUMBER(SEARCH("Scroll",tblShipments5[[#This Row],[ROSL]])),
      ISNUMBER(SEARCH("Y",tblShipments5[[#This Row],[ROSL]]))),
   "Released",
   "Not Released")</f>
        <v>Released</v>
      </c>
      <c r="I84" t="str">
        <f>IF(OR(tblShipments5[[#This Row],[EGM no]]="", tblShipments5[[#This Row],[EGM no]]="N.A."), "Not Submitted", "Submitted")</f>
        <v>Submitted</v>
      </c>
      <c r="J84" t="str">
        <f>IF(LEFT(tblShipments5[[#This Row],[Gateway_Extracted]],2)="IN","Valid","Invalid")</f>
        <v>Valid</v>
      </c>
      <c r="K84" t="s">
        <v>72</v>
      </c>
      <c r="L84" t="s">
        <v>73</v>
      </c>
      <c r="M84" t="s">
        <v>13</v>
      </c>
      <c r="N84" t="s">
        <v>74</v>
      </c>
      <c r="O84" t="str">
        <f>IFERROR("IN" &amp; _xlfn.TEXTBEFORE(_xlfn.TEXTAFTER(UPPER(tblShipments5[[#This Row],[Gateway_clean]]),"IN")," ",1),"")</f>
        <v>INNSA1</v>
      </c>
      <c r="P84" t="str">
        <f>SUBSTITUTE(tblShipments5[[#This Row],[Gateway]], CHAR(10), " ")</f>
        <v xml:space="preserve">AWB No. Gateway Port Gateway EGM No. Gateway EGM Date Gateway Site ID Error Code N.A.  INNSA1  132629  2017-08-03 00:00:00.0  INNSA1  S </v>
      </c>
      <c r="Q84" t="s">
        <v>75</v>
      </c>
    </row>
    <row r="85" spans="1:17" x14ac:dyDescent="0.35">
      <c r="A85" t="s">
        <v>8</v>
      </c>
      <c r="B85">
        <v>9150741</v>
      </c>
      <c r="C85" s="2" t="s">
        <v>968</v>
      </c>
      <c r="D85" s="2" t="str">
        <f>LEFT(TRIM(MID(SUBSTITUTE(tblShipments5[[#This Row],[Details]],CHAR(10)," "), FIND(CHAR(10),tblShipments5[[#This Row],[Details]])+1, 50)), 10)</f>
        <v>0505007592</v>
      </c>
      <c r="E85" t="s">
        <v>977</v>
      </c>
      <c r="F8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5" t="str">
        <f>IF(tblShipments5[[#This Row],[EGM no]]="", "Missing EGM", "EGM Submitted")</f>
        <v>EGM Submitted</v>
      </c>
      <c r="H85" t="str">
        <f>IF(OR(ISNUMBER(SEARCH("Released",tblShipments5[[#This Row],[ROSL]])),
      ISNUMBER(SEARCH("Scroll",tblShipments5[[#This Row],[ROSL]])),
      ISNUMBER(SEARCH("Y",tblShipments5[[#This Row],[ROSL]]))),
   "Released",
   "Not Released")</f>
        <v>Released</v>
      </c>
      <c r="I85" t="str">
        <f>IF(OR(tblShipments5[[#This Row],[EGM no]]="", tblShipments5[[#This Row],[EGM no]]="N.A."), "Not Submitted", "Submitted")</f>
        <v>Submitted</v>
      </c>
      <c r="J85" t="str">
        <f>IF(LEFT(tblShipments5[[#This Row],[Gateway_Extracted]],2)="IN","Valid","Invalid")</f>
        <v>Valid</v>
      </c>
      <c r="K85" t="s">
        <v>894</v>
      </c>
      <c r="L85" t="s">
        <v>978</v>
      </c>
      <c r="M85" t="s">
        <v>13</v>
      </c>
      <c r="N85" t="s">
        <v>979</v>
      </c>
      <c r="O85" t="str">
        <f>IFERROR("IN" &amp; _xlfn.TEXTBEFORE(_xlfn.TEXTAFTER(UPPER(tblShipments5[[#This Row],[Gateway_clean]]),"IN")," ",1),"")</f>
        <v>INNSA1</v>
      </c>
      <c r="P85" t="str">
        <f>SUBSTITUTE(tblShipments5[[#This Row],[Gateway]], CHAR(10), " ")</f>
        <v xml:space="preserve">AWB No. Gateway Port Gateway EGM No. Gateway EGM Date Gateway Site ID Error Code N.A.  INNSA1  136123  2017-10-02 00:00:00.0  INNSA1  S </v>
      </c>
      <c r="Q85" t="s">
        <v>980</v>
      </c>
    </row>
    <row r="86" spans="1:17" x14ac:dyDescent="0.35">
      <c r="A86" t="s">
        <v>8</v>
      </c>
      <c r="B86">
        <v>1487979</v>
      </c>
      <c r="C86" s="2" t="s">
        <v>1485</v>
      </c>
      <c r="D86" s="2" t="str">
        <f>LEFT(TRIM(MID(SUBSTITUTE(tblShipments5[[#This Row],[Details]],CHAR(10)," "), FIND(CHAR(10),tblShipments5[[#This Row],[Details]])+1, 50)), 10)</f>
        <v>0505075172</v>
      </c>
      <c r="E86" t="s">
        <v>1496</v>
      </c>
      <c r="F8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6" t="str">
        <f>IF(tblShipments5[[#This Row],[EGM no]]="", "Missing EGM", "EGM Submitted")</f>
        <v>EGM Submitted</v>
      </c>
      <c r="H86" t="str">
        <f>IF(OR(ISNUMBER(SEARCH("Released",tblShipments5[[#This Row],[ROSL]])),
      ISNUMBER(SEARCH("Scroll",tblShipments5[[#This Row],[ROSL]])),
      ISNUMBER(SEARCH("Y",tblShipments5[[#This Row],[ROSL]]))),
   "Released",
   "Not Released")</f>
        <v>Released</v>
      </c>
      <c r="I86" t="str">
        <f>IF(OR(tblShipments5[[#This Row],[EGM no]]="", tblShipments5[[#This Row],[EGM no]]="N.A."), "Not Submitted", "Submitted")</f>
        <v>Submitted</v>
      </c>
      <c r="J86" t="str">
        <f>IF(LEFT(tblShipments5[[#This Row],[Gateway_Extracted]],2)="IN","Valid","Invalid")</f>
        <v>Valid</v>
      </c>
      <c r="K86" t="s">
        <v>1497</v>
      </c>
      <c r="L86" t="s">
        <v>1467</v>
      </c>
      <c r="M86" t="s">
        <v>13</v>
      </c>
      <c r="N86" t="s">
        <v>1498</v>
      </c>
      <c r="O86" t="str">
        <f>IFERROR("IN" &amp; _xlfn.TEXTBEFORE(_xlfn.TEXTAFTER(UPPER(tblShipments5[[#This Row],[Gateway_clean]]),"IN")," ",1),"")</f>
        <v>INNSA1</v>
      </c>
      <c r="P86" t="str">
        <f>SUBSTITUTE(tblShipments5[[#This Row],[Gateway]], CHAR(10), " ")</f>
        <v xml:space="preserve">AWB No. Gateway Port Gateway EGM No. Gateway EGM Date Gateway Site ID Error Code N.A.  INNSA1  140365  2017-12-08 00:00:00.0  INNSA1  N </v>
      </c>
      <c r="Q86" t="s">
        <v>1469</v>
      </c>
    </row>
    <row r="87" spans="1:17" x14ac:dyDescent="0.35">
      <c r="A87" t="s">
        <v>8</v>
      </c>
      <c r="B87">
        <v>9536682</v>
      </c>
      <c r="C87" s="2" t="s">
        <v>1072</v>
      </c>
      <c r="D87" s="2" t="str">
        <f>LEFT(TRIM(MID(SUBSTITUTE(tblShipments5[[#This Row],[Details]],CHAR(10)," "), FIND(CHAR(10),tblShipments5[[#This Row],[Details]])+1, 50)), 10)</f>
        <v>0511002459</v>
      </c>
      <c r="E87" t="s">
        <v>1087</v>
      </c>
      <c r="F8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7" t="str">
        <f>IF(tblShipments5[[#This Row],[EGM no]]="", "Missing EGM", "EGM Submitted")</f>
        <v>EGM Submitted</v>
      </c>
      <c r="H87" t="str">
        <f>IF(OR(ISNUMBER(SEARCH("Released",tblShipments5[[#This Row],[ROSL]])),
      ISNUMBER(SEARCH("Scroll",tblShipments5[[#This Row],[ROSL]])),
      ISNUMBER(SEARCH("Y",tblShipments5[[#This Row],[ROSL]]))),
   "Released",
   "Not Released")</f>
        <v>Released</v>
      </c>
      <c r="I87" t="str">
        <f>IF(OR(tblShipments5[[#This Row],[EGM no]]="", tblShipments5[[#This Row],[EGM no]]="N.A."), "Not Submitted", "Submitted")</f>
        <v>Submitted</v>
      </c>
      <c r="J87" t="str">
        <f>IF(LEFT(tblShipments5[[#This Row],[Gateway_Extracted]],2)="IN","Valid","Invalid")</f>
        <v>Valid</v>
      </c>
      <c r="K87" t="s">
        <v>1088</v>
      </c>
      <c r="L87" t="s">
        <v>1089</v>
      </c>
      <c r="M87" t="s">
        <v>13</v>
      </c>
      <c r="N87" t="s">
        <v>1090</v>
      </c>
      <c r="O87" t="str">
        <f>IFERROR("IN" &amp; _xlfn.TEXTBEFORE(_xlfn.TEXTAFTER(UPPER(tblShipments5[[#This Row],[Gateway_clean]]),"IN")," ",1),"")</f>
        <v>INNSA1</v>
      </c>
      <c r="P87" t="str">
        <f>SUBSTITUTE(tblShipments5[[#This Row],[Gateway]], CHAR(10), " ")</f>
        <v xml:space="preserve">AWB No. Gateway Port Gateway EGM No. Gateway EGM Date Gateway Site ID Error Code N.A.  INNSA1  138138  2017-11-03 00:00:00.0  INNSA1  S </v>
      </c>
      <c r="Q87" t="s">
        <v>1091</v>
      </c>
    </row>
    <row r="88" spans="1:17" x14ac:dyDescent="0.35">
      <c r="A88" t="s">
        <v>8</v>
      </c>
      <c r="B88">
        <v>9653631</v>
      </c>
      <c r="C88" s="2" t="s">
        <v>1133</v>
      </c>
      <c r="D88" s="2" t="str">
        <f>LEFT(TRIM(MID(SUBSTITUTE(tblShipments5[[#This Row],[Details]],CHAR(10)," "), FIND(CHAR(10),tblShipments5[[#This Row],[Details]])+1, 50)), 10)</f>
        <v>0511002459</v>
      </c>
      <c r="E88" t="s">
        <v>1134</v>
      </c>
      <c r="F8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8" t="str">
        <f>IF(tblShipments5[[#This Row],[EGM no]]="", "Missing EGM", "EGM Submitted")</f>
        <v>EGM Submitted</v>
      </c>
      <c r="H88" t="str">
        <f>IF(OR(ISNUMBER(SEARCH("Released",tblShipments5[[#This Row],[ROSL]])),
      ISNUMBER(SEARCH("Scroll",tblShipments5[[#This Row],[ROSL]])),
      ISNUMBER(SEARCH("Y",tblShipments5[[#This Row],[ROSL]]))),
   "Released",
   "Not Released")</f>
        <v>Released</v>
      </c>
      <c r="I88" t="str">
        <f>IF(OR(tblShipments5[[#This Row],[EGM no]]="", tblShipments5[[#This Row],[EGM no]]="N.A."), "Not Submitted", "Submitted")</f>
        <v>Submitted</v>
      </c>
      <c r="J88" t="str">
        <f>IF(LEFT(tblShipments5[[#This Row],[Gateway_Extracted]],2)="IN","Valid","Invalid")</f>
        <v>Valid</v>
      </c>
      <c r="K88" t="s">
        <v>1135</v>
      </c>
      <c r="L88" t="s">
        <v>1136</v>
      </c>
      <c r="M88" t="s">
        <v>13</v>
      </c>
      <c r="N88" t="s">
        <v>1137</v>
      </c>
      <c r="O88" t="str">
        <f>IFERROR("IN" &amp; _xlfn.TEXTBEFORE(_xlfn.TEXTAFTER(UPPER(tblShipments5[[#This Row],[Gateway_clean]]),"IN")," ",1),"")</f>
        <v>INNSA1</v>
      </c>
      <c r="P88" t="str">
        <f>SUBSTITUTE(tblShipments5[[#This Row],[Gateway]], CHAR(10), " ")</f>
        <v xml:space="preserve">AWB No. Gateway Port Gateway EGM No. Gateway EGM Date Gateway Site ID Error Code N.A.  INNSA1  138837  2017-11-15 00:00:00.0  INNSA1  S </v>
      </c>
      <c r="Q88" t="s">
        <v>1138</v>
      </c>
    </row>
    <row r="89" spans="1:17" x14ac:dyDescent="0.35">
      <c r="A89" t="s">
        <v>8</v>
      </c>
      <c r="B89">
        <v>8876935</v>
      </c>
      <c r="C89" s="2" t="s">
        <v>826</v>
      </c>
      <c r="D89" s="2" t="str">
        <f>LEFT(TRIM(MID(SUBSTITUTE(tblShipments5[[#This Row],[Details]],CHAR(10)," "), FIND(CHAR(10),tblShipments5[[#This Row],[Details]])+1, 50)), 10)</f>
        <v>3397001846</v>
      </c>
      <c r="E89" t="s">
        <v>832</v>
      </c>
      <c r="F8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89" t="str">
        <f>IF(tblShipments5[[#This Row],[EGM no]]="", "Missing EGM", "EGM Submitted")</f>
        <v>EGM Submitted</v>
      </c>
      <c r="H89" t="str">
        <f>IF(OR(ISNUMBER(SEARCH("Released",tblShipments5[[#This Row],[ROSL]])),
      ISNUMBER(SEARCH("Scroll",tblShipments5[[#This Row],[ROSL]])),
      ISNUMBER(SEARCH("Y",tblShipments5[[#This Row],[ROSL]]))),
   "Released",
   "Not Released")</f>
        <v>Released</v>
      </c>
      <c r="I89" t="str">
        <f>IF(OR(tblShipments5[[#This Row],[EGM no]]="", tblShipments5[[#This Row],[EGM no]]="N.A."), "Not Submitted", "Submitted")</f>
        <v>Submitted</v>
      </c>
      <c r="J89" t="str">
        <f>IF(LEFT(tblShipments5[[#This Row],[Gateway_Extracted]],2)="IN","Valid","Invalid")</f>
        <v>Valid</v>
      </c>
      <c r="K89" t="s">
        <v>828</v>
      </c>
      <c r="L89" t="s">
        <v>833</v>
      </c>
      <c r="M89" t="s">
        <v>13</v>
      </c>
      <c r="N89" t="s">
        <v>834</v>
      </c>
      <c r="O89" t="str">
        <f>IFERROR("IN" &amp; _xlfn.TEXTBEFORE(_xlfn.TEXTAFTER(UPPER(tblShipments5[[#This Row],[Gateway_clean]]),"IN")," ",1),"")</f>
        <v>INNSA1</v>
      </c>
      <c r="P89" t="str">
        <f>SUBSTITUTE(tblShipments5[[#This Row],[Gateway]], CHAR(10), " ")</f>
        <v xml:space="preserve">AWB No. Gateway Port Gateway EGM No. Gateway EGM Date Gateway Site ID Error Code N.A.  INNSA1  134677  2017-09-07 00:00:00.0  INNSA1  S </v>
      </c>
      <c r="Q89" t="s">
        <v>831</v>
      </c>
    </row>
    <row r="90" spans="1:17" x14ac:dyDescent="0.35">
      <c r="A90" t="s">
        <v>8</v>
      </c>
      <c r="B90">
        <v>8876829</v>
      </c>
      <c r="C90" s="2" t="s">
        <v>826</v>
      </c>
      <c r="D90" s="2" t="str">
        <f>LEFT(TRIM(MID(SUBSTITUTE(tblShipments5[[#This Row],[Details]],CHAR(10)," "), FIND(CHAR(10),tblShipments5[[#This Row],[Details]])+1, 50)), 10)</f>
        <v>3397001846</v>
      </c>
      <c r="E90" t="s">
        <v>827</v>
      </c>
      <c r="F9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0" t="str">
        <f>IF(tblShipments5[[#This Row],[EGM no]]="", "Missing EGM", "EGM Submitted")</f>
        <v>EGM Submitted</v>
      </c>
      <c r="H90" t="str">
        <f>IF(OR(ISNUMBER(SEARCH("Released",tblShipments5[[#This Row],[ROSL]])),
      ISNUMBER(SEARCH("Scroll",tblShipments5[[#This Row],[ROSL]])),
      ISNUMBER(SEARCH("Y",tblShipments5[[#This Row],[ROSL]]))),
   "Released",
   "Not Released")</f>
        <v>Released</v>
      </c>
      <c r="I90" t="str">
        <f>IF(OR(tblShipments5[[#This Row],[EGM no]]="", tblShipments5[[#This Row],[EGM no]]="N.A."), "Not Submitted", "Submitted")</f>
        <v>Submitted</v>
      </c>
      <c r="J90" t="str">
        <f>IF(LEFT(tblShipments5[[#This Row],[Gateway_Extracted]],2)="IN","Valid","Invalid")</f>
        <v>Valid</v>
      </c>
      <c r="K90" t="s">
        <v>828</v>
      </c>
      <c r="L90" t="s">
        <v>829</v>
      </c>
      <c r="M90" t="s">
        <v>13</v>
      </c>
      <c r="N90" t="s">
        <v>830</v>
      </c>
      <c r="O90" t="str">
        <f>IFERROR("IN" &amp; _xlfn.TEXTBEFORE(_xlfn.TEXTAFTER(UPPER(tblShipments5[[#This Row],[Gateway_clean]]),"IN")," ",1),"")</f>
        <v>INNSA1</v>
      </c>
      <c r="P90" t="str">
        <f>SUBSTITUTE(tblShipments5[[#This Row],[Gateway]], CHAR(10), " ")</f>
        <v xml:space="preserve">AWB No. Gateway Port Gateway EGM No. Gateway EGM Date Gateway Site ID Error Code N.A.  INNSA1  134677  2017-09-07 00:00:00.0  INNSA1  S </v>
      </c>
      <c r="Q90" t="s">
        <v>831</v>
      </c>
    </row>
    <row r="91" spans="1:17" x14ac:dyDescent="0.35">
      <c r="A91" t="s">
        <v>8</v>
      </c>
      <c r="B91">
        <v>8752787</v>
      </c>
      <c r="C91" s="2" t="s">
        <v>762</v>
      </c>
      <c r="D91" s="2" t="str">
        <f>LEFT(TRIM(MID(SUBSTITUTE(tblShipments5[[#This Row],[Details]],CHAR(10)," "), FIND(CHAR(10),tblShipments5[[#This Row],[Details]])+1, 50)), 10)</f>
        <v>0598005536</v>
      </c>
      <c r="E91" t="s">
        <v>779</v>
      </c>
      <c r="F9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1" t="str">
        <f>IF(tblShipments5[[#This Row],[EGM no]]="", "Missing EGM", "EGM Submitted")</f>
        <v>EGM Submitted</v>
      </c>
      <c r="H91" t="str">
        <f>IF(OR(ISNUMBER(SEARCH("Released",tblShipments5[[#This Row],[ROSL]])),
      ISNUMBER(SEARCH("Scroll",tblShipments5[[#This Row],[ROSL]])),
      ISNUMBER(SEARCH("Y",tblShipments5[[#This Row],[ROSL]]))),
   "Released",
   "Not Released")</f>
        <v>Released</v>
      </c>
      <c r="I91" t="str">
        <f>IF(OR(tblShipments5[[#This Row],[EGM no]]="", tblShipments5[[#This Row],[EGM no]]="N.A."), "Not Submitted", "Submitted")</f>
        <v>Submitted</v>
      </c>
      <c r="J91" t="str">
        <f>IF(LEFT(tblShipments5[[#This Row],[Gateway_Extracted]],2)="IN","Valid","Invalid")</f>
        <v>Valid</v>
      </c>
      <c r="K91" t="s">
        <v>780</v>
      </c>
      <c r="L91" t="s">
        <v>781</v>
      </c>
      <c r="M91" t="s">
        <v>13</v>
      </c>
      <c r="N91" t="s">
        <v>782</v>
      </c>
      <c r="O91" t="str">
        <f>IFERROR("IN" &amp; _xlfn.TEXTBEFORE(_xlfn.TEXTAFTER(UPPER(tblShipments5[[#This Row],[Gateway_clean]]),"IN")," ",1),"")</f>
        <v>INMUN1</v>
      </c>
      <c r="P91" t="str">
        <f>SUBSTITUTE(tblShipments5[[#This Row],[Gateway]], CHAR(10), " ")</f>
        <v xml:space="preserve">AWB No. Gateway Port Gateway EGM No. Gateway EGM Date Gateway Site ID Error Code N.A.  INMUN1  136501  2017-10-08 00:00:00.0  INMUN1  S </v>
      </c>
      <c r="Q91" t="s">
        <v>783</v>
      </c>
    </row>
    <row r="92" spans="1:17" x14ac:dyDescent="0.35">
      <c r="A92" t="s">
        <v>8</v>
      </c>
      <c r="B92">
        <v>7649257</v>
      </c>
      <c r="C92" s="2" t="s">
        <v>62</v>
      </c>
      <c r="D92" s="2" t="str">
        <f>LEFT(TRIM(MID(SUBSTITUTE(tblShipments5[[#This Row],[Details]],CHAR(10)," "), FIND(CHAR(10),tblShipments5[[#This Row],[Details]])+1, 50)), 10)</f>
        <v>0593058577</v>
      </c>
      <c r="E92" t="s">
        <v>67</v>
      </c>
      <c r="F9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2" t="str">
        <f>IF(tblShipments5[[#This Row],[EGM no]]="", "Missing EGM", "EGM Submitted")</f>
        <v>EGM Submitted</v>
      </c>
      <c r="H92" t="str">
        <f>IF(OR(ISNUMBER(SEARCH("Released",tblShipments5[[#This Row],[ROSL]])),
      ISNUMBER(SEARCH("Scroll",tblShipments5[[#This Row],[ROSL]])),
      ISNUMBER(SEARCH("Y",tblShipments5[[#This Row],[ROSL]]))),
   "Released",
   "Not Released")</f>
        <v>Released</v>
      </c>
      <c r="I92" t="str">
        <f>IF(OR(tblShipments5[[#This Row],[EGM no]]="", tblShipments5[[#This Row],[EGM no]]="N.A."), "Not Submitted", "Submitted")</f>
        <v>Submitted</v>
      </c>
      <c r="J92" t="str">
        <f>IF(LEFT(tblShipments5[[#This Row],[Gateway_Extracted]],2)="IN","Valid","Invalid")</f>
        <v>Valid</v>
      </c>
      <c r="K92" t="s">
        <v>68</v>
      </c>
      <c r="L92" t="s">
        <v>69</v>
      </c>
      <c r="M92" t="s">
        <v>13</v>
      </c>
      <c r="N92" t="s">
        <v>70</v>
      </c>
      <c r="O92" t="str">
        <f>IFERROR("IN" &amp; _xlfn.TEXTBEFORE(_xlfn.TEXTAFTER(UPPER(tblShipments5[[#This Row],[Gateway_clean]]),"IN")," ",1),"")</f>
        <v>INNSA1</v>
      </c>
      <c r="P92" t="str">
        <f>SUBSTITUTE(tblShipments5[[#This Row],[Gateway]], CHAR(10), " ")</f>
        <v xml:space="preserve">AWB No. Gateway Port Gateway EGM No. Gateway EGM Date Gateway Site ID Error Code N.A.  INNSA1  132025  2017-07-24 00:00:00.0  INNSA1  S </v>
      </c>
      <c r="Q92" t="s">
        <v>37</v>
      </c>
    </row>
    <row r="93" spans="1:17" x14ac:dyDescent="0.35">
      <c r="A93" t="s">
        <v>8</v>
      </c>
      <c r="B93">
        <v>8055596</v>
      </c>
      <c r="C93" s="2" t="s">
        <v>310</v>
      </c>
      <c r="D93" s="2" t="str">
        <f>LEFT(TRIM(MID(SUBSTITUTE(tblShipments5[[#This Row],[Details]],CHAR(10)," "), FIND(CHAR(10),tblShipments5[[#This Row],[Details]])+1, 50)), 10)</f>
        <v>0593058577</v>
      </c>
      <c r="E93" t="s">
        <v>311</v>
      </c>
      <c r="F9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3" t="str">
        <f>IF(tblShipments5[[#This Row],[EGM no]]="", "Missing EGM", "EGM Submitted")</f>
        <v>EGM Submitted</v>
      </c>
      <c r="H93" t="str">
        <f>IF(OR(ISNUMBER(SEARCH("Released",tblShipments5[[#This Row],[ROSL]])),
      ISNUMBER(SEARCH("Scroll",tblShipments5[[#This Row],[ROSL]])),
      ISNUMBER(SEARCH("Y",tblShipments5[[#This Row],[ROSL]]))),
   "Released",
   "Not Released")</f>
        <v>Released</v>
      </c>
      <c r="I93" t="str">
        <f>IF(OR(tblShipments5[[#This Row],[EGM no]]="", tblShipments5[[#This Row],[EGM no]]="N.A."), "Not Submitted", "Submitted")</f>
        <v>Submitted</v>
      </c>
      <c r="J93" t="str">
        <f>IF(LEFT(tblShipments5[[#This Row],[Gateway_Extracted]],2)="IN","Valid","Invalid")</f>
        <v>Valid</v>
      </c>
      <c r="K93" t="s">
        <v>312</v>
      </c>
      <c r="L93" t="s">
        <v>313</v>
      </c>
      <c r="M93" t="s">
        <v>13</v>
      </c>
      <c r="N93" t="s">
        <v>314</v>
      </c>
      <c r="O93" t="str">
        <f>IFERROR("IN" &amp; _xlfn.TEXTBEFORE(_xlfn.TEXTAFTER(UPPER(tblShipments5[[#This Row],[Gateway_clean]]),"IN")," ",1),"")</f>
        <v>INMUN1</v>
      </c>
      <c r="P93" t="str">
        <f>SUBSTITUTE(tblShipments5[[#This Row],[Gateway]], CHAR(10), " ")</f>
        <v xml:space="preserve">AWB No. Gateway Port Gateway EGM No. Gateway EGM Date Gateway Site ID Error Code N.A.  INMUN1  134051  2017-08-28 00:00:00.0  INMUN1  S </v>
      </c>
      <c r="Q93" t="s">
        <v>315</v>
      </c>
    </row>
    <row r="94" spans="1:17" x14ac:dyDescent="0.35">
      <c r="A94" t="s">
        <v>8</v>
      </c>
      <c r="B94">
        <v>8322996</v>
      </c>
      <c r="C94" s="2" t="s">
        <v>498</v>
      </c>
      <c r="D94" s="2" t="str">
        <f>LEFT(TRIM(MID(SUBSTITUTE(tblShipments5[[#This Row],[Details]],CHAR(10)," "), FIND(CHAR(10),tblShipments5[[#This Row],[Details]])+1, 50)), 10)</f>
        <v>0509003061</v>
      </c>
      <c r="E94" t="s">
        <v>499</v>
      </c>
      <c r="F9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4" t="str">
        <f>IF(tblShipments5[[#This Row],[EGM no]]="", "Missing EGM", "EGM Submitted")</f>
        <v>EGM Submitted</v>
      </c>
      <c r="H94" t="str">
        <f>IF(OR(ISNUMBER(SEARCH("Released",tblShipments5[[#This Row],[ROSL]])),
      ISNUMBER(SEARCH("Scroll",tblShipments5[[#This Row],[ROSL]])),
      ISNUMBER(SEARCH("Y",tblShipments5[[#This Row],[ROSL]]))),
   "Released",
   "Not Released")</f>
        <v>Released</v>
      </c>
      <c r="I94" t="str">
        <f>IF(OR(tblShipments5[[#This Row],[EGM no]]="", tblShipments5[[#This Row],[EGM no]]="N.A."), "Not Submitted", "Submitted")</f>
        <v>Submitted</v>
      </c>
      <c r="J94" t="str">
        <f>IF(LEFT(tblShipments5[[#This Row],[Gateway_Extracted]],2)="IN","Valid","Invalid")</f>
        <v>Valid</v>
      </c>
      <c r="K94" t="s">
        <v>394</v>
      </c>
      <c r="L94" t="s">
        <v>500</v>
      </c>
      <c r="M94" t="s">
        <v>13</v>
      </c>
      <c r="N94" t="s">
        <v>501</v>
      </c>
      <c r="O94" t="str">
        <f>IFERROR("IN" &amp; _xlfn.TEXTBEFORE(_xlfn.TEXTAFTER(UPPER(tblShipments5[[#This Row],[Gateway_clean]]),"IN")," ",1),"")</f>
        <v>INMUN1</v>
      </c>
      <c r="P94" t="str">
        <f>SUBSTITUTE(tblShipments5[[#This Row],[Gateway]], CHAR(10), " ")</f>
        <v xml:space="preserve">AWB No. Gateway Port Gateway EGM No. Gateway EGM Date Gateway Site ID Error Code N.A.  INMUN1  132131  2017-07-25 00:00:00.0  INMUN1  S </v>
      </c>
      <c r="Q94" t="s">
        <v>502</v>
      </c>
    </row>
    <row r="95" spans="1:17" x14ac:dyDescent="0.35">
      <c r="A95" t="s">
        <v>8</v>
      </c>
      <c r="B95">
        <v>1254519</v>
      </c>
      <c r="C95" s="2" t="s">
        <v>1336</v>
      </c>
      <c r="D95" s="2" t="str">
        <f>LEFT(TRIM(MID(SUBSTITUTE(tblShipments5[[#This Row],[Details]],CHAR(10)," "), FIND(CHAR(10),tblShipments5[[#This Row],[Details]])+1, 50)), 10)</f>
        <v>0509003061</v>
      </c>
      <c r="E95" t="s">
        <v>1359</v>
      </c>
      <c r="F9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5" t="str">
        <f>IF(tblShipments5[[#This Row],[EGM no]]="", "Missing EGM", "EGM Submitted")</f>
        <v>EGM Submitted</v>
      </c>
      <c r="H95" t="str">
        <f>IF(OR(ISNUMBER(SEARCH("Released",tblShipments5[[#This Row],[ROSL]])),
      ISNUMBER(SEARCH("Scroll",tblShipments5[[#This Row],[ROSL]])),
      ISNUMBER(SEARCH("Y",tblShipments5[[#This Row],[ROSL]]))),
   "Released",
   "Not Released")</f>
        <v>Released</v>
      </c>
      <c r="I95" t="str">
        <f>IF(OR(tblShipments5[[#This Row],[EGM no]]="", tblShipments5[[#This Row],[EGM no]]="N.A."), "Not Submitted", "Submitted")</f>
        <v>Submitted</v>
      </c>
      <c r="J95" t="str">
        <f>IF(LEFT(tblShipments5[[#This Row],[Gateway_Extracted]],2)="IN","Valid","Invalid")</f>
        <v>Valid</v>
      </c>
      <c r="K95" t="s">
        <v>1360</v>
      </c>
      <c r="L95" t="s">
        <v>1356</v>
      </c>
      <c r="M95" t="s">
        <v>13</v>
      </c>
      <c r="N95" t="s">
        <v>1361</v>
      </c>
      <c r="O95" t="str">
        <f>IFERROR("IN" &amp; _xlfn.TEXTBEFORE(_xlfn.TEXTAFTER(UPPER(tblShipments5[[#This Row],[Gateway_clean]]),"IN")," ",1),"")</f>
        <v>INMUN1</v>
      </c>
      <c r="P95" t="str">
        <f>SUBSTITUTE(tblShipments5[[#This Row],[Gateway]], CHAR(10), " ")</f>
        <v xml:space="preserve">AWB No. Gateway Port Gateway EGM No. Gateway EGM Date Gateway Site ID Error Code N.A.  INMUN1  138991  2017-11-17 00:00:00.0  INMUN1  S </v>
      </c>
      <c r="Q95" t="s">
        <v>1362</v>
      </c>
    </row>
    <row r="96" spans="1:17" x14ac:dyDescent="0.35">
      <c r="A96" t="s">
        <v>8</v>
      </c>
      <c r="B96">
        <v>1252402</v>
      </c>
      <c r="C96" s="2" t="s">
        <v>1336</v>
      </c>
      <c r="D96" s="2" t="str">
        <f>LEFT(TRIM(MID(SUBSTITUTE(tblShipments5[[#This Row],[Details]],CHAR(10)," "), FIND(CHAR(10),tblShipments5[[#This Row],[Details]])+1, 50)), 10)</f>
        <v>0509003061</v>
      </c>
      <c r="E96" t="s">
        <v>1354</v>
      </c>
      <c r="F9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6" t="str">
        <f>IF(tblShipments5[[#This Row],[EGM no]]="", "Missing EGM", "EGM Submitted")</f>
        <v>EGM Submitted</v>
      </c>
      <c r="H96" t="str">
        <f>IF(OR(ISNUMBER(SEARCH("Released",tblShipments5[[#This Row],[ROSL]])),
      ISNUMBER(SEARCH("Scroll",tblShipments5[[#This Row],[ROSL]])),
      ISNUMBER(SEARCH("Y",tblShipments5[[#This Row],[ROSL]]))),
   "Released",
   "Not Released")</f>
        <v>Released</v>
      </c>
      <c r="I96" t="str">
        <f>IF(OR(tblShipments5[[#This Row],[EGM no]]="", tblShipments5[[#This Row],[EGM no]]="N.A."), "Not Submitted", "Submitted")</f>
        <v>Submitted</v>
      </c>
      <c r="J96" t="str">
        <f>IF(LEFT(tblShipments5[[#This Row],[Gateway_Extracted]],2)="IN","Valid","Invalid")</f>
        <v>Valid</v>
      </c>
      <c r="K96" t="s">
        <v>1355</v>
      </c>
      <c r="L96" t="s">
        <v>1356</v>
      </c>
      <c r="M96" t="s">
        <v>13</v>
      </c>
      <c r="N96" t="s">
        <v>1357</v>
      </c>
      <c r="O96" t="str">
        <f>IFERROR("IN" &amp; _xlfn.TEXTBEFORE(_xlfn.TEXTAFTER(UPPER(tblShipments5[[#This Row],[Gateway_clean]]),"IN")," ",1),"")</f>
        <v>INMUN1</v>
      </c>
      <c r="P96" t="str">
        <f>SUBSTITUTE(tblShipments5[[#This Row],[Gateway]], CHAR(10), " ")</f>
        <v xml:space="preserve">AWB No. Gateway Port Gateway EGM No. Gateway EGM Date Gateway Site ID Error Code N.A.  INMUN1  138681  2017-11-13 00:00:00.0  INMUN1  S </v>
      </c>
      <c r="Q96" t="s">
        <v>1358</v>
      </c>
    </row>
    <row r="97" spans="1:17" x14ac:dyDescent="0.35">
      <c r="A97" t="s">
        <v>8</v>
      </c>
      <c r="B97">
        <v>7638661</v>
      </c>
      <c r="C97" s="2" t="s">
        <v>38</v>
      </c>
      <c r="D97" s="2" t="str">
        <f>LEFT(TRIM(MID(SUBSTITUTE(tblShipments5[[#This Row],[Details]],CHAR(10)," "), FIND(CHAR(10),tblShipments5[[#This Row],[Details]])+1, 50)), 10)</f>
        <v>0506070484</v>
      </c>
      <c r="E97" t="s">
        <v>44</v>
      </c>
      <c r="F9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7" t="str">
        <f>IF(tblShipments5[[#This Row],[EGM no]]="", "Missing EGM", "EGM Submitted")</f>
        <v>EGM Submitted</v>
      </c>
      <c r="H97" t="str">
        <f>IF(OR(ISNUMBER(SEARCH("Released",tblShipments5[[#This Row],[ROSL]])),
      ISNUMBER(SEARCH("Scroll",tblShipments5[[#This Row],[ROSL]])),
      ISNUMBER(SEARCH("Y",tblShipments5[[#This Row],[ROSL]]))),
   "Released",
   "Not Released")</f>
        <v>Released</v>
      </c>
      <c r="I97" t="str">
        <f>IF(OR(tblShipments5[[#This Row],[EGM no]]="", tblShipments5[[#This Row],[EGM no]]="N.A."), "Not Submitted", "Submitted")</f>
        <v>Submitted</v>
      </c>
      <c r="J97" t="str">
        <f>IF(LEFT(tblShipments5[[#This Row],[Gateway_Extracted]],2)="IN","Valid","Invalid")</f>
        <v>Valid</v>
      </c>
      <c r="K97" t="s">
        <v>45</v>
      </c>
      <c r="L97" t="s">
        <v>46</v>
      </c>
      <c r="M97" t="s">
        <v>31</v>
      </c>
      <c r="N97" t="s">
        <v>47</v>
      </c>
      <c r="O97" t="str">
        <f>IFERROR("IN" &amp; _xlfn.TEXTBEFORE(_xlfn.TEXTAFTER(UPPER(tblShipments5[[#This Row],[Gateway_clean]]),"IN")," ",1),"")</f>
        <v>INNSA1</v>
      </c>
      <c r="P97" t="str">
        <f>SUBSTITUTE(tblShipments5[[#This Row],[Gateway]], CHAR(10), " ")</f>
        <v xml:space="preserve">AWB No. Gateway Port Gateway EGM No. Gateway EGM Date Gateway Site ID Error Code N.A.  INNSA1  N.A.  N.A.  N.A.  N.A. </v>
      </c>
      <c r="Q97" t="s">
        <v>26</v>
      </c>
    </row>
    <row r="98" spans="1:17" x14ac:dyDescent="0.35">
      <c r="A98" t="s">
        <v>8</v>
      </c>
      <c r="B98">
        <v>1277880</v>
      </c>
      <c r="C98" s="2" t="s">
        <v>1373</v>
      </c>
      <c r="D98" s="2" t="str">
        <f>LEFT(TRIM(MID(SUBSTITUTE(tblShipments5[[#This Row],[Details]],CHAR(10)," "), FIND(CHAR(10),tblShipments5[[#This Row],[Details]])+1, 50)), 10)</f>
        <v>0588062359</v>
      </c>
      <c r="E98" t="s">
        <v>1388</v>
      </c>
      <c r="F9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8" t="str">
        <f>IF(tblShipments5[[#This Row],[EGM no]]="", "Missing EGM", "EGM Submitted")</f>
        <v>EGM Submitted</v>
      </c>
      <c r="H98" t="str">
        <f>IF(OR(ISNUMBER(SEARCH("Released",tblShipments5[[#This Row],[ROSL]])),
      ISNUMBER(SEARCH("Scroll",tblShipments5[[#This Row],[ROSL]])),
      ISNUMBER(SEARCH("Y",tblShipments5[[#This Row],[ROSL]]))),
   "Released",
   "Not Released")</f>
        <v>Released</v>
      </c>
      <c r="I98" t="str">
        <f>IF(OR(tblShipments5[[#This Row],[EGM no]]="", tblShipments5[[#This Row],[EGM no]]="N.A."), "Not Submitted", "Submitted")</f>
        <v>Submitted</v>
      </c>
      <c r="J98" t="str">
        <f>IF(LEFT(tblShipments5[[#This Row],[Gateway_Extracted]],2)="IN","Valid","Invalid")</f>
        <v>Valid</v>
      </c>
      <c r="K98" t="s">
        <v>1389</v>
      </c>
      <c r="L98" t="s">
        <v>1384</v>
      </c>
      <c r="M98" t="s">
        <v>1390</v>
      </c>
      <c r="N98" t="s">
        <v>1391</v>
      </c>
      <c r="O98" t="str">
        <f>IFERROR("IN" &amp; _xlfn.TEXTBEFORE(_xlfn.TEXTAFTER(UPPER(tblShipments5[[#This Row],[Gateway_clean]]),"IN")," ",1),"")</f>
        <v>INNSA1</v>
      </c>
      <c r="P98" t="str">
        <f>SUBSTITUTE(tblShipments5[[#This Row],[Gateway]], CHAR(10), " ")</f>
        <v xml:space="preserve">AWB No. Gateway Port Gateway EGM No. Gateway EGM Date Gateway Site ID Error Code N.A.  INNSA1  140047  2017-12-05 00:00:00.0  INNSA1  S </v>
      </c>
      <c r="Q98" t="s">
        <v>1387</v>
      </c>
    </row>
    <row r="99" spans="1:17" x14ac:dyDescent="0.35">
      <c r="A99" t="s">
        <v>8</v>
      </c>
      <c r="B99">
        <v>1277951</v>
      </c>
      <c r="C99" s="2" t="s">
        <v>1373</v>
      </c>
      <c r="D99" s="2" t="str">
        <f>LEFT(TRIM(MID(SUBSTITUTE(tblShipments5[[#This Row],[Details]],CHAR(10)," "), FIND(CHAR(10),tblShipments5[[#This Row],[Details]])+1, 50)), 10)</f>
        <v>0588062359</v>
      </c>
      <c r="E99" t="s">
        <v>1392</v>
      </c>
      <c r="F9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99" t="str">
        <f>IF(tblShipments5[[#This Row],[EGM no]]="", "Missing EGM", "EGM Submitted")</f>
        <v>EGM Submitted</v>
      </c>
      <c r="H99" t="str">
        <f>IF(OR(ISNUMBER(SEARCH("Released",tblShipments5[[#This Row],[ROSL]])),
      ISNUMBER(SEARCH("Scroll",tblShipments5[[#This Row],[ROSL]])),
      ISNUMBER(SEARCH("Y",tblShipments5[[#This Row],[ROSL]]))),
   "Released",
   "Not Released")</f>
        <v>Released</v>
      </c>
      <c r="I99" t="str">
        <f>IF(OR(tblShipments5[[#This Row],[EGM no]]="", tblShipments5[[#This Row],[EGM no]]="N.A."), "Not Submitted", "Submitted")</f>
        <v>Submitted</v>
      </c>
      <c r="J99" t="str">
        <f>IF(LEFT(tblShipments5[[#This Row],[Gateway_Extracted]],2)="IN","Valid","Invalid")</f>
        <v>Valid</v>
      </c>
      <c r="K99" t="s">
        <v>1389</v>
      </c>
      <c r="L99" t="s">
        <v>1384</v>
      </c>
      <c r="M99" t="s">
        <v>1390</v>
      </c>
      <c r="N99" t="s">
        <v>1391</v>
      </c>
      <c r="O99" t="str">
        <f>IFERROR("IN" &amp; _xlfn.TEXTBEFORE(_xlfn.TEXTAFTER(UPPER(tblShipments5[[#This Row],[Gateway_clean]]),"IN")," ",1),"")</f>
        <v>INNSA1</v>
      </c>
      <c r="P99" t="str">
        <f>SUBSTITUTE(tblShipments5[[#This Row],[Gateway]], CHAR(10), " ")</f>
        <v xml:space="preserve">AWB No. Gateway Port Gateway EGM No. Gateway EGM Date Gateway Site ID Error Code N.A.  INNSA1  140047  2017-12-05 00:00:00.0  INNSA1  S </v>
      </c>
      <c r="Q99" t="s">
        <v>1387</v>
      </c>
    </row>
    <row r="100" spans="1:17" x14ac:dyDescent="0.35">
      <c r="A100" t="s">
        <v>8</v>
      </c>
      <c r="B100">
        <v>1277877</v>
      </c>
      <c r="C100" s="2" t="s">
        <v>1373</v>
      </c>
      <c r="D100" s="2" t="str">
        <f>LEFT(TRIM(MID(SUBSTITUTE(tblShipments5[[#This Row],[Details]],CHAR(10)," "), FIND(CHAR(10),tblShipments5[[#This Row],[Details]])+1, 50)), 10)</f>
        <v>0588062359</v>
      </c>
      <c r="E100" t="s">
        <v>1383</v>
      </c>
      <c r="F10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0" t="str">
        <f>IF(tblShipments5[[#This Row],[EGM no]]="", "Missing EGM", "EGM Submitted")</f>
        <v>EGM Submitted</v>
      </c>
      <c r="H100" t="str">
        <f>IF(OR(ISNUMBER(SEARCH("Released",tblShipments5[[#This Row],[ROSL]])),
      ISNUMBER(SEARCH("Scroll",tblShipments5[[#This Row],[ROSL]])),
      ISNUMBER(SEARCH("Y",tblShipments5[[#This Row],[ROSL]]))),
   "Released",
   "Not Released")</f>
        <v>Released</v>
      </c>
      <c r="I100" t="str">
        <f>IF(OR(tblShipments5[[#This Row],[EGM no]]="", tblShipments5[[#This Row],[EGM no]]="N.A."), "Not Submitted", "Submitted")</f>
        <v>Submitted</v>
      </c>
      <c r="J100" t="str">
        <f>IF(LEFT(tblShipments5[[#This Row],[Gateway_Extracted]],2)="IN","Valid","Invalid")</f>
        <v>Valid</v>
      </c>
      <c r="K100" t="s">
        <v>1379</v>
      </c>
      <c r="L100" t="s">
        <v>1384</v>
      </c>
      <c r="M100" t="s">
        <v>1385</v>
      </c>
      <c r="N100" t="s">
        <v>1386</v>
      </c>
      <c r="O100" t="str">
        <f>IFERROR("IN" &amp; _xlfn.TEXTBEFORE(_xlfn.TEXTAFTER(UPPER(tblShipments5[[#This Row],[Gateway_clean]]),"IN")," ",1),"")</f>
        <v>INNSA1</v>
      </c>
      <c r="P100" t="str">
        <f>SUBSTITUTE(tblShipments5[[#This Row],[Gateway]], CHAR(10), " ")</f>
        <v xml:space="preserve">AWB No. Gateway Port Gateway EGM No. Gateway EGM Date Gateway Site ID Error Code N.A.  INNSA1  140047  2017-12-05 00:00:00.0  INNSA1  S </v>
      </c>
      <c r="Q100" t="s">
        <v>1387</v>
      </c>
    </row>
    <row r="101" spans="1:17" x14ac:dyDescent="0.35">
      <c r="A101" t="s">
        <v>8</v>
      </c>
      <c r="B101">
        <v>1317115</v>
      </c>
      <c r="C101" s="2" t="s">
        <v>1393</v>
      </c>
      <c r="D101" s="2" t="str">
        <f>LEFT(TRIM(MID(SUBSTITUTE(tblShipments5[[#This Row],[Details]],CHAR(10)," "), FIND(CHAR(10),tblShipments5[[#This Row],[Details]])+1, 50)), 10)</f>
        <v>0588062359</v>
      </c>
      <c r="E101" t="s">
        <v>1399</v>
      </c>
      <c r="F10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1" t="str">
        <f>IF(tblShipments5[[#This Row],[EGM no]]="", "Missing EGM", "EGM Submitted")</f>
        <v>EGM Submitted</v>
      </c>
      <c r="H101" t="str">
        <f>IF(OR(ISNUMBER(SEARCH("Released",tblShipments5[[#This Row],[ROSL]])),
      ISNUMBER(SEARCH("Scroll",tblShipments5[[#This Row],[ROSL]])),
      ISNUMBER(SEARCH("Y",tblShipments5[[#This Row],[ROSL]]))),
   "Released",
   "Not Released")</f>
        <v>Released</v>
      </c>
      <c r="I101" t="str">
        <f>IF(OR(tblShipments5[[#This Row],[EGM no]]="", tblShipments5[[#This Row],[EGM no]]="N.A."), "Not Submitted", "Submitted")</f>
        <v>Submitted</v>
      </c>
      <c r="J101" t="str">
        <f>IF(LEFT(tblShipments5[[#This Row],[Gateway_Extracted]],2)="IN","Valid","Invalid")</f>
        <v>Valid</v>
      </c>
      <c r="K101" t="s">
        <v>1379</v>
      </c>
      <c r="L101" t="s">
        <v>1384</v>
      </c>
      <c r="M101" t="s">
        <v>1400</v>
      </c>
      <c r="N101" t="s">
        <v>1401</v>
      </c>
      <c r="O101" t="str">
        <f>IFERROR("IN" &amp; _xlfn.TEXTBEFORE(_xlfn.TEXTAFTER(UPPER(tblShipments5[[#This Row],[Gateway_clean]]),"IN")," ",1),"")</f>
        <v>INNSA1</v>
      </c>
      <c r="P101" t="str">
        <f>SUBSTITUTE(tblShipments5[[#This Row],[Gateway]], CHAR(10), " ")</f>
        <v xml:space="preserve">AWB No. Gateway Port Gateway EGM No. Gateway EGM Date Gateway Site ID Error Code N.A.  INNSA1  140047  2017-12-05 00:00:00.0  INNSA1  S </v>
      </c>
      <c r="Q101" t="s">
        <v>1387</v>
      </c>
    </row>
    <row r="102" spans="1:17" x14ac:dyDescent="0.35">
      <c r="A102" t="s">
        <v>8</v>
      </c>
      <c r="B102">
        <v>1318155</v>
      </c>
      <c r="C102" s="2" t="s">
        <v>1393</v>
      </c>
      <c r="D102" s="2" t="str">
        <f>LEFT(TRIM(MID(SUBSTITUTE(tblShipments5[[#This Row],[Details]],CHAR(10)," "), FIND(CHAR(10),tblShipments5[[#This Row],[Details]])+1, 50)), 10)</f>
        <v>0588062359</v>
      </c>
      <c r="E102" t="s">
        <v>1402</v>
      </c>
      <c r="F10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2" t="str">
        <f>IF(tblShipments5[[#This Row],[EGM no]]="", "Missing EGM", "EGM Submitted")</f>
        <v>EGM Submitted</v>
      </c>
      <c r="H102" t="str">
        <f>IF(OR(ISNUMBER(SEARCH("Released",tblShipments5[[#This Row],[ROSL]])),
      ISNUMBER(SEARCH("Scroll",tblShipments5[[#This Row],[ROSL]])),
      ISNUMBER(SEARCH("Y",tblShipments5[[#This Row],[ROSL]]))),
   "Released",
   "Not Released")</f>
        <v>Released</v>
      </c>
      <c r="I102" t="str">
        <f>IF(OR(tblShipments5[[#This Row],[EGM no]]="", tblShipments5[[#This Row],[EGM no]]="N.A."), "Not Submitted", "Submitted")</f>
        <v>Submitted</v>
      </c>
      <c r="J102" t="str">
        <f>IF(LEFT(tblShipments5[[#This Row],[Gateway_Extracted]],2)="IN","Valid","Invalid")</f>
        <v>Valid</v>
      </c>
      <c r="K102" t="s">
        <v>1379</v>
      </c>
      <c r="L102" t="s">
        <v>1403</v>
      </c>
      <c r="M102" t="s">
        <v>1404</v>
      </c>
      <c r="N102" t="s">
        <v>1405</v>
      </c>
      <c r="O102" t="str">
        <f>IFERROR("IN" &amp; _xlfn.TEXTBEFORE(_xlfn.TEXTAFTER(UPPER(tblShipments5[[#This Row],[Gateway_clean]]),"IN")," ",1),"")</f>
        <v>INNSA1</v>
      </c>
      <c r="P102" t="str">
        <f>SUBSTITUTE(tblShipments5[[#This Row],[Gateway]], CHAR(10), " ")</f>
        <v xml:space="preserve">AWB No. Gateway Port Gateway EGM No. Gateway EGM Date Gateway Site ID Error Code N.A.  INNSA1  140047  2017-12-05 00:00:00.0  INNSA1  S </v>
      </c>
      <c r="Q102" t="s">
        <v>1387</v>
      </c>
    </row>
    <row r="103" spans="1:17" x14ac:dyDescent="0.35">
      <c r="A103" t="s">
        <v>8</v>
      </c>
      <c r="B103">
        <v>9212445</v>
      </c>
      <c r="C103" s="2" t="s">
        <v>993</v>
      </c>
      <c r="D103" s="2" t="str">
        <f>LEFT(TRIM(MID(SUBSTITUTE(tblShipments5[[#This Row],[Details]],CHAR(10)," "), FIND(CHAR(10),tblShipments5[[#This Row],[Details]])+1, 50)), 10)</f>
        <v>0512084262</v>
      </c>
      <c r="E103" t="s">
        <v>994</v>
      </c>
      <c r="F10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3" t="str">
        <f>IF(tblShipments5[[#This Row],[EGM no]]="", "Missing EGM", "EGM Submitted")</f>
        <v>EGM Submitted</v>
      </c>
      <c r="H103" t="str">
        <f>IF(OR(ISNUMBER(SEARCH("Released",tblShipments5[[#This Row],[ROSL]])),
      ISNUMBER(SEARCH("Scroll",tblShipments5[[#This Row],[ROSL]])),
      ISNUMBER(SEARCH("Y",tblShipments5[[#This Row],[ROSL]]))),
   "Released",
   "Not Released")</f>
        <v>Released</v>
      </c>
      <c r="I103" t="str">
        <f>IF(OR(tblShipments5[[#This Row],[EGM no]]="", tblShipments5[[#This Row],[EGM no]]="N.A."), "Not Submitted", "Submitted")</f>
        <v>Submitted</v>
      </c>
      <c r="J103" t="str">
        <f>IF(LEFT(tblShipments5[[#This Row],[Gateway_Extracted]],2)="IN","Valid","Invalid")</f>
        <v>Valid</v>
      </c>
      <c r="K103" t="s">
        <v>995</v>
      </c>
      <c r="L103" t="s">
        <v>996</v>
      </c>
      <c r="M103" t="s">
        <v>13</v>
      </c>
      <c r="N103" t="s">
        <v>997</v>
      </c>
      <c r="O103" t="str">
        <f>IFERROR("IN" &amp; _xlfn.TEXTBEFORE(_xlfn.TEXTAFTER(UPPER(tblShipments5[[#This Row],[Gateway_clean]]),"IN")," ",1),"")</f>
        <v>INNSA1</v>
      </c>
      <c r="P103" t="str">
        <f>SUBSTITUTE(tblShipments5[[#This Row],[Gateway]], CHAR(10), " ")</f>
        <v xml:space="preserve">AWB No. Gateway Port Gateway EGM No. Gateway EGM Date Gateway Site ID Error Code N.A.  INNSA1  136637  2017-10-10 00:00:00.0  INNSA1  C </v>
      </c>
      <c r="Q103" t="s">
        <v>998</v>
      </c>
    </row>
    <row r="104" spans="1:17" x14ac:dyDescent="0.35">
      <c r="A104" t="s">
        <v>8</v>
      </c>
      <c r="B104">
        <v>8102896</v>
      </c>
      <c r="C104" s="2" t="s">
        <v>346</v>
      </c>
      <c r="D104" s="2" t="str">
        <f>LEFT(TRIM(MID(SUBSTITUTE(tblShipments5[[#This Row],[Details]],CHAR(10)," "), FIND(CHAR(10),tblShipments5[[#This Row],[Details]])+1, 50)), 10)</f>
        <v>0589053850</v>
      </c>
      <c r="E104" t="s">
        <v>347</v>
      </c>
      <c r="F10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4" t="str">
        <f>IF(tblShipments5[[#This Row],[EGM no]]="", "Missing EGM", "EGM Submitted")</f>
        <v>EGM Submitted</v>
      </c>
      <c r="H104" t="str">
        <f>IF(OR(ISNUMBER(SEARCH("Released",tblShipments5[[#This Row],[ROSL]])),
      ISNUMBER(SEARCH("Scroll",tblShipments5[[#This Row],[ROSL]])),
      ISNUMBER(SEARCH("Y",tblShipments5[[#This Row],[ROSL]]))),
   "Released",
   "Not Released")</f>
        <v>Released</v>
      </c>
      <c r="I104" t="str">
        <f>IF(OR(tblShipments5[[#This Row],[EGM no]]="", tblShipments5[[#This Row],[EGM no]]="N.A."), "Not Submitted", "Submitted")</f>
        <v>Submitted</v>
      </c>
      <c r="J104" t="str">
        <f>IF(LEFT(tblShipments5[[#This Row],[Gateway_Extracted]],2)="IN","Valid","Invalid")</f>
        <v>Valid</v>
      </c>
      <c r="K104" t="s">
        <v>261</v>
      </c>
      <c r="L104" t="s">
        <v>348</v>
      </c>
      <c r="M104" t="s">
        <v>13</v>
      </c>
      <c r="N104" t="s">
        <v>349</v>
      </c>
      <c r="O104" t="str">
        <f>IFERROR("IN" &amp; _xlfn.TEXTBEFORE(_xlfn.TEXTAFTER(UPPER(tblShipments5[[#This Row],[Gateway_clean]]),"IN")," ",1),"")</f>
        <v>INMUN1</v>
      </c>
      <c r="P104" t="str">
        <f>SUBSTITUTE(tblShipments5[[#This Row],[Gateway]], CHAR(10), " ")</f>
        <v xml:space="preserve">AWB No. Gateway Port Gateway EGM No. Gateway EGM Date Gateway Site ID Error Code N.A.  INMUN1  137180  2017-10-18 00:00:00.0  INMUN1  ST </v>
      </c>
      <c r="Q104" t="s">
        <v>212</v>
      </c>
    </row>
    <row r="105" spans="1:17" x14ac:dyDescent="0.35">
      <c r="A105" t="s">
        <v>8</v>
      </c>
      <c r="B105">
        <v>8579468</v>
      </c>
      <c r="C105" s="2" t="s">
        <v>657</v>
      </c>
      <c r="D105" s="2" t="str">
        <f>LEFT(TRIM(MID(SUBSTITUTE(tblShipments5[[#This Row],[Details]],CHAR(10)," "), FIND(CHAR(10),tblShipments5[[#This Row],[Details]])+1, 50)), 10)</f>
        <v>0589053850</v>
      </c>
      <c r="E105" t="s">
        <v>663</v>
      </c>
      <c r="F10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5" t="str">
        <f>IF(tblShipments5[[#This Row],[EGM no]]="", "Missing EGM", "EGM Submitted")</f>
        <v>EGM Submitted</v>
      </c>
      <c r="H105" t="str">
        <f>IF(OR(ISNUMBER(SEARCH("Released",tblShipments5[[#This Row],[ROSL]])),
      ISNUMBER(SEARCH("Scroll",tblShipments5[[#This Row],[ROSL]])),
      ISNUMBER(SEARCH("Y",tblShipments5[[#This Row],[ROSL]]))),
   "Released",
   "Not Released")</f>
        <v>Released</v>
      </c>
      <c r="I105" t="str">
        <f>IF(OR(tblShipments5[[#This Row],[EGM no]]="", tblShipments5[[#This Row],[EGM no]]="N.A."), "Not Submitted", "Submitted")</f>
        <v>Submitted</v>
      </c>
      <c r="J105" t="str">
        <f>IF(LEFT(tblShipments5[[#This Row],[Gateway_Extracted]],2)="IN","Valid","Invalid")</f>
        <v>Valid</v>
      </c>
      <c r="K105" t="s">
        <v>664</v>
      </c>
      <c r="L105" t="s">
        <v>665</v>
      </c>
      <c r="M105" t="s">
        <v>13</v>
      </c>
      <c r="N105" t="s">
        <v>666</v>
      </c>
      <c r="O105" t="str">
        <f>IFERROR("IN" &amp; _xlfn.TEXTBEFORE(_xlfn.TEXTAFTER(UPPER(tblShipments5[[#This Row],[Gateway_clean]]),"IN")," ",1),"")</f>
        <v>INNSA1</v>
      </c>
      <c r="P105" t="str">
        <f>SUBSTITUTE(tblShipments5[[#This Row],[Gateway]], CHAR(10), " ")</f>
        <v xml:space="preserve">AWB No. Gateway Port Gateway EGM No. Gateway EGM Date Gateway Site ID Error Code N.A.  INNSA1  134711  2017-09-07 00:00:00.0  INNSA1  ST </v>
      </c>
      <c r="Q105" t="s">
        <v>667</v>
      </c>
    </row>
    <row r="106" spans="1:17" x14ac:dyDescent="0.35">
      <c r="A106" t="s">
        <v>8</v>
      </c>
      <c r="B106">
        <v>8999430</v>
      </c>
      <c r="C106" s="2" t="s">
        <v>900</v>
      </c>
      <c r="D106" s="2" t="str">
        <f>LEFT(TRIM(MID(SUBSTITUTE(tblShipments5[[#This Row],[Details]],CHAR(10)," "), FIND(CHAR(10),tblShipments5[[#This Row],[Details]])+1, 50)), 10)</f>
        <v>0589053850</v>
      </c>
      <c r="E106" t="s">
        <v>901</v>
      </c>
      <c r="F10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6" t="str">
        <f>IF(tblShipments5[[#This Row],[EGM no]]="", "Missing EGM", "EGM Submitted")</f>
        <v>EGM Submitted</v>
      </c>
      <c r="H106" t="str">
        <f>IF(OR(ISNUMBER(SEARCH("Released",tblShipments5[[#This Row],[ROSL]])),
      ISNUMBER(SEARCH("Scroll",tblShipments5[[#This Row],[ROSL]])),
      ISNUMBER(SEARCH("Y",tblShipments5[[#This Row],[ROSL]]))),
   "Released",
   "Not Released")</f>
        <v>Released</v>
      </c>
      <c r="I106" t="str">
        <f>IF(OR(tblShipments5[[#This Row],[EGM no]]="", tblShipments5[[#This Row],[EGM no]]="N.A."), "Not Submitted", "Submitted")</f>
        <v>Submitted</v>
      </c>
      <c r="J106" t="str">
        <f>IF(LEFT(tblShipments5[[#This Row],[Gateway_Extracted]],2)="IN","Valid","Invalid")</f>
        <v>Valid</v>
      </c>
      <c r="K106" t="s">
        <v>902</v>
      </c>
      <c r="L106" t="s">
        <v>903</v>
      </c>
      <c r="M106" t="s">
        <v>13</v>
      </c>
      <c r="N106" t="s">
        <v>904</v>
      </c>
      <c r="O106" t="str">
        <f>IFERROR("IN" &amp; _xlfn.TEXTBEFORE(_xlfn.TEXTAFTER(UPPER(tblShipments5[[#This Row],[Gateway_clean]]),"IN")," ",1),"")</f>
        <v>INNSA1</v>
      </c>
      <c r="P106" t="str">
        <f>SUBSTITUTE(tblShipments5[[#This Row],[Gateway]], CHAR(10), " ")</f>
        <v xml:space="preserve">AWB No. Gateway Port Gateway EGM No. Gateway EGM Date Gateway Site ID Error Code N.A.  INNSA1  135755  2017-09-25 00:00:00.0  INNSA1  NC </v>
      </c>
      <c r="Q106" t="s">
        <v>905</v>
      </c>
    </row>
    <row r="107" spans="1:17" x14ac:dyDescent="0.35">
      <c r="A107" t="s">
        <v>8</v>
      </c>
      <c r="B107">
        <v>1568268</v>
      </c>
      <c r="C107" s="2" t="s">
        <v>1528</v>
      </c>
      <c r="D107" s="2" t="str">
        <f>LEFT(TRIM(MID(SUBSTITUTE(tblShipments5[[#This Row],[Details]],CHAR(10)," "), FIND(CHAR(10),tblShipments5[[#This Row],[Details]])+1, 50)), 10)</f>
        <v>0589053850</v>
      </c>
      <c r="E107" t="s">
        <v>1533</v>
      </c>
      <c r="F10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7" t="str">
        <f>IF(tblShipments5[[#This Row],[EGM no]]="", "Missing EGM", "EGM Submitted")</f>
        <v>EGM Submitted</v>
      </c>
      <c r="H107" t="str">
        <f>IF(OR(ISNUMBER(SEARCH("Released",tblShipments5[[#This Row],[ROSL]])),
      ISNUMBER(SEARCH("Scroll",tblShipments5[[#This Row],[ROSL]])),
      ISNUMBER(SEARCH("Y",tblShipments5[[#This Row],[ROSL]]))),
   "Released",
   "Not Released")</f>
        <v>Released</v>
      </c>
      <c r="I107" t="str">
        <f>IF(OR(tblShipments5[[#This Row],[EGM no]]="", tblShipments5[[#This Row],[EGM no]]="N.A."), "Not Submitted", "Submitted")</f>
        <v>Submitted</v>
      </c>
      <c r="J107" t="str">
        <f>IF(LEFT(tblShipments5[[#This Row],[Gateway_Extracted]],2)="IN","Valid","Invalid")</f>
        <v>Valid</v>
      </c>
      <c r="K107" t="s">
        <v>1461</v>
      </c>
      <c r="L107" t="s">
        <v>1534</v>
      </c>
      <c r="M107" t="s">
        <v>13</v>
      </c>
      <c r="N107" t="s">
        <v>1535</v>
      </c>
      <c r="O107" t="str">
        <f>IFERROR("IN" &amp; _xlfn.TEXTBEFORE(_xlfn.TEXTAFTER(UPPER(tblShipments5[[#This Row],[Gateway_clean]]),"IN")," ",1),"")</f>
        <v>INNSA1</v>
      </c>
      <c r="P107" t="str">
        <f>SUBSTITUTE(tblShipments5[[#This Row],[Gateway]], CHAR(10), " ")</f>
        <v xml:space="preserve">AWB No. Gateway Port Gateway EGM No. Gateway EGM Date Gateway Site ID Error Code N.A.  INNSA1  140487  2017-12-12 00:00:00.0  INNSA1  S </v>
      </c>
      <c r="Q107" t="s">
        <v>1536</v>
      </c>
    </row>
    <row r="108" spans="1:17" x14ac:dyDescent="0.35">
      <c r="A108" t="s">
        <v>8</v>
      </c>
      <c r="B108">
        <v>8144422</v>
      </c>
      <c r="C108" s="2" t="s">
        <v>356</v>
      </c>
      <c r="D108" s="2" t="str">
        <f>LEFT(TRIM(MID(SUBSTITUTE(tblShipments5[[#This Row],[Details]],CHAR(10)," "), FIND(CHAR(10),tblShipments5[[#This Row],[Details]])+1, 50)), 10)</f>
        <v>0511026242</v>
      </c>
      <c r="E108" t="s">
        <v>368</v>
      </c>
      <c r="F10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8" t="str">
        <f>IF(tblShipments5[[#This Row],[EGM no]]="", "Missing EGM", "EGM Submitted")</f>
        <v>EGM Submitted</v>
      </c>
      <c r="H108" t="str">
        <f>IF(OR(ISNUMBER(SEARCH("Released",tblShipments5[[#This Row],[ROSL]])),
      ISNUMBER(SEARCH("Scroll",tblShipments5[[#This Row],[ROSL]])),
      ISNUMBER(SEARCH("Y",tblShipments5[[#This Row],[ROSL]]))),
   "Released",
   "Not Released")</f>
        <v>Released</v>
      </c>
      <c r="I108" t="str">
        <f>IF(OR(tblShipments5[[#This Row],[EGM no]]="", tblShipments5[[#This Row],[EGM no]]="N.A."), "Not Submitted", "Submitted")</f>
        <v>Submitted</v>
      </c>
      <c r="J108" t="str">
        <f>IF(LEFT(tblShipments5[[#This Row],[Gateway_Extracted]],2)="IN","Valid","Invalid")</f>
        <v>Valid</v>
      </c>
      <c r="K108" t="s">
        <v>369</v>
      </c>
      <c r="L108" t="s">
        <v>370</v>
      </c>
      <c r="M108" t="s">
        <v>31</v>
      </c>
      <c r="N108" t="s">
        <v>371</v>
      </c>
      <c r="O108" t="str">
        <f>IFERROR("IN" &amp; _xlfn.TEXTBEFORE(_xlfn.TEXTAFTER(UPPER(tblShipments5[[#This Row],[Gateway_clean]]),"IN")," ",1),"")</f>
        <v>INNSA1</v>
      </c>
      <c r="P108" t="str">
        <f>SUBSTITUTE(tblShipments5[[#This Row],[Gateway]], CHAR(10), " ")</f>
        <v xml:space="preserve">AWB No. Gateway Port Gateway EGM No. Gateway EGM Date Gateway Site ID Error Code N.A.  INNSA1  134462  2017-09-04 00:00:00.0  INNSA1  S </v>
      </c>
      <c r="Q108" t="s">
        <v>372</v>
      </c>
    </row>
    <row r="109" spans="1:17" x14ac:dyDescent="0.35">
      <c r="A109" t="s">
        <v>8</v>
      </c>
      <c r="B109">
        <v>9234919</v>
      </c>
      <c r="C109" s="2" t="s">
        <v>1008</v>
      </c>
      <c r="D109" s="2" t="str">
        <f>LEFT(TRIM(MID(SUBSTITUTE(tblShipments5[[#This Row],[Details]],CHAR(10)," "), FIND(CHAR(10),tblShipments5[[#This Row],[Details]])+1, 50)), 10)</f>
        <v>0511026242</v>
      </c>
      <c r="E109" t="s">
        <v>1009</v>
      </c>
      <c r="F10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09" t="str">
        <f>IF(tblShipments5[[#This Row],[EGM no]]="", "Missing EGM", "EGM Submitted")</f>
        <v>EGM Submitted</v>
      </c>
      <c r="H109" t="str">
        <f>IF(OR(ISNUMBER(SEARCH("Released",tblShipments5[[#This Row],[ROSL]])),
      ISNUMBER(SEARCH("Scroll",tblShipments5[[#This Row],[ROSL]])),
      ISNUMBER(SEARCH("Y",tblShipments5[[#This Row],[ROSL]]))),
   "Released",
   "Not Released")</f>
        <v>Released</v>
      </c>
      <c r="I109" t="str">
        <f>IF(OR(tblShipments5[[#This Row],[EGM no]]="", tblShipments5[[#This Row],[EGM no]]="N.A."), "Not Submitted", "Submitted")</f>
        <v>Submitted</v>
      </c>
      <c r="J109" t="str">
        <f>IF(LEFT(tblShipments5[[#This Row],[Gateway_Extracted]],2)="IN","Valid","Invalid")</f>
        <v>Valid</v>
      </c>
      <c r="K109" t="s">
        <v>1010</v>
      </c>
      <c r="L109" t="s">
        <v>1011</v>
      </c>
      <c r="M109" t="s">
        <v>13</v>
      </c>
      <c r="N109" t="s">
        <v>1012</v>
      </c>
      <c r="O109" t="str">
        <f>IFERROR("IN" &amp; _xlfn.TEXTBEFORE(_xlfn.TEXTAFTER(UPPER(tblShipments5[[#This Row],[Gateway_clean]]),"IN")," ",1),"")</f>
        <v>INNSA1</v>
      </c>
      <c r="P109" t="str">
        <f>SUBSTITUTE(tblShipments5[[#This Row],[Gateway]], CHAR(10), " ")</f>
        <v xml:space="preserve">AWB No. Gateway Port Gateway EGM No. Gateway EGM Date Gateway Site ID Error Code N.A.  INNSA1  136898  2017-10-13 00:00:00.0  INNSA1  S </v>
      </c>
      <c r="Q109" t="s">
        <v>885</v>
      </c>
    </row>
    <row r="110" spans="1:17" x14ac:dyDescent="0.35">
      <c r="A110" t="s">
        <v>8</v>
      </c>
      <c r="B110">
        <v>8513208</v>
      </c>
      <c r="C110" s="2" t="s">
        <v>633</v>
      </c>
      <c r="D110" s="2" t="str">
        <f>LEFT(TRIM(MID(SUBSTITUTE(tblShipments5[[#This Row],[Details]],CHAR(10)," "), FIND(CHAR(10),tblShipments5[[#This Row],[Details]])+1, 50)), 10)</f>
        <v>0505032473</v>
      </c>
      <c r="E110" t="s">
        <v>638</v>
      </c>
      <c r="F11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0" t="str">
        <f>IF(tblShipments5[[#This Row],[EGM no]]="", "Missing EGM", "EGM Submitted")</f>
        <v>EGM Submitted</v>
      </c>
      <c r="H110" t="str">
        <f>IF(OR(ISNUMBER(SEARCH("Released",tblShipments5[[#This Row],[ROSL]])),
      ISNUMBER(SEARCH("Scroll",tblShipments5[[#This Row],[ROSL]])),
      ISNUMBER(SEARCH("Y",tblShipments5[[#This Row],[ROSL]]))),
   "Released",
   "Not Released")</f>
        <v>Released</v>
      </c>
      <c r="I110" t="str">
        <f>IF(OR(tblShipments5[[#This Row],[EGM no]]="", tblShipments5[[#This Row],[EGM no]]="N.A."), "Not Submitted", "Submitted")</f>
        <v>Submitted</v>
      </c>
      <c r="J110" t="str">
        <f>IF(LEFT(tblShipments5[[#This Row],[Gateway_Extracted]],2)="IN","Valid","Invalid")</f>
        <v>Valid</v>
      </c>
      <c r="K110" t="s">
        <v>639</v>
      </c>
      <c r="L110" t="s">
        <v>640</v>
      </c>
      <c r="M110" t="s">
        <v>13</v>
      </c>
      <c r="N110" t="s">
        <v>641</v>
      </c>
      <c r="O110" t="str">
        <f>IFERROR("IN" &amp; _xlfn.TEXTBEFORE(_xlfn.TEXTAFTER(UPPER(tblShipments5[[#This Row],[Gateway_clean]]),"IN")," ",1),"")</f>
        <v>INMUN1</v>
      </c>
      <c r="P110" t="str">
        <f>SUBSTITUTE(tblShipments5[[#This Row],[Gateway]], CHAR(10), " ")</f>
        <v xml:space="preserve">AWB No. Gateway Port Gateway EGM No. Gateway EGM Date Gateway Site ID Error Code N.A.  INMUN1  135462  2017-09-20 00:00:00.0  INMUN1  S </v>
      </c>
      <c r="Q110" t="s">
        <v>642</v>
      </c>
    </row>
    <row r="111" spans="1:17" x14ac:dyDescent="0.35">
      <c r="A111" t="s">
        <v>8</v>
      </c>
      <c r="B111">
        <v>1752198</v>
      </c>
      <c r="C111" s="2" t="s">
        <v>1628</v>
      </c>
      <c r="D111" s="2" t="str">
        <f>LEFT(TRIM(MID(SUBSTITUTE(tblShipments5[[#This Row],[Details]],CHAR(10)," "), FIND(CHAR(10),tblShipments5[[#This Row],[Details]])+1, 50)), 10)</f>
        <v>0511006519</v>
      </c>
      <c r="E111" t="s">
        <v>1629</v>
      </c>
      <c r="F11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1" t="str">
        <f>IF(tblShipments5[[#This Row],[EGM no]]="", "Missing EGM", "EGM Submitted")</f>
        <v>EGM Submitted</v>
      </c>
      <c r="H111" t="str">
        <f>IF(OR(ISNUMBER(SEARCH("Released",tblShipments5[[#This Row],[ROSL]])),
      ISNUMBER(SEARCH("Scroll",tblShipments5[[#This Row],[ROSL]])),
      ISNUMBER(SEARCH("Y",tblShipments5[[#This Row],[ROSL]]))),
   "Released",
   "Not Released")</f>
        <v>Released</v>
      </c>
      <c r="I111" t="str">
        <f>IF(OR(tblShipments5[[#This Row],[EGM no]]="", tblShipments5[[#This Row],[EGM no]]="N.A."), "Not Submitted", "Submitted")</f>
        <v>Submitted</v>
      </c>
      <c r="J111" t="str">
        <f>IF(LEFT(tblShipments5[[#This Row],[Gateway_Extracted]],2)="IN","Valid","Invalid")</f>
        <v>Valid</v>
      </c>
      <c r="K111" t="s">
        <v>1597</v>
      </c>
      <c r="L111" t="s">
        <v>1630</v>
      </c>
      <c r="M111" t="s">
        <v>13</v>
      </c>
      <c r="N111" t="s">
        <v>1631</v>
      </c>
      <c r="O111" t="str">
        <f>IFERROR("IN" &amp; _xlfn.TEXTBEFORE(_xlfn.TEXTAFTER(UPPER(tblShipments5[[#This Row],[Gateway_clean]]),"IN")," ",1),"")</f>
        <v>INMUN1</v>
      </c>
      <c r="P111" t="str">
        <f>SUBSTITUTE(tblShipments5[[#This Row],[Gateway]], CHAR(10), " ")</f>
        <v xml:space="preserve">AWB No. Gateway Port Gateway EGM No. Gateway EGM Date Gateway Site ID Error Code N.A.  INMUN1  141901  2018-01-03 00:00:00.0  INMUN1  S </v>
      </c>
      <c r="Q111" t="s">
        <v>1632</v>
      </c>
    </row>
    <row r="112" spans="1:17" x14ac:dyDescent="0.35">
      <c r="A112" t="s">
        <v>8</v>
      </c>
      <c r="B112">
        <v>9725059</v>
      </c>
      <c r="C112" s="2" t="s">
        <v>1156</v>
      </c>
      <c r="D112" s="2" t="str">
        <f>LEFT(TRIM(MID(SUBSTITUTE(tblShipments5[[#This Row],[Details]],CHAR(10)," "), FIND(CHAR(10),tblShipments5[[#This Row],[Details]])+1, 50)), 10)</f>
        <v>0515933520</v>
      </c>
      <c r="E112" t="s">
        <v>1161</v>
      </c>
      <c r="F11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2" t="str">
        <f>IF(tblShipments5[[#This Row],[EGM no]]="", "Missing EGM", "EGM Submitted")</f>
        <v>EGM Submitted</v>
      </c>
      <c r="H112" t="str">
        <f>IF(OR(ISNUMBER(SEARCH("Released",tblShipments5[[#This Row],[ROSL]])),
      ISNUMBER(SEARCH("Scroll",tblShipments5[[#This Row],[ROSL]])),
      ISNUMBER(SEARCH("Y",tblShipments5[[#This Row],[ROSL]]))),
   "Released",
   "Not Released")</f>
        <v>Released</v>
      </c>
      <c r="I112" t="str">
        <f>IF(OR(tblShipments5[[#This Row],[EGM no]]="", tblShipments5[[#This Row],[EGM no]]="N.A."), "Not Submitted", "Submitted")</f>
        <v>Submitted</v>
      </c>
      <c r="J112" t="str">
        <f>IF(LEFT(tblShipments5[[#This Row],[Gateway_Extracted]],2)="IN","Valid","Invalid")</f>
        <v>Valid</v>
      </c>
      <c r="K112" t="s">
        <v>1099</v>
      </c>
      <c r="L112" t="s">
        <v>1109</v>
      </c>
      <c r="M112" t="s">
        <v>13</v>
      </c>
      <c r="N112" t="s">
        <v>1162</v>
      </c>
      <c r="O112" t="str">
        <f>IFERROR("IN" &amp; _xlfn.TEXTBEFORE(_xlfn.TEXTAFTER(UPPER(tblShipments5[[#This Row],[Gateway_clean]]),"IN")," ",1),"")</f>
        <v>INNSA1</v>
      </c>
      <c r="P112" t="str">
        <f>SUBSTITUTE(tblShipments5[[#This Row],[Gateway]], CHAR(10), " ")</f>
        <v xml:space="preserve">AWB No. Gateway Port Gateway EGM No. Gateway EGM Date Gateway Site ID Error Code N.A.  INNSA1  137353  2017-10-23 00:00:00.0  INNSA1  C </v>
      </c>
      <c r="Q112" t="s">
        <v>1163</v>
      </c>
    </row>
    <row r="113" spans="1:17" x14ac:dyDescent="0.35">
      <c r="A113" t="s">
        <v>8</v>
      </c>
      <c r="B113">
        <v>1220745</v>
      </c>
      <c r="C113" s="2" t="s">
        <v>1314</v>
      </c>
      <c r="D113" s="2" t="str">
        <f>LEFT(TRIM(MID(SUBSTITUTE(tblShipments5[[#This Row],[Details]],CHAR(10)," "), FIND(CHAR(10),tblShipments5[[#This Row],[Details]])+1, 50)), 10)</f>
        <v>0515933520</v>
      </c>
      <c r="E113" t="s">
        <v>1320</v>
      </c>
      <c r="F11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3" t="str">
        <f>IF(tblShipments5[[#This Row],[EGM no]]="", "Missing EGM", "EGM Submitted")</f>
        <v>EGM Submitted</v>
      </c>
      <c r="H113" t="str">
        <f>IF(OR(ISNUMBER(SEARCH("Released",tblShipments5[[#This Row],[ROSL]])),
      ISNUMBER(SEARCH("Scroll",tblShipments5[[#This Row],[ROSL]])),
      ISNUMBER(SEARCH("Y",tblShipments5[[#This Row],[ROSL]]))),
   "Released",
   "Not Released")</f>
        <v>Released</v>
      </c>
      <c r="I113" t="str">
        <f>IF(OR(tblShipments5[[#This Row],[EGM no]]="", tblShipments5[[#This Row],[EGM no]]="N.A."), "Not Submitted", "Submitted")</f>
        <v>Submitted</v>
      </c>
      <c r="J113" t="str">
        <f>IF(LEFT(tblShipments5[[#This Row],[Gateway_Extracted]],2)="IN","Valid","Invalid")</f>
        <v>Valid</v>
      </c>
      <c r="K113" t="s">
        <v>1321</v>
      </c>
      <c r="L113" t="s">
        <v>1322</v>
      </c>
      <c r="M113" t="s">
        <v>13</v>
      </c>
      <c r="N113" t="s">
        <v>1323</v>
      </c>
      <c r="O113" t="str">
        <f>IFERROR("IN" &amp; _xlfn.TEXTBEFORE(_xlfn.TEXTAFTER(UPPER(tblShipments5[[#This Row],[Gateway_clean]]),"IN")," ",1),"")</f>
        <v>INNSA1</v>
      </c>
      <c r="P113" t="str">
        <f>SUBSTITUTE(tblShipments5[[#This Row],[Gateway]], CHAR(10), " ")</f>
        <v xml:space="preserve">AWB No. Gateway Port Gateway EGM No. Gateway EGM Date Gateway Site ID Error Code N.A.  INNSA1  138234  2017-11-06 00:00:00.0  INNSA1  S </v>
      </c>
      <c r="Q113" t="s">
        <v>1324</v>
      </c>
    </row>
    <row r="114" spans="1:17" x14ac:dyDescent="0.35">
      <c r="A114" t="s">
        <v>8</v>
      </c>
      <c r="B114">
        <v>9802291</v>
      </c>
      <c r="C114" s="2" t="s">
        <v>1188</v>
      </c>
      <c r="D114" s="2" t="str">
        <f>LEFT(TRIM(MID(SUBSTITUTE(tblShipments5[[#This Row],[Details]],CHAR(10)," "), FIND(CHAR(10),tblShipments5[[#This Row],[Details]])+1, 50)), 10)</f>
        <v>0512057273</v>
      </c>
      <c r="E114" t="s">
        <v>1198</v>
      </c>
      <c r="F11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4" t="str">
        <f>IF(tblShipments5[[#This Row],[EGM no]]="", "Missing EGM", "EGM Submitted")</f>
        <v>EGM Submitted</v>
      </c>
      <c r="H114" t="str">
        <f>IF(OR(ISNUMBER(SEARCH("Released",tblShipments5[[#This Row],[ROSL]])),
      ISNUMBER(SEARCH("Scroll",tblShipments5[[#This Row],[ROSL]])),
      ISNUMBER(SEARCH("Y",tblShipments5[[#This Row],[ROSL]]))),
   "Released",
   "Not Released")</f>
        <v>Released</v>
      </c>
      <c r="I114" t="str">
        <f>IF(OR(tblShipments5[[#This Row],[EGM no]]="", tblShipments5[[#This Row],[EGM no]]="N.A."), "Not Submitted", "Submitted")</f>
        <v>Submitted</v>
      </c>
      <c r="J114" t="str">
        <f>IF(LEFT(tblShipments5[[#This Row],[Gateway_Extracted]],2)="IN","Valid","Invalid")</f>
        <v>Valid</v>
      </c>
      <c r="K114" t="s">
        <v>1184</v>
      </c>
      <c r="L114" t="s">
        <v>1199</v>
      </c>
      <c r="M114" t="s">
        <v>13</v>
      </c>
      <c r="N114" t="s">
        <v>1200</v>
      </c>
      <c r="O114" t="str">
        <f>IFERROR("IN" &amp; _xlfn.TEXTBEFORE(_xlfn.TEXTAFTER(UPPER(tblShipments5[[#This Row],[Gateway_clean]]),"IN")," ",1),"")</f>
        <v>INPAV1</v>
      </c>
      <c r="P114" t="str">
        <f>SUBSTITUTE(tblShipments5[[#This Row],[Gateway]], CHAR(10), " ")</f>
        <v xml:space="preserve">AWB No. Gateway Port Gateway EGM No. Gateway EGM Date Gateway Site ID Error Code N.A.  INPAV1  137989  2017-11-01 00:00:00.0  INPAV1  S </v>
      </c>
      <c r="Q114" t="s">
        <v>1201</v>
      </c>
    </row>
    <row r="115" spans="1:17" x14ac:dyDescent="0.35">
      <c r="A115" t="s">
        <v>8</v>
      </c>
      <c r="B115">
        <v>1223301</v>
      </c>
      <c r="C115" s="2" t="s">
        <v>1314</v>
      </c>
      <c r="D115" s="2" t="str">
        <f>LEFT(TRIM(MID(SUBSTITUTE(tblShipments5[[#This Row],[Details]],CHAR(10)," "), FIND(CHAR(10),tblShipments5[[#This Row],[Details]])+1, 50)), 10)</f>
        <v>0514078901</v>
      </c>
      <c r="E115" t="s">
        <v>1329</v>
      </c>
      <c r="F11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5" t="str">
        <f>IF(tblShipments5[[#This Row],[EGM no]]="", "Missing EGM", "EGM Submitted")</f>
        <v>EGM Submitted</v>
      </c>
      <c r="H115" t="str">
        <f>IF(OR(ISNUMBER(SEARCH("Released",tblShipments5[[#This Row],[ROSL]])),
      ISNUMBER(SEARCH("Scroll",tblShipments5[[#This Row],[ROSL]])),
      ISNUMBER(SEARCH("Y",tblShipments5[[#This Row],[ROSL]]))),
   "Released",
   "Not Released")</f>
        <v>Released</v>
      </c>
      <c r="I115" t="str">
        <f>IF(OR(tblShipments5[[#This Row],[EGM no]]="", tblShipments5[[#This Row],[EGM no]]="N.A."), "Not Submitted", "Submitted")</f>
        <v>Submitted</v>
      </c>
      <c r="J115" t="str">
        <f>IF(LEFT(tblShipments5[[#This Row],[Gateway_Extracted]],2)="IN","Valid","Invalid")</f>
        <v>Valid</v>
      </c>
      <c r="K115" t="s">
        <v>1326</v>
      </c>
      <c r="L115" t="s">
        <v>1327</v>
      </c>
      <c r="M115" t="s">
        <v>31</v>
      </c>
      <c r="N115" t="s">
        <v>1330</v>
      </c>
      <c r="O115" t="str">
        <f>IFERROR("IN" &amp; _xlfn.TEXTBEFORE(_xlfn.TEXTAFTER(UPPER(tblShipments5[[#This Row],[Gateway_clean]]),"IN")," ",1),"")</f>
        <v>INNSA1</v>
      </c>
      <c r="P115" t="str">
        <f>SUBSTITUTE(tblShipments5[[#This Row],[Gateway]], CHAR(10), " ")</f>
        <v xml:space="preserve">AWB No. Gateway Port Gateway EGM No. Gateway EGM Date Gateway Site ID Error Code N.A.  INNSA1  N.A.  N.A.  N.A.  N.A. </v>
      </c>
      <c r="Q115" t="s">
        <v>26</v>
      </c>
    </row>
    <row r="116" spans="1:17" x14ac:dyDescent="0.35">
      <c r="A116" t="s">
        <v>8</v>
      </c>
      <c r="B116">
        <v>1223298</v>
      </c>
      <c r="C116" s="2" t="s">
        <v>1314</v>
      </c>
      <c r="D116" s="2" t="str">
        <f>LEFT(TRIM(MID(SUBSTITUTE(tblShipments5[[#This Row],[Details]],CHAR(10)," "), FIND(CHAR(10),tblShipments5[[#This Row],[Details]])+1, 50)), 10)</f>
        <v>0514078901</v>
      </c>
      <c r="E116" t="s">
        <v>1325</v>
      </c>
      <c r="F11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6" t="str">
        <f>IF(tblShipments5[[#This Row],[EGM no]]="", "Missing EGM", "EGM Submitted")</f>
        <v>EGM Submitted</v>
      </c>
      <c r="H116" t="str">
        <f>IF(OR(ISNUMBER(SEARCH("Released",tblShipments5[[#This Row],[ROSL]])),
      ISNUMBER(SEARCH("Scroll",tblShipments5[[#This Row],[ROSL]])),
      ISNUMBER(SEARCH("Y",tblShipments5[[#This Row],[ROSL]]))),
   "Released",
   "Not Released")</f>
        <v>Released</v>
      </c>
      <c r="I116" t="str">
        <f>IF(OR(tblShipments5[[#This Row],[EGM no]]="", tblShipments5[[#This Row],[EGM no]]="N.A."), "Not Submitted", "Submitted")</f>
        <v>Submitted</v>
      </c>
      <c r="J116" t="str">
        <f>IF(LEFT(tblShipments5[[#This Row],[Gateway_Extracted]],2)="IN","Valid","Invalid")</f>
        <v>Valid</v>
      </c>
      <c r="K116" t="s">
        <v>1326</v>
      </c>
      <c r="L116" t="s">
        <v>1327</v>
      </c>
      <c r="M116" t="s">
        <v>31</v>
      </c>
      <c r="N116" t="s">
        <v>1328</v>
      </c>
      <c r="O116" t="str">
        <f>IFERROR("IN" &amp; _xlfn.TEXTBEFORE(_xlfn.TEXTAFTER(UPPER(tblShipments5[[#This Row],[Gateway_clean]]),"IN")," ",1),"")</f>
        <v>INNSA1</v>
      </c>
      <c r="P116" t="str">
        <f>SUBSTITUTE(tblShipments5[[#This Row],[Gateway]], CHAR(10), " ")</f>
        <v xml:space="preserve">AWB No. Gateway Port Gateway EGM No. Gateway EGM Date Gateway Site ID Error Code N.A.  INNSA1  N.A.  N.A.  N.A.  N.A. </v>
      </c>
      <c r="Q116" t="s">
        <v>26</v>
      </c>
    </row>
    <row r="117" spans="1:17" x14ac:dyDescent="0.35">
      <c r="A117" t="s">
        <v>8</v>
      </c>
      <c r="B117">
        <v>8937407</v>
      </c>
      <c r="C117" s="2" t="s">
        <v>861</v>
      </c>
      <c r="D117" s="2" t="str">
        <f>LEFT(TRIM(MID(SUBSTITUTE(tblShipments5[[#This Row],[Details]],CHAR(10)," "), FIND(CHAR(10),tblShipments5[[#This Row],[Details]])+1, 50)), 10)</f>
        <v>0509035337</v>
      </c>
      <c r="E117" t="s">
        <v>862</v>
      </c>
      <c r="F11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7" t="str">
        <f>IF(tblShipments5[[#This Row],[EGM no]]="", "Missing EGM", "EGM Submitted")</f>
        <v>EGM Submitted</v>
      </c>
      <c r="H117" t="str">
        <f>IF(OR(ISNUMBER(SEARCH("Released",tblShipments5[[#This Row],[ROSL]])),
      ISNUMBER(SEARCH("Scroll",tblShipments5[[#This Row],[ROSL]])),
      ISNUMBER(SEARCH("Y",tblShipments5[[#This Row],[ROSL]]))),
   "Released",
   "Not Released")</f>
        <v>Released</v>
      </c>
      <c r="I117" t="str">
        <f>IF(OR(tblShipments5[[#This Row],[EGM no]]="", tblShipments5[[#This Row],[EGM no]]="N.A."), "Not Submitted", "Submitted")</f>
        <v>Submitted</v>
      </c>
      <c r="J117" t="str">
        <f>IF(LEFT(tblShipments5[[#This Row],[Gateway_Extracted]],2)="IN","Valid","Invalid")</f>
        <v>Valid</v>
      </c>
      <c r="K117" t="s">
        <v>863</v>
      </c>
      <c r="L117" t="s">
        <v>864</v>
      </c>
      <c r="M117" t="s">
        <v>13</v>
      </c>
      <c r="N117" t="s">
        <v>865</v>
      </c>
      <c r="O117" t="str">
        <f>IFERROR("IN" &amp; _xlfn.TEXTBEFORE(_xlfn.TEXTAFTER(UPPER(tblShipments5[[#This Row],[Gateway_clean]]),"IN")," ",1),"")</f>
        <v>INNSA1</v>
      </c>
      <c r="P117" t="str">
        <f>SUBSTITUTE(tblShipments5[[#This Row],[Gateway]], CHAR(10), " ")</f>
        <v xml:space="preserve">AWB No. Gateway Port Gateway EGM No. Gateway EGM Date Gateway Site ID Error Code N.A.  INNSA1  136158  2017-10-03 00:00:00.0  INNSA1  S </v>
      </c>
      <c r="Q117" t="s">
        <v>866</v>
      </c>
    </row>
    <row r="118" spans="1:17" x14ac:dyDescent="0.35">
      <c r="A118" t="s">
        <v>8</v>
      </c>
      <c r="B118">
        <v>7690771</v>
      </c>
      <c r="C118" s="2" t="s">
        <v>76</v>
      </c>
      <c r="D118" s="2" t="str">
        <f>LEFT(TRIM(MID(SUBSTITUTE(tblShipments5[[#This Row],[Details]],CHAR(10)," "), FIND(CHAR(10),tblShipments5[[#This Row],[Details]])+1, 50)), 10)</f>
        <v>0506046231</v>
      </c>
      <c r="E118" t="s">
        <v>77</v>
      </c>
      <c r="F11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8" t="str">
        <f>IF(tblShipments5[[#This Row],[EGM no]]="", "Missing EGM", "EGM Submitted")</f>
        <v>EGM Submitted</v>
      </c>
      <c r="H118" t="str">
        <f>IF(OR(ISNUMBER(SEARCH("Released",tblShipments5[[#This Row],[ROSL]])),
      ISNUMBER(SEARCH("Scroll",tblShipments5[[#This Row],[ROSL]])),
      ISNUMBER(SEARCH("Y",tblShipments5[[#This Row],[ROSL]]))),
   "Released",
   "Not Released")</f>
        <v>Released</v>
      </c>
      <c r="I118" t="str">
        <f>IF(OR(tblShipments5[[#This Row],[EGM no]]="", tblShipments5[[#This Row],[EGM no]]="N.A."), "Not Submitted", "Submitted")</f>
        <v>Submitted</v>
      </c>
      <c r="J118" t="str">
        <f>IF(LEFT(tblShipments5[[#This Row],[Gateway_Extracted]],2)="IN","Valid","Invalid")</f>
        <v>Valid</v>
      </c>
      <c r="K118" t="s">
        <v>78</v>
      </c>
      <c r="L118" t="s">
        <v>79</v>
      </c>
      <c r="M118" t="s">
        <v>13</v>
      </c>
      <c r="N118" t="s">
        <v>80</v>
      </c>
      <c r="O118" t="str">
        <f>IFERROR("IN" &amp; _xlfn.TEXTBEFORE(_xlfn.TEXTAFTER(UPPER(tblShipments5[[#This Row],[Gateway_clean]]),"IN")," ",1),"")</f>
        <v>INNSA1</v>
      </c>
      <c r="P118" t="str">
        <f>SUBSTITUTE(tblShipments5[[#This Row],[Gateway]], CHAR(10), " ")</f>
        <v xml:space="preserve">AWB No. Gateway Port Gateway EGM No. Gateway EGM Date Gateway Site ID Error Code N.A.  INNSA1  132146  2017-07-26 00:00:00.0  INNSA1  S </v>
      </c>
      <c r="Q118" t="s">
        <v>81</v>
      </c>
    </row>
    <row r="119" spans="1:17" x14ac:dyDescent="0.35">
      <c r="A119" t="s">
        <v>8</v>
      </c>
      <c r="B119">
        <v>8398137</v>
      </c>
      <c r="C119" s="2" t="s">
        <v>548</v>
      </c>
      <c r="D119" s="2" t="str">
        <f>LEFT(TRIM(MID(SUBSTITUTE(tblShipments5[[#This Row],[Details]],CHAR(10)," "), FIND(CHAR(10),tblShipments5[[#This Row],[Details]])+1, 50)), 10)</f>
        <v>0509056105</v>
      </c>
      <c r="E119" t="s">
        <v>557</v>
      </c>
      <c r="F11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19" t="str">
        <f>IF(tblShipments5[[#This Row],[EGM no]]="", "Missing EGM", "EGM Submitted")</f>
        <v>EGM Submitted</v>
      </c>
      <c r="H119" t="str">
        <f>IF(OR(ISNUMBER(SEARCH("Released",tblShipments5[[#This Row],[ROSL]])),
      ISNUMBER(SEARCH("Scroll",tblShipments5[[#This Row],[ROSL]])),
      ISNUMBER(SEARCH("Y",tblShipments5[[#This Row],[ROSL]]))),
   "Released",
   "Not Released")</f>
        <v>Released</v>
      </c>
      <c r="I119" t="str">
        <f>IF(OR(tblShipments5[[#This Row],[EGM no]]="", tblShipments5[[#This Row],[EGM no]]="N.A."), "Not Submitted", "Submitted")</f>
        <v>Submitted</v>
      </c>
      <c r="J119" t="str">
        <f>IF(LEFT(tblShipments5[[#This Row],[Gateway_Extracted]],2)="IN","Valid","Invalid")</f>
        <v>Valid</v>
      </c>
      <c r="K119" t="s">
        <v>545</v>
      </c>
      <c r="L119" t="s">
        <v>558</v>
      </c>
      <c r="M119" t="s">
        <v>13</v>
      </c>
      <c r="N119" t="s">
        <v>559</v>
      </c>
      <c r="O119" t="str">
        <f>IFERROR("IN" &amp; _xlfn.TEXTBEFORE(_xlfn.TEXTAFTER(UPPER(tblShipments5[[#This Row],[Gateway_clean]]),"IN")," ",1),"")</f>
        <v>INNSA1</v>
      </c>
      <c r="P119" t="str">
        <f>SUBSTITUTE(tblShipments5[[#This Row],[Gateway]], CHAR(10), " ")</f>
        <v xml:space="preserve">AWB No. Gateway Port Gateway EGM No. Gateway EGM Date Gateway Site ID Error Code N.A.  INNSA1  N.A.  N.A.  N.A.  N.A. </v>
      </c>
      <c r="Q119" t="s">
        <v>26</v>
      </c>
    </row>
    <row r="120" spans="1:17" x14ac:dyDescent="0.35">
      <c r="A120" t="s">
        <v>8</v>
      </c>
      <c r="B120">
        <v>9064900</v>
      </c>
      <c r="C120" s="2" t="s">
        <v>928</v>
      </c>
      <c r="D120" s="2" t="str">
        <f>LEFT(TRIM(MID(SUBSTITUTE(tblShipments5[[#This Row],[Details]],CHAR(10)," "), FIND(CHAR(10),tblShipments5[[#This Row],[Details]])+1, 50)), 10)</f>
        <v>0504063227</v>
      </c>
      <c r="E120" t="s">
        <v>929</v>
      </c>
      <c r="F12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0" t="str">
        <f>IF(tblShipments5[[#This Row],[EGM no]]="", "Missing EGM", "EGM Submitted")</f>
        <v>EGM Submitted</v>
      </c>
      <c r="H120" t="str">
        <f>IF(OR(ISNUMBER(SEARCH("Released",tblShipments5[[#This Row],[ROSL]])),
      ISNUMBER(SEARCH("Scroll",tblShipments5[[#This Row],[ROSL]])),
      ISNUMBER(SEARCH("Y",tblShipments5[[#This Row],[ROSL]]))),
   "Released",
   "Not Released")</f>
        <v>Released</v>
      </c>
      <c r="I120" t="str">
        <f>IF(OR(tblShipments5[[#This Row],[EGM no]]="", tblShipments5[[#This Row],[EGM no]]="N.A."), "Not Submitted", "Submitted")</f>
        <v>Submitted</v>
      </c>
      <c r="J120" t="str">
        <f>IF(LEFT(tblShipments5[[#This Row],[Gateway_Extracted]],2)="IN","Valid","Invalid")</f>
        <v>Valid</v>
      </c>
      <c r="K120" t="s">
        <v>930</v>
      </c>
      <c r="L120" t="s">
        <v>931</v>
      </c>
      <c r="M120" t="s">
        <v>13</v>
      </c>
      <c r="N120" t="s">
        <v>932</v>
      </c>
      <c r="O120" t="str">
        <f>IFERROR("IN" &amp; _xlfn.TEXTBEFORE(_xlfn.TEXTAFTER(UPPER(tblShipments5[[#This Row],[Gateway_clean]]),"IN")," ",1),"")</f>
        <v>INNSA1</v>
      </c>
      <c r="P120" t="str">
        <f>SUBSTITUTE(tblShipments5[[#This Row],[Gateway]], CHAR(10), " ")</f>
        <v xml:space="preserve">AWB No. Gateway Port Gateway EGM No. Gateway EGM Date Gateway Site ID Error Code N.A.  INNSA1  135895  2017-09-27 00:00:00.0  INNSA1  S </v>
      </c>
      <c r="Q120" t="s">
        <v>933</v>
      </c>
    </row>
    <row r="121" spans="1:17" x14ac:dyDescent="0.35">
      <c r="A121" t="s">
        <v>8</v>
      </c>
      <c r="B121">
        <v>8146066</v>
      </c>
      <c r="C121" s="2" t="s">
        <v>356</v>
      </c>
      <c r="D121" s="2" t="str">
        <f>LEFT(TRIM(MID(SUBSTITUTE(tblShipments5[[#This Row],[Details]],CHAR(10)," "), FIND(CHAR(10),tblShipments5[[#This Row],[Details]])+1, 50)), 10)</f>
        <v>0288012101</v>
      </c>
      <c r="E121" t="s">
        <v>373</v>
      </c>
      <c r="F12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1" t="str">
        <f>IF(tblShipments5[[#This Row],[EGM no]]="", "Missing EGM", "EGM Submitted")</f>
        <v>EGM Submitted</v>
      </c>
      <c r="H121" t="str">
        <f>IF(OR(ISNUMBER(SEARCH("Released",tblShipments5[[#This Row],[ROSL]])),
      ISNUMBER(SEARCH("Scroll",tblShipments5[[#This Row],[ROSL]])),
      ISNUMBER(SEARCH("Y",tblShipments5[[#This Row],[ROSL]]))),
   "Released",
   "Not Released")</f>
        <v>Released</v>
      </c>
      <c r="I121" t="str">
        <f>IF(OR(tblShipments5[[#This Row],[EGM no]]="", tblShipments5[[#This Row],[EGM no]]="N.A."), "Not Submitted", "Submitted")</f>
        <v>Submitted</v>
      </c>
      <c r="J121" t="str">
        <f>IF(LEFT(tblShipments5[[#This Row],[Gateway_Extracted]],2)="IN","Valid","Invalid")</f>
        <v>Valid</v>
      </c>
      <c r="K121" t="s">
        <v>374</v>
      </c>
      <c r="L121" t="s">
        <v>375</v>
      </c>
      <c r="M121" t="s">
        <v>13</v>
      </c>
      <c r="N121" t="s">
        <v>376</v>
      </c>
      <c r="O121" t="str">
        <f>IFERROR("IN" &amp; _xlfn.TEXTBEFORE(_xlfn.TEXTAFTER(UPPER(tblShipments5[[#This Row],[Gateway_clean]]),"IN")," ",1),"")</f>
        <v>INMUN1</v>
      </c>
      <c r="P121" t="str">
        <f>SUBSTITUTE(tblShipments5[[#This Row],[Gateway]], CHAR(10), " ")</f>
        <v xml:space="preserve">AWB No. Gateway Port Gateway EGM No. Gateway EGM Date Gateway Site ID Error Code N.A.  INMUN1  134134  2017-08-29 00:00:00.0  INMUN1  S </v>
      </c>
      <c r="Q121" t="s">
        <v>377</v>
      </c>
    </row>
    <row r="122" spans="1:17" x14ac:dyDescent="0.35">
      <c r="A122" t="s">
        <v>8</v>
      </c>
      <c r="B122">
        <v>8146068</v>
      </c>
      <c r="C122" s="2" t="s">
        <v>356</v>
      </c>
      <c r="D122" s="2" t="str">
        <f>LEFT(TRIM(MID(SUBSTITUTE(tblShipments5[[#This Row],[Details]],CHAR(10)," "), FIND(CHAR(10),tblShipments5[[#This Row],[Details]])+1, 50)), 10)</f>
        <v>0288012101</v>
      </c>
      <c r="E122" t="s">
        <v>378</v>
      </c>
      <c r="F12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2" t="str">
        <f>IF(tblShipments5[[#This Row],[EGM no]]="", "Missing EGM", "EGM Submitted")</f>
        <v>EGM Submitted</v>
      </c>
      <c r="H122" t="str">
        <f>IF(OR(ISNUMBER(SEARCH("Released",tblShipments5[[#This Row],[ROSL]])),
      ISNUMBER(SEARCH("Scroll",tblShipments5[[#This Row],[ROSL]])),
      ISNUMBER(SEARCH("Y",tblShipments5[[#This Row],[ROSL]]))),
   "Released",
   "Not Released")</f>
        <v>Released</v>
      </c>
      <c r="I122" t="str">
        <f>IF(OR(tblShipments5[[#This Row],[EGM no]]="", tblShipments5[[#This Row],[EGM no]]="N.A."), "Not Submitted", "Submitted")</f>
        <v>Submitted</v>
      </c>
      <c r="J122" t="str">
        <f>IF(LEFT(tblShipments5[[#This Row],[Gateway_Extracted]],2)="IN","Valid","Invalid")</f>
        <v>Valid</v>
      </c>
      <c r="K122" t="s">
        <v>261</v>
      </c>
      <c r="L122" t="s">
        <v>375</v>
      </c>
      <c r="M122" t="s">
        <v>13</v>
      </c>
      <c r="N122" t="s">
        <v>379</v>
      </c>
      <c r="O122" t="str">
        <f>IFERROR("IN" &amp; _xlfn.TEXTBEFORE(_xlfn.TEXTAFTER(UPPER(tblShipments5[[#This Row],[Gateway_clean]]),"IN")," ",1),"")</f>
        <v>INMUN1</v>
      </c>
      <c r="P122" t="str">
        <f>SUBSTITUTE(tblShipments5[[#This Row],[Gateway]], CHAR(10), " ")</f>
        <v xml:space="preserve">AWB No. Gateway Port Gateway EGM No. Gateway EGM Date Gateway Site ID Error Code N.A.  INMUN1  134134  2017-08-29 00:00:00.0  INMUN1  S </v>
      </c>
      <c r="Q122" t="s">
        <v>377</v>
      </c>
    </row>
    <row r="123" spans="1:17" x14ac:dyDescent="0.35">
      <c r="A123" t="s">
        <v>8</v>
      </c>
      <c r="B123">
        <v>1900474</v>
      </c>
      <c r="C123" s="2" t="s">
        <v>1704</v>
      </c>
      <c r="D123" s="2" t="str">
        <f>LEFT(TRIM(MID(SUBSTITUTE(tblShipments5[[#This Row],[Details]],CHAR(10)," "), FIND(CHAR(10),tblShipments5[[#This Row],[Details]])+1, 50)), 10)</f>
        <v>AGEPB3375R</v>
      </c>
      <c r="E123" t="s">
        <v>1708</v>
      </c>
      <c r="F12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3" t="str">
        <f>IF(tblShipments5[[#This Row],[EGM no]]="", "Missing EGM", "EGM Submitted")</f>
        <v>EGM Submitted</v>
      </c>
      <c r="H123" t="str">
        <f>IF(OR(ISNUMBER(SEARCH("Released",tblShipments5[[#This Row],[ROSL]])),
      ISNUMBER(SEARCH("Scroll",tblShipments5[[#This Row],[ROSL]])),
      ISNUMBER(SEARCH("Y",tblShipments5[[#This Row],[ROSL]]))),
   "Released",
   "Not Released")</f>
        <v>Released</v>
      </c>
      <c r="I123" t="str">
        <f>IF(OR(tblShipments5[[#This Row],[EGM no]]="", tblShipments5[[#This Row],[EGM no]]="N.A."), "Not Submitted", "Submitted")</f>
        <v>Submitted</v>
      </c>
      <c r="J123" t="str">
        <f>IF(LEFT(tblShipments5[[#This Row],[Gateway_Extracted]],2)="IN","Valid","Invalid")</f>
        <v>Valid</v>
      </c>
      <c r="K123" t="s">
        <v>1709</v>
      </c>
      <c r="L123" t="s">
        <v>1710</v>
      </c>
      <c r="M123" t="s">
        <v>13</v>
      </c>
      <c r="N123" t="s">
        <v>1711</v>
      </c>
      <c r="O123" t="str">
        <f>IFERROR("IN" &amp; _xlfn.TEXTBEFORE(_xlfn.TEXTAFTER(UPPER(tblShipments5[[#This Row],[Gateway_clean]]),"IN")," ",1),"")</f>
        <v>INMUN1</v>
      </c>
      <c r="P123" t="str">
        <f>SUBSTITUTE(tblShipments5[[#This Row],[Gateway]], CHAR(10), " ")</f>
        <v xml:space="preserve">AWB No. Gateway Port Gateway EGM No. Gateway EGM Date Gateway Site ID Error Code N.A.  INMUN1  142204  2018-01-09 00:00:00.0  INMUN1  S </v>
      </c>
      <c r="Q123" t="s">
        <v>1712</v>
      </c>
    </row>
    <row r="124" spans="1:17" x14ac:dyDescent="0.35">
      <c r="A124" t="s">
        <v>8</v>
      </c>
      <c r="B124">
        <v>8122393</v>
      </c>
      <c r="C124" s="2" t="s">
        <v>350</v>
      </c>
      <c r="D124" s="2" t="str">
        <f>LEFT(TRIM(MID(SUBSTITUTE(tblShipments5[[#This Row],[Details]],CHAR(10)," "), FIND(CHAR(10),tblShipments5[[#This Row],[Details]])+1, 50)), 10)</f>
        <v>0516515403</v>
      </c>
      <c r="E124" t="s">
        <v>351</v>
      </c>
      <c r="F12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4" t="str">
        <f>IF(tblShipments5[[#This Row],[EGM no]]="", "Missing EGM", "EGM Submitted")</f>
        <v>EGM Submitted</v>
      </c>
      <c r="H124" t="str">
        <f>IF(OR(ISNUMBER(SEARCH("Released",tblShipments5[[#This Row],[ROSL]])),
      ISNUMBER(SEARCH("Scroll",tblShipments5[[#This Row],[ROSL]])),
      ISNUMBER(SEARCH("Y",tblShipments5[[#This Row],[ROSL]]))),
   "Released",
   "Not Released")</f>
        <v>Released</v>
      </c>
      <c r="I124" t="str">
        <f>IF(OR(tblShipments5[[#This Row],[EGM no]]="", tblShipments5[[#This Row],[EGM no]]="N.A."), "Not Submitted", "Submitted")</f>
        <v>Submitted</v>
      </c>
      <c r="J124" t="str">
        <f>IF(LEFT(tblShipments5[[#This Row],[Gateway_Extracted]],2)="IN","Valid","Invalid")</f>
        <v>Valid</v>
      </c>
      <c r="K124" t="s">
        <v>352</v>
      </c>
      <c r="L124" t="s">
        <v>353</v>
      </c>
      <c r="M124" t="s">
        <v>13</v>
      </c>
      <c r="N124" t="s">
        <v>354</v>
      </c>
      <c r="O124" t="str">
        <f>IFERROR("IN" &amp; _xlfn.TEXTBEFORE(_xlfn.TEXTAFTER(UPPER(tblShipments5[[#This Row],[Gateway_clean]]),"IN")," ",1),"")</f>
        <v>INNSA1</v>
      </c>
      <c r="P124" t="str">
        <f>SUBSTITUTE(tblShipments5[[#This Row],[Gateway]], CHAR(10), " ")</f>
        <v xml:space="preserve">AWB No. Gateway Port Gateway EGM No. Gateway EGM Date Gateway Site ID Error Code N.A.  INNSA1  133611  2017-08-21 00:00:00.0  INNSA1  S </v>
      </c>
      <c r="Q124" t="s">
        <v>355</v>
      </c>
    </row>
    <row r="125" spans="1:17" x14ac:dyDescent="0.35">
      <c r="A125" t="s">
        <v>8</v>
      </c>
      <c r="B125">
        <v>7918086</v>
      </c>
      <c r="C125" s="2" t="s">
        <v>221</v>
      </c>
      <c r="D125" s="2" t="str">
        <f>LEFT(TRIM(MID(SUBSTITUTE(tblShipments5[[#This Row],[Details]],CHAR(10)," "), FIND(CHAR(10),tblShipments5[[#This Row],[Details]])+1, 50)), 10)</f>
        <v>0517542374</v>
      </c>
      <c r="E125" t="s">
        <v>237</v>
      </c>
      <c r="F12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5" t="str">
        <f>IF(tblShipments5[[#This Row],[EGM no]]="", "Missing EGM", "EGM Submitted")</f>
        <v>EGM Submitted</v>
      </c>
      <c r="H125" t="str">
        <f>IF(OR(ISNUMBER(SEARCH("Released",tblShipments5[[#This Row],[ROSL]])),
      ISNUMBER(SEARCH("Scroll",tblShipments5[[#This Row],[ROSL]])),
      ISNUMBER(SEARCH("Y",tblShipments5[[#This Row],[ROSL]]))),
   "Released",
   "Not Released")</f>
        <v>Released</v>
      </c>
      <c r="I125" t="str">
        <f>IF(OR(tblShipments5[[#This Row],[EGM no]]="", tblShipments5[[#This Row],[EGM no]]="N.A."), "Not Submitted", "Submitted")</f>
        <v>Submitted</v>
      </c>
      <c r="J125" t="str">
        <f>IF(LEFT(tblShipments5[[#This Row],[Gateway_Extracted]],2)="IN","Valid","Invalid")</f>
        <v>Valid</v>
      </c>
      <c r="K125" t="s">
        <v>136</v>
      </c>
      <c r="L125" t="s">
        <v>210</v>
      </c>
      <c r="M125" t="s">
        <v>13</v>
      </c>
      <c r="N125" t="s">
        <v>238</v>
      </c>
      <c r="O125" t="str">
        <f>IFERROR("IN" &amp; _xlfn.TEXTBEFORE(_xlfn.TEXTAFTER(UPPER(tblShipments5[[#This Row],[Gateway_clean]]),"IN")," ",1),"")</f>
        <v>INMUN1</v>
      </c>
      <c r="P125" t="str">
        <f>SUBSTITUTE(tblShipments5[[#This Row],[Gateway]], CHAR(10), " ")</f>
        <v xml:space="preserve">AWB No. Gateway Port Gateway EGM No. Gateway EGM Date Gateway Site ID Error Code N.A.  INMUN1  137180  2017-10-18 00:00:00.0  INMUN1  ST </v>
      </c>
      <c r="Q125" t="s">
        <v>212</v>
      </c>
    </row>
    <row r="126" spans="1:17" x14ac:dyDescent="0.35">
      <c r="A126" t="s">
        <v>8</v>
      </c>
      <c r="B126">
        <v>9572277</v>
      </c>
      <c r="C126" s="2" t="s">
        <v>1092</v>
      </c>
      <c r="D126" s="2" t="str">
        <f>LEFT(TRIM(MID(SUBSTITUTE(tblShipments5[[#This Row],[Details]],CHAR(10)," "), FIND(CHAR(10),tblShipments5[[#This Row],[Details]])+1, 50)), 10)</f>
        <v>0517542374</v>
      </c>
      <c r="E126" t="s">
        <v>1098</v>
      </c>
      <c r="F12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6" t="str">
        <f>IF(tblShipments5[[#This Row],[EGM no]]="", "Missing EGM", "EGM Submitted")</f>
        <v>EGM Submitted</v>
      </c>
      <c r="H126" t="str">
        <f>IF(OR(ISNUMBER(SEARCH("Released",tblShipments5[[#This Row],[ROSL]])),
      ISNUMBER(SEARCH("Scroll",tblShipments5[[#This Row],[ROSL]])),
      ISNUMBER(SEARCH("Y",tblShipments5[[#This Row],[ROSL]]))),
   "Released",
   "Not Released")</f>
        <v>Released</v>
      </c>
      <c r="I126" t="str">
        <f>IF(OR(tblShipments5[[#This Row],[EGM no]]="", tblShipments5[[#This Row],[EGM no]]="N.A."), "Not Submitted", "Submitted")</f>
        <v>Submitted</v>
      </c>
      <c r="J126" t="str">
        <f>IF(LEFT(tblShipments5[[#This Row],[Gateway_Extracted]],2)="IN","Valid","Invalid")</f>
        <v>Valid</v>
      </c>
      <c r="K126" t="s">
        <v>1099</v>
      </c>
      <c r="L126" t="s">
        <v>1100</v>
      </c>
      <c r="M126" t="s">
        <v>13</v>
      </c>
      <c r="N126" t="s">
        <v>1101</v>
      </c>
      <c r="O126" t="str">
        <f>IFERROR("IN" &amp; _xlfn.TEXTBEFORE(_xlfn.TEXTAFTER(UPPER(tblShipments5[[#This Row],[Gateway_clean]]),"IN")," ",1),"")</f>
        <v>INMUN1</v>
      </c>
      <c r="P126" t="str">
        <f>SUBSTITUTE(tblShipments5[[#This Row],[Gateway]], CHAR(10), " ")</f>
        <v xml:space="preserve">AWB No. Gateway Port Gateway EGM No. Gateway EGM Date Gateway Site ID Error Code N.A.  INMUN1  139244  2017-11-21 00:00:00.0  INMUN1  S </v>
      </c>
      <c r="Q126" t="s">
        <v>1102</v>
      </c>
    </row>
    <row r="127" spans="1:17" x14ac:dyDescent="0.35">
      <c r="A127" t="s">
        <v>8</v>
      </c>
      <c r="B127">
        <v>8533887</v>
      </c>
      <c r="C127" s="2" t="s">
        <v>643</v>
      </c>
      <c r="D127" s="2" t="str">
        <f>LEFT(TRIM(MID(SUBSTITUTE(tblShipments5[[#This Row],[Details]],CHAR(10)," "), FIND(CHAR(10),tblShipments5[[#This Row],[Details]])+1, 50)), 10)</f>
        <v>0512067872</v>
      </c>
      <c r="E127" t="s">
        <v>648</v>
      </c>
      <c r="F12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7" t="str">
        <f>IF(tblShipments5[[#This Row],[EGM no]]="", "Missing EGM", "EGM Submitted")</f>
        <v>EGM Submitted</v>
      </c>
      <c r="H127" t="str">
        <f>IF(OR(ISNUMBER(SEARCH("Released",tblShipments5[[#This Row],[ROSL]])),
      ISNUMBER(SEARCH("Scroll",tblShipments5[[#This Row],[ROSL]])),
      ISNUMBER(SEARCH("Y",tblShipments5[[#This Row],[ROSL]]))),
   "Released",
   "Not Released")</f>
        <v>Released</v>
      </c>
      <c r="I127" t="str">
        <f>IF(OR(tblShipments5[[#This Row],[EGM no]]="", tblShipments5[[#This Row],[EGM no]]="N.A."), "Not Submitted", "Submitted")</f>
        <v>Submitted</v>
      </c>
      <c r="J127" t="str">
        <f>IF(LEFT(tblShipments5[[#This Row],[Gateway_Extracted]],2)="IN","Valid","Invalid")</f>
        <v>Valid</v>
      </c>
      <c r="K127" t="s">
        <v>635</v>
      </c>
      <c r="L127" t="s">
        <v>649</v>
      </c>
      <c r="M127" t="s">
        <v>13</v>
      </c>
      <c r="N127" t="s">
        <v>650</v>
      </c>
      <c r="O127" t="str">
        <f>IFERROR("IN" &amp; _xlfn.TEXTBEFORE(_xlfn.TEXTAFTER(UPPER(tblShipments5[[#This Row],[Gateway_clean]]),"IN")," ",1),"")</f>
        <v>INNSA1</v>
      </c>
      <c r="P127" t="str">
        <f>SUBSTITUTE(tblShipments5[[#This Row],[Gateway]], CHAR(10), " ")</f>
        <v xml:space="preserve">AWB No. Gateway Port Gateway EGM No. Gateway EGM Date Gateway Site ID Error Code N.A.  INNSA1  134930  2017-09-12 00:00:00.0  INNSA1  C </v>
      </c>
      <c r="Q127" t="s">
        <v>651</v>
      </c>
    </row>
    <row r="128" spans="1:17" x14ac:dyDescent="0.35">
      <c r="A128" t="s">
        <v>8</v>
      </c>
      <c r="B128">
        <v>7791798</v>
      </c>
      <c r="C128" s="2" t="s">
        <v>153</v>
      </c>
      <c r="D128" s="2" t="str">
        <f>LEFT(TRIM(MID(SUBSTITUTE(tblShipments5[[#This Row],[Details]],CHAR(10)," "), FIND(CHAR(10),tblShipments5[[#This Row],[Details]])+1, 50)), 10)</f>
        <v>0507051360</v>
      </c>
      <c r="E128" t="s">
        <v>154</v>
      </c>
      <c r="F12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8" t="str">
        <f>IF(tblShipments5[[#This Row],[EGM no]]="", "Missing EGM", "EGM Submitted")</f>
        <v>EGM Submitted</v>
      </c>
      <c r="H128" t="str">
        <f>IF(OR(ISNUMBER(SEARCH("Released",tblShipments5[[#This Row],[ROSL]])),
      ISNUMBER(SEARCH("Scroll",tblShipments5[[#This Row],[ROSL]])),
      ISNUMBER(SEARCH("Y",tblShipments5[[#This Row],[ROSL]]))),
   "Released",
   "Not Released")</f>
        <v>Released</v>
      </c>
      <c r="I128" t="str">
        <f>IF(OR(tblShipments5[[#This Row],[EGM no]]="", tblShipments5[[#This Row],[EGM no]]="N.A."), "Not Submitted", "Submitted")</f>
        <v>Submitted</v>
      </c>
      <c r="J128" t="str">
        <f>IF(LEFT(tblShipments5[[#This Row],[Gateway_Extracted]],2)="IN","Valid","Invalid")</f>
        <v>Valid</v>
      </c>
      <c r="K128" t="s">
        <v>149</v>
      </c>
      <c r="L128" t="s">
        <v>155</v>
      </c>
      <c r="M128" t="s">
        <v>13</v>
      </c>
      <c r="N128" t="s">
        <v>156</v>
      </c>
      <c r="O128" t="str">
        <f>IFERROR("IN" &amp; _xlfn.TEXTBEFORE(_xlfn.TEXTAFTER(UPPER(tblShipments5[[#This Row],[Gateway_clean]]),"IN")," ",1),"")</f>
        <v>INNSA1</v>
      </c>
      <c r="P128" t="str">
        <f>SUBSTITUTE(tblShipments5[[#This Row],[Gateway]], CHAR(10), " ")</f>
        <v xml:space="preserve">AWB No. Gateway Port Gateway EGM No. Gateway EGM Date Gateway Site ID Error Code N.A.  INNSA1  133033  2017-08-10 00:00:00.0  INNSA1  S </v>
      </c>
      <c r="Q128" t="s">
        <v>157</v>
      </c>
    </row>
    <row r="129" spans="1:17" x14ac:dyDescent="0.35">
      <c r="A129" t="s">
        <v>8</v>
      </c>
      <c r="B129">
        <v>7935521</v>
      </c>
      <c r="C129" s="2" t="s">
        <v>239</v>
      </c>
      <c r="D129" s="2" t="str">
        <f>LEFT(TRIM(MID(SUBSTITUTE(tblShipments5[[#This Row],[Details]],CHAR(10)," "), FIND(CHAR(10),tblShipments5[[#This Row],[Details]])+1, 50)), 10)</f>
        <v>0507051360</v>
      </c>
      <c r="E129" t="s">
        <v>245</v>
      </c>
      <c r="F12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29" t="str">
        <f>IF(tblShipments5[[#This Row],[EGM no]]="", "Missing EGM", "EGM Submitted")</f>
        <v>EGM Submitted</v>
      </c>
      <c r="H129" t="str">
        <f>IF(OR(ISNUMBER(SEARCH("Released",tblShipments5[[#This Row],[ROSL]])),
      ISNUMBER(SEARCH("Scroll",tblShipments5[[#This Row],[ROSL]])),
      ISNUMBER(SEARCH("Y",tblShipments5[[#This Row],[ROSL]]))),
   "Released",
   "Not Released")</f>
        <v>Released</v>
      </c>
      <c r="I129" t="str">
        <f>IF(OR(tblShipments5[[#This Row],[EGM no]]="", tblShipments5[[#This Row],[EGM no]]="N.A."), "Not Submitted", "Submitted")</f>
        <v>Submitted</v>
      </c>
      <c r="J129" t="str">
        <f>IF(LEFT(tblShipments5[[#This Row],[Gateway_Extracted]],2)="IN","Valid","Invalid")</f>
        <v>Valid</v>
      </c>
      <c r="K129" t="s">
        <v>228</v>
      </c>
      <c r="L129" t="s">
        <v>224</v>
      </c>
      <c r="M129" t="s">
        <v>13</v>
      </c>
      <c r="N129" t="s">
        <v>246</v>
      </c>
      <c r="O129" t="str">
        <f>IFERROR("IN" &amp; _xlfn.TEXTBEFORE(_xlfn.TEXTAFTER(UPPER(tblShipments5[[#This Row],[Gateway_clean]]),"IN")," ",1),"")</f>
        <v>INNSA1</v>
      </c>
      <c r="P129" t="str">
        <f>SUBSTITUTE(tblShipments5[[#This Row],[Gateway]], CHAR(10), " ")</f>
        <v xml:space="preserve">AWB No. Gateway Port Gateway EGM No. Gateway EGM Date Gateway Site ID Error Code N.A.  INNSA1  N.A.  N.A.  N.A.  N.A. </v>
      </c>
      <c r="Q129" t="s">
        <v>26</v>
      </c>
    </row>
    <row r="130" spans="1:17" x14ac:dyDescent="0.35">
      <c r="A130" t="s">
        <v>8</v>
      </c>
      <c r="B130">
        <v>7961683</v>
      </c>
      <c r="C130" s="2" t="s">
        <v>255</v>
      </c>
      <c r="D130" s="2" t="str">
        <f>LEFT(TRIM(MID(SUBSTITUTE(tblShipments5[[#This Row],[Details]],CHAR(10)," "), FIND(CHAR(10),tblShipments5[[#This Row],[Details]])+1, 50)), 10)</f>
        <v>0507051360</v>
      </c>
      <c r="E130" t="s">
        <v>264</v>
      </c>
      <c r="F13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0" t="str">
        <f>IF(tblShipments5[[#This Row],[EGM no]]="", "Missing EGM", "EGM Submitted")</f>
        <v>EGM Submitted</v>
      </c>
      <c r="H130" t="str">
        <f>IF(OR(ISNUMBER(SEARCH("Released",tblShipments5[[#This Row],[ROSL]])),
      ISNUMBER(SEARCH("Scroll",tblShipments5[[#This Row],[ROSL]])),
      ISNUMBER(SEARCH("Y",tblShipments5[[#This Row],[ROSL]]))),
   "Released",
   "Not Released")</f>
        <v>Released</v>
      </c>
      <c r="I130" t="str">
        <f>IF(OR(tblShipments5[[#This Row],[EGM no]]="", tblShipments5[[#This Row],[EGM no]]="N.A."), "Not Submitted", "Submitted")</f>
        <v>Submitted</v>
      </c>
      <c r="J130" t="str">
        <f>IF(LEFT(tblShipments5[[#This Row],[Gateway_Extracted]],2)="IN","Valid","Invalid")</f>
        <v>Valid</v>
      </c>
      <c r="K130" t="s">
        <v>228</v>
      </c>
      <c r="L130" t="s">
        <v>224</v>
      </c>
      <c r="M130" t="s">
        <v>13</v>
      </c>
      <c r="N130" t="s">
        <v>265</v>
      </c>
      <c r="O130" t="str">
        <f>IFERROR("IN" &amp; _xlfn.TEXTBEFORE(_xlfn.TEXTAFTER(UPPER(tblShipments5[[#This Row],[Gateway_clean]]),"IN")," ",1),"")</f>
        <v>INNSA1</v>
      </c>
      <c r="P130" t="str">
        <f>SUBSTITUTE(tblShipments5[[#This Row],[Gateway]], CHAR(10), " ")</f>
        <v xml:space="preserve">AWB No. Gateway Port Gateway EGM No. Gateway EGM Date Gateway Site ID Error Code N.A.  INNSA1  133227  2017-08-14 00:00:00.0  INNSA1  S </v>
      </c>
      <c r="Q130" t="s">
        <v>266</v>
      </c>
    </row>
    <row r="131" spans="1:17" x14ac:dyDescent="0.35">
      <c r="A131" t="s">
        <v>8</v>
      </c>
      <c r="B131">
        <v>1192194</v>
      </c>
      <c r="C131" s="2" t="s">
        <v>1298</v>
      </c>
      <c r="D131" s="2" t="str">
        <f>LEFT(TRIM(MID(SUBSTITUTE(tblShipments5[[#This Row],[Details]],CHAR(10)," "), FIND(CHAR(10),tblShipments5[[#This Row],[Details]])+1, 50)), 10)</f>
        <v>0507051360</v>
      </c>
      <c r="E131" t="s">
        <v>1304</v>
      </c>
      <c r="F13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1" t="str">
        <f>IF(tblShipments5[[#This Row],[EGM no]]="", "Missing EGM", "EGM Submitted")</f>
        <v>EGM Submitted</v>
      </c>
      <c r="H131" t="str">
        <f>IF(OR(ISNUMBER(SEARCH("Released",tblShipments5[[#This Row],[ROSL]])),
      ISNUMBER(SEARCH("Scroll",tblShipments5[[#This Row],[ROSL]])),
      ISNUMBER(SEARCH("Y",tblShipments5[[#This Row],[ROSL]]))),
   "Released",
   "Not Released")</f>
        <v>Released</v>
      </c>
      <c r="I131" t="str">
        <f>IF(OR(tblShipments5[[#This Row],[EGM no]]="", tblShipments5[[#This Row],[EGM no]]="N.A."), "Not Submitted", "Submitted")</f>
        <v>Submitted</v>
      </c>
      <c r="J131" t="str">
        <f>IF(LEFT(tblShipments5[[#This Row],[Gateway_Extracted]],2)="IN","Valid","Invalid")</f>
        <v>Valid</v>
      </c>
      <c r="K131" t="s">
        <v>1305</v>
      </c>
      <c r="L131" t="s">
        <v>1306</v>
      </c>
      <c r="M131" t="s">
        <v>13</v>
      </c>
      <c r="N131" t="s">
        <v>1307</v>
      </c>
      <c r="O131" t="str">
        <f>IFERROR("IN" &amp; _xlfn.TEXTBEFORE(_xlfn.TEXTAFTER(UPPER(tblShipments5[[#This Row],[Gateway_clean]]),"IN")," ",1),"")</f>
        <v>INNSA1</v>
      </c>
      <c r="P131" t="str">
        <f>SUBSTITUTE(tblShipments5[[#This Row],[Gateway]], CHAR(10), " ")</f>
        <v xml:space="preserve">AWB No. Gateway Port Gateway EGM No. Gateway EGM Date Gateway Site ID Error Code N.A.  INNSA1  139647  2017-11-28 00:00:00.0  INNSA1  S </v>
      </c>
      <c r="Q131" t="s">
        <v>1308</v>
      </c>
    </row>
    <row r="132" spans="1:17" x14ac:dyDescent="0.35">
      <c r="A132" t="s">
        <v>8</v>
      </c>
      <c r="B132">
        <v>8584007</v>
      </c>
      <c r="C132" s="2" t="s">
        <v>657</v>
      </c>
      <c r="D132" s="2" t="str">
        <f>LEFT(TRIM(MID(SUBSTITUTE(tblShipments5[[#This Row],[Details]],CHAR(10)," "), FIND(CHAR(10),tblShipments5[[#This Row],[Details]])+1, 50)), 10)</f>
        <v>0507051360</v>
      </c>
      <c r="E132" t="s">
        <v>673</v>
      </c>
      <c r="F13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2" t="str">
        <f>IF(tblShipments5[[#This Row],[EGM no]]="", "Missing EGM", "EGM Submitted")</f>
        <v>EGM Submitted</v>
      </c>
      <c r="H132" t="str">
        <f>IF(OR(ISNUMBER(SEARCH("Released",tblShipments5[[#This Row],[ROSL]])),
      ISNUMBER(SEARCH("Scroll",tblShipments5[[#This Row],[ROSL]])),
      ISNUMBER(SEARCH("Y",tblShipments5[[#This Row],[ROSL]]))),
   "Released",
   "Not Released")</f>
        <v>Released</v>
      </c>
      <c r="I132" t="str">
        <f>IF(OR(tblShipments5[[#This Row],[EGM no]]="", tblShipments5[[#This Row],[EGM no]]="N.A."), "Not Submitted", "Submitted")</f>
        <v>Submitted</v>
      </c>
      <c r="J132" t="str">
        <f>IF(LEFT(tblShipments5[[#This Row],[Gateway_Extracted]],2)="IN","Valid","Invalid")</f>
        <v>Valid</v>
      </c>
      <c r="K132" t="s">
        <v>674</v>
      </c>
      <c r="L132" t="s">
        <v>655</v>
      </c>
      <c r="M132" t="s">
        <v>13</v>
      </c>
      <c r="N132" t="s">
        <v>675</v>
      </c>
      <c r="O132" t="str">
        <f>IFERROR("IN" &amp; _xlfn.TEXTBEFORE(_xlfn.TEXTAFTER(UPPER(tblShipments5[[#This Row],[Gateway_clean]]),"IN")," ",1),"")</f>
        <v>INNSA1</v>
      </c>
      <c r="P132" t="str">
        <f>SUBSTITUTE(tblShipments5[[#This Row],[Gateway]], CHAR(10), " ")</f>
        <v xml:space="preserve">AWB No. Gateway Port Gateway EGM No. Gateway EGM Date Gateway Site ID Error Code N.A.  INNSA1  135086  2017-09-14 00:00:00.0  INNSA1  S </v>
      </c>
      <c r="Q132" t="s">
        <v>676</v>
      </c>
    </row>
    <row r="133" spans="1:17" x14ac:dyDescent="0.35">
      <c r="A133" t="s">
        <v>8</v>
      </c>
      <c r="B133">
        <v>8751355</v>
      </c>
      <c r="C133" s="2" t="s">
        <v>762</v>
      </c>
      <c r="D133" s="2" t="str">
        <f>LEFT(TRIM(MID(SUBSTITUTE(tblShipments5[[#This Row],[Details]],CHAR(10)," "), FIND(CHAR(10),tblShipments5[[#This Row],[Details]])+1, 50)), 10)</f>
        <v>0515076741</v>
      </c>
      <c r="E133" t="s">
        <v>768</v>
      </c>
      <c r="F13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3" t="str">
        <f>IF(tblShipments5[[#This Row],[EGM no]]="", "Missing EGM", "EGM Submitted")</f>
        <v>EGM Submitted</v>
      </c>
      <c r="H133" t="str">
        <f>IF(OR(ISNUMBER(SEARCH("Released",tblShipments5[[#This Row],[ROSL]])),
      ISNUMBER(SEARCH("Scroll",tblShipments5[[#This Row],[ROSL]])),
      ISNUMBER(SEARCH("Y",tblShipments5[[#This Row],[ROSL]]))),
   "Released",
   "Not Released")</f>
        <v>Released</v>
      </c>
      <c r="I133" t="str">
        <f>IF(OR(tblShipments5[[#This Row],[EGM no]]="", tblShipments5[[#This Row],[EGM no]]="N.A."), "Not Submitted", "Submitted")</f>
        <v>Submitted</v>
      </c>
      <c r="J133" t="str">
        <f>IF(LEFT(tblShipments5[[#This Row],[Gateway_Extracted]],2)="IN","Valid","Invalid")</f>
        <v>Valid</v>
      </c>
      <c r="K133" t="s">
        <v>769</v>
      </c>
      <c r="L133" t="s">
        <v>770</v>
      </c>
      <c r="M133" t="s">
        <v>771</v>
      </c>
      <c r="N133" t="s">
        <v>772</v>
      </c>
      <c r="O133" t="str">
        <f>IFERROR("IN" &amp; _xlfn.TEXTBEFORE(_xlfn.TEXTAFTER(UPPER(tblShipments5[[#This Row],[Gateway_clean]]),"IN")," ",1),"")</f>
        <v>INNSA1</v>
      </c>
      <c r="P133" t="str">
        <f>SUBSTITUTE(tblShipments5[[#This Row],[Gateway]], CHAR(10), " ")</f>
        <v xml:space="preserve">AWB No. Gateway Port Gateway EGM No. Gateway EGM Date Gateway Site ID Error Code N.A.  INNSA1  134741  2017-09-08 00:00:00.0  INNSA1  S </v>
      </c>
      <c r="Q133" t="s">
        <v>773</v>
      </c>
    </row>
    <row r="134" spans="1:17" x14ac:dyDescent="0.35">
      <c r="A134" t="s">
        <v>8</v>
      </c>
      <c r="B134">
        <v>7945866</v>
      </c>
      <c r="C134" s="2" t="s">
        <v>239</v>
      </c>
      <c r="D134" s="2" t="str">
        <f>LEFT(TRIM(MID(SUBSTITUTE(tblShipments5[[#This Row],[Details]],CHAR(10)," "), FIND(CHAR(10),tblShipments5[[#This Row],[Details]])+1, 50)), 10)</f>
        <v>0598045783</v>
      </c>
      <c r="E134" t="s">
        <v>252</v>
      </c>
      <c r="F13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4" t="str">
        <f>IF(tblShipments5[[#This Row],[EGM no]]="", "Missing EGM", "EGM Submitted")</f>
        <v>EGM Submitted</v>
      </c>
      <c r="H134" t="str">
        <f>IF(OR(ISNUMBER(SEARCH("Released",tblShipments5[[#This Row],[ROSL]])),
      ISNUMBER(SEARCH("Scroll",tblShipments5[[#This Row],[ROSL]])),
      ISNUMBER(SEARCH("Y",tblShipments5[[#This Row],[ROSL]]))),
   "Released",
   "Not Released")</f>
        <v>Released</v>
      </c>
      <c r="I134" t="str">
        <f>IF(OR(tblShipments5[[#This Row],[EGM no]]="", tblShipments5[[#This Row],[EGM no]]="N.A."), "Not Submitted", "Submitted")</f>
        <v>Submitted</v>
      </c>
      <c r="J134" t="str">
        <f>IF(LEFT(tblShipments5[[#This Row],[Gateway_Extracted]],2)="IN","Valid","Invalid")</f>
        <v>Valid</v>
      </c>
      <c r="K134" t="s">
        <v>253</v>
      </c>
      <c r="L134" t="s">
        <v>184</v>
      </c>
      <c r="M134" t="s">
        <v>31</v>
      </c>
      <c r="N134" t="s">
        <v>254</v>
      </c>
      <c r="O134" t="str">
        <f>IFERROR("IN" &amp; _xlfn.TEXTBEFORE(_xlfn.TEXTAFTER(UPPER(tblShipments5[[#This Row],[Gateway_clean]]),"IN")," ",1),"")</f>
        <v>INPAV1</v>
      </c>
      <c r="P134" t="str">
        <f>SUBSTITUTE(tblShipments5[[#This Row],[Gateway]], CHAR(10), " ")</f>
        <v xml:space="preserve">AWB No. Gateway Port Gateway EGM No. Gateway EGM Date Gateway Site ID Error Code N.A.  INPAV1  133808  2017-08-24 00:00:00.0  INPAV1  S </v>
      </c>
      <c r="Q134" t="s">
        <v>186</v>
      </c>
    </row>
    <row r="135" spans="1:17" x14ac:dyDescent="0.35">
      <c r="A135" t="s">
        <v>8</v>
      </c>
      <c r="B135">
        <v>1073185</v>
      </c>
      <c r="C135" s="2" t="s">
        <v>1251</v>
      </c>
      <c r="D135" s="2" t="str">
        <f>LEFT(TRIM(MID(SUBSTITUTE(tblShipments5[[#This Row],[Details]],CHAR(10)," "), FIND(CHAR(10),tblShipments5[[#This Row],[Details]])+1, 50)), 10)</f>
        <v>0598045783</v>
      </c>
      <c r="E135" t="s">
        <v>1279</v>
      </c>
      <c r="F13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5" t="str">
        <f>IF(tblShipments5[[#This Row],[EGM no]]="", "Missing EGM", "EGM Submitted")</f>
        <v>EGM Submitted</v>
      </c>
      <c r="H135" t="str">
        <f>IF(OR(ISNUMBER(SEARCH("Released",tblShipments5[[#This Row],[ROSL]])),
      ISNUMBER(SEARCH("Scroll",tblShipments5[[#This Row],[ROSL]])),
      ISNUMBER(SEARCH("Y",tblShipments5[[#This Row],[ROSL]]))),
   "Released",
   "Not Released")</f>
        <v>Released</v>
      </c>
      <c r="I135" t="str">
        <f>IF(OR(tblShipments5[[#This Row],[EGM no]]="", tblShipments5[[#This Row],[EGM no]]="N.A."), "Not Submitted", "Submitted")</f>
        <v>Submitted</v>
      </c>
      <c r="J135" t="str">
        <f>IF(LEFT(tblShipments5[[#This Row],[Gateway_Extracted]],2)="IN","Valid","Invalid")</f>
        <v>Valid</v>
      </c>
      <c r="K135" t="s">
        <v>1280</v>
      </c>
      <c r="L135" t="s">
        <v>1281</v>
      </c>
      <c r="M135" t="s">
        <v>31</v>
      </c>
      <c r="N135" t="s">
        <v>1282</v>
      </c>
      <c r="O135" t="str">
        <f>IFERROR("IN" &amp; _xlfn.TEXTBEFORE(_xlfn.TEXTAFTER(UPPER(tblShipments5[[#This Row],[Gateway_clean]]),"IN")," ",1),"")</f>
        <v>INMUN1</v>
      </c>
      <c r="P135" t="str">
        <f>SUBSTITUTE(tblShipments5[[#This Row],[Gateway]], CHAR(10), " ")</f>
        <v xml:space="preserve">AWB No. Gateway Port Gateway EGM No. Gateway EGM Date Gateway Site ID Error Code N.A.  INMUN1  140625  2017-12-13 00:00:00.0  INMUN1  S </v>
      </c>
      <c r="Q135" t="s">
        <v>1283</v>
      </c>
    </row>
    <row r="136" spans="1:17" x14ac:dyDescent="0.35">
      <c r="A136" t="s">
        <v>8</v>
      </c>
      <c r="B136">
        <v>8239122</v>
      </c>
      <c r="C136" s="2" t="s">
        <v>442</v>
      </c>
      <c r="D136" s="2" t="str">
        <f>LEFT(TRIM(MID(SUBSTITUTE(tblShipments5[[#This Row],[Details]],CHAR(10)," "), FIND(CHAR(10),tblShipments5[[#This Row],[Details]])+1, 50)), 10)</f>
        <v>AAHCC0755A</v>
      </c>
      <c r="E136" t="s">
        <v>452</v>
      </c>
      <c r="F13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6" t="str">
        <f>IF(tblShipments5[[#This Row],[EGM no]]="", "Missing EGM", "EGM Submitted")</f>
        <v>EGM Submitted</v>
      </c>
      <c r="H136" t="str">
        <f>IF(OR(ISNUMBER(SEARCH("Released",tblShipments5[[#This Row],[ROSL]])),
      ISNUMBER(SEARCH("Scroll",tblShipments5[[#This Row],[ROSL]])),
      ISNUMBER(SEARCH("Y",tblShipments5[[#This Row],[ROSL]]))),
   "Released",
   "Not Released")</f>
        <v>Released</v>
      </c>
      <c r="I136" t="str">
        <f>IF(OR(tblShipments5[[#This Row],[EGM no]]="", tblShipments5[[#This Row],[EGM no]]="N.A."), "Not Submitted", "Submitted")</f>
        <v>Submitted</v>
      </c>
      <c r="J136" t="str">
        <f>IF(LEFT(tblShipments5[[#This Row],[Gateway_Extracted]],2)="IN","Valid","Invalid")</f>
        <v>Valid</v>
      </c>
      <c r="K136" t="s">
        <v>352</v>
      </c>
      <c r="L136" t="s">
        <v>453</v>
      </c>
      <c r="M136" t="s">
        <v>454</v>
      </c>
      <c r="N136" t="s">
        <v>455</v>
      </c>
      <c r="O136" t="str">
        <f>IFERROR("IN" &amp; _xlfn.TEXTBEFORE(_xlfn.TEXTAFTER(UPPER(tblShipments5[[#This Row],[Gateway_clean]]),"IN")," ",1),"")</f>
        <v>INPAV1</v>
      </c>
      <c r="P136" t="str">
        <f>SUBSTITUTE(tblShipments5[[#This Row],[Gateway]], CHAR(10), " ")</f>
        <v xml:space="preserve">AWB No. Gateway Port Gateway EGM No. Gateway EGM Date Gateway Site ID Error Code N.A.  INPAV1  132218  2017-07-26 00:00:00.0  INPAV1  S </v>
      </c>
      <c r="Q136" t="s">
        <v>456</v>
      </c>
    </row>
    <row r="137" spans="1:17" x14ac:dyDescent="0.35">
      <c r="A137" t="s">
        <v>8</v>
      </c>
      <c r="B137">
        <v>8239128</v>
      </c>
      <c r="C137" s="2" t="s">
        <v>442</v>
      </c>
      <c r="D137" s="2" t="str">
        <f>LEFT(TRIM(MID(SUBSTITUTE(tblShipments5[[#This Row],[Details]],CHAR(10)," "), FIND(CHAR(10),tblShipments5[[#This Row],[Details]])+1, 50)), 10)</f>
        <v>AAHCC0755A</v>
      </c>
      <c r="E137" t="s">
        <v>457</v>
      </c>
      <c r="F13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7" t="str">
        <f>IF(tblShipments5[[#This Row],[EGM no]]="", "Missing EGM", "EGM Submitted")</f>
        <v>EGM Submitted</v>
      </c>
      <c r="H137" t="str">
        <f>IF(OR(ISNUMBER(SEARCH("Released",tblShipments5[[#This Row],[ROSL]])),
      ISNUMBER(SEARCH("Scroll",tblShipments5[[#This Row],[ROSL]])),
      ISNUMBER(SEARCH("Y",tblShipments5[[#This Row],[ROSL]]))),
   "Released",
   "Not Released")</f>
        <v>Released</v>
      </c>
      <c r="I137" t="str">
        <f>IF(OR(tblShipments5[[#This Row],[EGM no]]="", tblShipments5[[#This Row],[EGM no]]="N.A."), "Not Submitted", "Submitted")</f>
        <v>Submitted</v>
      </c>
      <c r="J137" t="str">
        <f>IF(LEFT(tblShipments5[[#This Row],[Gateway_Extracted]],2)="IN","Valid","Invalid")</f>
        <v>Valid</v>
      </c>
      <c r="K137" t="s">
        <v>352</v>
      </c>
      <c r="L137" t="s">
        <v>453</v>
      </c>
      <c r="M137" t="s">
        <v>454</v>
      </c>
      <c r="N137" t="s">
        <v>455</v>
      </c>
      <c r="O137" t="str">
        <f>IFERROR("IN" &amp; _xlfn.TEXTBEFORE(_xlfn.TEXTAFTER(UPPER(tblShipments5[[#This Row],[Gateway_clean]]),"IN")," ",1),"")</f>
        <v>INPAV1</v>
      </c>
      <c r="P137" t="str">
        <f>SUBSTITUTE(tblShipments5[[#This Row],[Gateway]], CHAR(10), " ")</f>
        <v xml:space="preserve">AWB No. Gateway Port Gateway EGM No. Gateway EGM Date Gateway Site ID Error Code N.A.  INPAV1  132218  2017-07-26 00:00:00.0  INPAV1  S </v>
      </c>
      <c r="Q137" t="s">
        <v>456</v>
      </c>
    </row>
    <row r="138" spans="1:17" x14ac:dyDescent="0.35">
      <c r="A138" t="s">
        <v>8</v>
      </c>
      <c r="B138">
        <v>8239129</v>
      </c>
      <c r="C138" s="2" t="s">
        <v>442</v>
      </c>
      <c r="D138" s="2" t="str">
        <f>LEFT(TRIM(MID(SUBSTITUTE(tblShipments5[[#This Row],[Details]],CHAR(10)," "), FIND(CHAR(10),tblShipments5[[#This Row],[Details]])+1, 50)), 10)</f>
        <v>AAHCC0755A</v>
      </c>
      <c r="E138" t="s">
        <v>458</v>
      </c>
      <c r="F13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8" t="str">
        <f>IF(tblShipments5[[#This Row],[EGM no]]="", "Missing EGM", "EGM Submitted")</f>
        <v>EGM Submitted</v>
      </c>
      <c r="H138" t="str">
        <f>IF(OR(ISNUMBER(SEARCH("Released",tblShipments5[[#This Row],[ROSL]])),
      ISNUMBER(SEARCH("Scroll",tblShipments5[[#This Row],[ROSL]])),
      ISNUMBER(SEARCH("Y",tblShipments5[[#This Row],[ROSL]]))),
   "Released",
   "Not Released")</f>
        <v>Released</v>
      </c>
      <c r="I138" t="str">
        <f>IF(OR(tblShipments5[[#This Row],[EGM no]]="", tblShipments5[[#This Row],[EGM no]]="N.A."), "Not Submitted", "Submitted")</f>
        <v>Submitted</v>
      </c>
      <c r="J138" t="str">
        <f>IF(LEFT(tblShipments5[[#This Row],[Gateway_Extracted]],2)="IN","Valid","Invalid")</f>
        <v>Valid</v>
      </c>
      <c r="K138" t="s">
        <v>352</v>
      </c>
      <c r="L138" t="s">
        <v>453</v>
      </c>
      <c r="M138" t="s">
        <v>454</v>
      </c>
      <c r="N138" t="s">
        <v>455</v>
      </c>
      <c r="O138" t="str">
        <f>IFERROR("IN" &amp; _xlfn.TEXTBEFORE(_xlfn.TEXTAFTER(UPPER(tblShipments5[[#This Row],[Gateway_clean]]),"IN")," ",1),"")</f>
        <v>INPAV1</v>
      </c>
      <c r="P138" t="str">
        <f>SUBSTITUTE(tblShipments5[[#This Row],[Gateway]], CHAR(10), " ")</f>
        <v xml:space="preserve">AWB No. Gateway Port Gateway EGM No. Gateway EGM Date Gateway Site ID Error Code N.A.  INPAV1  132218  2017-07-26 00:00:00.0  INPAV1  S </v>
      </c>
      <c r="Q138" t="s">
        <v>456</v>
      </c>
    </row>
    <row r="139" spans="1:17" x14ac:dyDescent="0.35">
      <c r="A139" t="s">
        <v>8</v>
      </c>
      <c r="B139">
        <v>8241978</v>
      </c>
      <c r="C139" s="2" t="s">
        <v>442</v>
      </c>
      <c r="D139" s="2" t="str">
        <f>LEFT(TRIM(MID(SUBSTITUTE(tblShipments5[[#This Row],[Details]],CHAR(10)," "), FIND(CHAR(10),tblShipments5[[#This Row],[Details]])+1, 50)), 10)</f>
        <v>AAHCC0755A</v>
      </c>
      <c r="E139" t="s">
        <v>464</v>
      </c>
      <c r="F13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39" t="str">
        <f>IF(tblShipments5[[#This Row],[EGM no]]="", "Missing EGM", "EGM Submitted")</f>
        <v>EGM Submitted</v>
      </c>
      <c r="H139" t="str">
        <f>IF(OR(ISNUMBER(SEARCH("Released",tblShipments5[[#This Row],[ROSL]])),
      ISNUMBER(SEARCH("Scroll",tblShipments5[[#This Row],[ROSL]])),
      ISNUMBER(SEARCH("Y",tblShipments5[[#This Row],[ROSL]]))),
   "Released",
   "Not Released")</f>
        <v>Released</v>
      </c>
      <c r="I139" t="str">
        <f>IF(OR(tblShipments5[[#This Row],[EGM no]]="", tblShipments5[[#This Row],[EGM no]]="N.A."), "Not Submitted", "Submitted")</f>
        <v>Submitted</v>
      </c>
      <c r="J139" t="str">
        <f>IF(LEFT(tblShipments5[[#This Row],[Gateway_Extracted]],2)="IN","Valid","Invalid")</f>
        <v>Valid</v>
      </c>
      <c r="K139" t="s">
        <v>427</v>
      </c>
      <c r="L139" t="s">
        <v>460</v>
      </c>
      <c r="M139" t="s">
        <v>465</v>
      </c>
      <c r="N139" t="s">
        <v>466</v>
      </c>
      <c r="O139" t="str">
        <f>IFERROR("IN" &amp; _xlfn.TEXTBEFORE(_xlfn.TEXTAFTER(UPPER(tblShipments5[[#This Row],[Gateway_clean]]),"IN")," ",1),"")</f>
        <v>INPAV1</v>
      </c>
      <c r="P139" t="str">
        <f>SUBSTITUTE(tblShipments5[[#This Row],[Gateway]], CHAR(10), " ")</f>
        <v xml:space="preserve">AWB No. Gateway Port Gateway EGM No. Gateway EGM Date Gateway Site ID Error Code N.A.  INPAV1  132218  2017-07-26 00:00:00.0  INPAV1  S </v>
      </c>
      <c r="Q139" t="s">
        <v>456</v>
      </c>
    </row>
    <row r="140" spans="1:17" x14ac:dyDescent="0.35">
      <c r="A140" t="s">
        <v>8</v>
      </c>
      <c r="B140">
        <v>8241970</v>
      </c>
      <c r="C140" s="2" t="s">
        <v>442</v>
      </c>
      <c r="D140" s="2" t="str">
        <f>LEFT(TRIM(MID(SUBSTITUTE(tblShipments5[[#This Row],[Details]],CHAR(10)," "), FIND(CHAR(10),tblShipments5[[#This Row],[Details]])+1, 50)), 10)</f>
        <v>AAHCC0755A</v>
      </c>
      <c r="E140" t="s">
        <v>459</v>
      </c>
      <c r="F14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0" t="str">
        <f>IF(tblShipments5[[#This Row],[EGM no]]="", "Missing EGM", "EGM Submitted")</f>
        <v>EGM Submitted</v>
      </c>
      <c r="H140" t="str">
        <f>IF(OR(ISNUMBER(SEARCH("Released",tblShipments5[[#This Row],[ROSL]])),
      ISNUMBER(SEARCH("Scroll",tblShipments5[[#This Row],[ROSL]])),
      ISNUMBER(SEARCH("Y",tblShipments5[[#This Row],[ROSL]]))),
   "Released",
   "Not Released")</f>
        <v>Released</v>
      </c>
      <c r="I140" t="str">
        <f>IF(OR(tblShipments5[[#This Row],[EGM no]]="", tblShipments5[[#This Row],[EGM no]]="N.A."), "Not Submitted", "Submitted")</f>
        <v>Submitted</v>
      </c>
      <c r="J140" t="str">
        <f>IF(LEFT(tblShipments5[[#This Row],[Gateway_Extracted]],2)="IN","Valid","Invalid")</f>
        <v>Valid</v>
      </c>
      <c r="K140" t="s">
        <v>427</v>
      </c>
      <c r="L140" t="s">
        <v>460</v>
      </c>
      <c r="M140" t="s">
        <v>461</v>
      </c>
      <c r="N140" t="s">
        <v>462</v>
      </c>
      <c r="O140" t="str">
        <f>IFERROR("IN" &amp; _xlfn.TEXTBEFORE(_xlfn.TEXTAFTER(UPPER(tblShipments5[[#This Row],[Gateway_clean]]),"IN")," ",1),"")</f>
        <v>INPAV1</v>
      </c>
      <c r="P140" t="str">
        <f>SUBSTITUTE(tblShipments5[[#This Row],[Gateway]], CHAR(10), " ")</f>
        <v xml:space="preserve">AWB No. Gateway Port Gateway EGM No. Gateway EGM Date Gateway Site ID Error Code N.A.  INPAV1  132218  2017-07-26 00:00:00.0  INPAV1  S </v>
      </c>
      <c r="Q140" t="s">
        <v>456</v>
      </c>
    </row>
    <row r="141" spans="1:17" x14ac:dyDescent="0.35">
      <c r="A141" t="s">
        <v>8</v>
      </c>
      <c r="B141">
        <v>8241971</v>
      </c>
      <c r="C141" s="2" t="s">
        <v>442</v>
      </c>
      <c r="D141" s="2" t="str">
        <f>LEFT(TRIM(MID(SUBSTITUTE(tblShipments5[[#This Row],[Details]],CHAR(10)," "), FIND(CHAR(10),tblShipments5[[#This Row],[Details]])+1, 50)), 10)</f>
        <v>AAHCC0755A</v>
      </c>
      <c r="E141" t="s">
        <v>463</v>
      </c>
      <c r="F14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1" t="str">
        <f>IF(tblShipments5[[#This Row],[EGM no]]="", "Missing EGM", "EGM Submitted")</f>
        <v>EGM Submitted</v>
      </c>
      <c r="H141" t="str">
        <f>IF(OR(ISNUMBER(SEARCH("Released",tblShipments5[[#This Row],[ROSL]])),
      ISNUMBER(SEARCH("Scroll",tblShipments5[[#This Row],[ROSL]])),
      ISNUMBER(SEARCH("Y",tblShipments5[[#This Row],[ROSL]]))),
   "Released",
   "Not Released")</f>
        <v>Released</v>
      </c>
      <c r="I141" t="str">
        <f>IF(OR(tblShipments5[[#This Row],[EGM no]]="", tblShipments5[[#This Row],[EGM no]]="N.A."), "Not Submitted", "Submitted")</f>
        <v>Submitted</v>
      </c>
      <c r="J141" t="str">
        <f>IF(LEFT(tblShipments5[[#This Row],[Gateway_Extracted]],2)="IN","Valid","Invalid")</f>
        <v>Valid</v>
      </c>
      <c r="K141" t="s">
        <v>427</v>
      </c>
      <c r="L141" t="s">
        <v>460</v>
      </c>
      <c r="M141" t="s">
        <v>461</v>
      </c>
      <c r="N141" t="s">
        <v>462</v>
      </c>
      <c r="O141" t="str">
        <f>IFERROR("IN" &amp; _xlfn.TEXTBEFORE(_xlfn.TEXTAFTER(UPPER(tblShipments5[[#This Row],[Gateway_clean]]),"IN")," ",1),"")</f>
        <v>INPAV1</v>
      </c>
      <c r="P141" t="str">
        <f>SUBSTITUTE(tblShipments5[[#This Row],[Gateway]], CHAR(10), " ")</f>
        <v xml:space="preserve">AWB No. Gateway Port Gateway EGM No. Gateway EGM Date Gateway Site ID Error Code N.A.  INPAV1  132218  2017-07-26 00:00:00.0  INPAV1  S </v>
      </c>
      <c r="Q141" t="s">
        <v>456</v>
      </c>
    </row>
    <row r="142" spans="1:17" x14ac:dyDescent="0.35">
      <c r="A142" t="s">
        <v>8</v>
      </c>
      <c r="B142">
        <v>8439375</v>
      </c>
      <c r="C142" s="2" t="s">
        <v>565</v>
      </c>
      <c r="D142" s="2" t="str">
        <f>LEFT(TRIM(MID(SUBSTITUTE(tblShipments5[[#This Row],[Details]],CHAR(10)," "), FIND(CHAR(10),tblShipments5[[#This Row],[Details]])+1, 50)), 10)</f>
        <v>AAHCC0755A</v>
      </c>
      <c r="E142" t="s">
        <v>579</v>
      </c>
      <c r="F14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2" t="str">
        <f>IF(tblShipments5[[#This Row],[EGM no]]="", "Missing EGM", "EGM Submitted")</f>
        <v>EGM Submitted</v>
      </c>
      <c r="H142" t="str">
        <f>IF(OR(ISNUMBER(SEARCH("Released",tblShipments5[[#This Row],[ROSL]])),
      ISNUMBER(SEARCH("Scroll",tblShipments5[[#This Row],[ROSL]])),
      ISNUMBER(SEARCH("Y",tblShipments5[[#This Row],[ROSL]]))),
   "Released",
   "Not Released")</f>
        <v>Released</v>
      </c>
      <c r="I142" t="str">
        <f>IF(OR(tblShipments5[[#This Row],[EGM no]]="", tblShipments5[[#This Row],[EGM no]]="N.A."), "Not Submitted", "Submitted")</f>
        <v>Submitted</v>
      </c>
      <c r="J142" t="str">
        <f>IF(LEFT(tblShipments5[[#This Row],[Gateway_Extracted]],2)="IN","Valid","Invalid")</f>
        <v>Valid</v>
      </c>
      <c r="K142" t="s">
        <v>528</v>
      </c>
      <c r="L142" t="s">
        <v>580</v>
      </c>
      <c r="M142" t="s">
        <v>581</v>
      </c>
      <c r="N142" t="s">
        <v>582</v>
      </c>
      <c r="O142" t="str">
        <f>IFERROR("IN" &amp; _xlfn.TEXTBEFORE(_xlfn.TEXTAFTER(UPPER(tblShipments5[[#This Row],[Gateway_clean]]),"IN")," ",1),"")</f>
        <v>INPAV1</v>
      </c>
      <c r="P142" t="str">
        <f>SUBSTITUTE(tblShipments5[[#This Row],[Gateway]], CHAR(10), " ")</f>
        <v xml:space="preserve">AWB No. Gateway Port Gateway EGM No. Gateway EGM Date Gateway Site ID Error Code N.A.  INPAV1  134057  2017-08-28 00:00:00.0  INPAV1  S </v>
      </c>
      <c r="Q142" t="s">
        <v>583</v>
      </c>
    </row>
    <row r="143" spans="1:17" x14ac:dyDescent="0.35">
      <c r="A143" t="s">
        <v>8</v>
      </c>
      <c r="B143">
        <v>8439383</v>
      </c>
      <c r="C143" s="2" t="s">
        <v>565</v>
      </c>
      <c r="D143" s="2" t="str">
        <f>LEFT(TRIM(MID(SUBSTITUTE(tblShipments5[[#This Row],[Details]],CHAR(10)," "), FIND(CHAR(10),tblShipments5[[#This Row],[Details]])+1, 50)), 10)</f>
        <v>AAHCC0755A</v>
      </c>
      <c r="E143" t="s">
        <v>584</v>
      </c>
      <c r="F14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3" t="str">
        <f>IF(tblShipments5[[#This Row],[EGM no]]="", "Missing EGM", "EGM Submitted")</f>
        <v>EGM Submitted</v>
      </c>
      <c r="H143" t="str">
        <f>IF(OR(ISNUMBER(SEARCH("Released",tblShipments5[[#This Row],[ROSL]])),
      ISNUMBER(SEARCH("Scroll",tblShipments5[[#This Row],[ROSL]])),
      ISNUMBER(SEARCH("Y",tblShipments5[[#This Row],[ROSL]]))),
   "Released",
   "Not Released")</f>
        <v>Released</v>
      </c>
      <c r="I143" t="str">
        <f>IF(OR(tblShipments5[[#This Row],[EGM no]]="", tblShipments5[[#This Row],[EGM no]]="N.A."), "Not Submitted", "Submitted")</f>
        <v>Submitted</v>
      </c>
      <c r="J143" t="str">
        <f>IF(LEFT(tblShipments5[[#This Row],[Gateway_Extracted]],2)="IN","Valid","Invalid")</f>
        <v>Valid</v>
      </c>
      <c r="K143" t="s">
        <v>528</v>
      </c>
      <c r="L143" t="s">
        <v>585</v>
      </c>
      <c r="M143" t="s">
        <v>581</v>
      </c>
      <c r="N143" t="s">
        <v>582</v>
      </c>
      <c r="O143" t="str">
        <f>IFERROR("IN" &amp; _xlfn.TEXTBEFORE(_xlfn.TEXTAFTER(UPPER(tblShipments5[[#This Row],[Gateway_clean]]),"IN")," ",1),"")</f>
        <v>INPAV1</v>
      </c>
      <c r="P143" t="str">
        <f>SUBSTITUTE(tblShipments5[[#This Row],[Gateway]], CHAR(10), " ")</f>
        <v xml:space="preserve">AWB No. Gateway Port Gateway EGM No. Gateway EGM Date Gateway Site ID Error Code N.A.  INPAV1  134057  2017-08-28 00:00:00.0  INPAV1  S </v>
      </c>
      <c r="Q143" t="s">
        <v>583</v>
      </c>
    </row>
    <row r="144" spans="1:17" x14ac:dyDescent="0.35">
      <c r="A144" t="s">
        <v>8</v>
      </c>
      <c r="B144">
        <v>8288523</v>
      </c>
      <c r="C144" s="2" t="s">
        <v>479</v>
      </c>
      <c r="D144" s="2" t="str">
        <f>LEFT(TRIM(MID(SUBSTITUTE(tblShipments5[[#This Row],[Details]],CHAR(10)," "), FIND(CHAR(10),tblShipments5[[#This Row],[Details]])+1, 50)), 10)</f>
        <v>0515069272</v>
      </c>
      <c r="E144" t="s">
        <v>480</v>
      </c>
      <c r="F14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4" t="str">
        <f>IF(tblShipments5[[#This Row],[EGM no]]="", "Missing EGM", "EGM Submitted")</f>
        <v>EGM Submitted</v>
      </c>
      <c r="H144" t="str">
        <f>IF(OR(ISNUMBER(SEARCH("Released",tblShipments5[[#This Row],[ROSL]])),
      ISNUMBER(SEARCH("Scroll",tblShipments5[[#This Row],[ROSL]])),
      ISNUMBER(SEARCH("Y",tblShipments5[[#This Row],[ROSL]]))),
   "Released",
   "Not Released")</f>
        <v>Released</v>
      </c>
      <c r="I144" t="str">
        <f>IF(OR(tblShipments5[[#This Row],[EGM no]]="", tblShipments5[[#This Row],[EGM no]]="N.A."), "Not Submitted", "Submitted")</f>
        <v>Submitted</v>
      </c>
      <c r="J144" t="str">
        <f>IF(LEFT(tblShipments5[[#This Row],[Gateway_Extracted]],2)="IN","Valid","Invalid")</f>
        <v>Valid</v>
      </c>
      <c r="K144" t="s">
        <v>473</v>
      </c>
      <c r="L144" t="s">
        <v>481</v>
      </c>
      <c r="M144" t="s">
        <v>482</v>
      </c>
      <c r="N144" t="s">
        <v>483</v>
      </c>
      <c r="O144" t="str">
        <f>IFERROR("IN" &amp; _xlfn.TEXTBEFORE(_xlfn.TEXTAFTER(UPPER(tblShipments5[[#This Row],[Gateway_clean]]),"IN")," ",1),"")</f>
        <v>INPAV1</v>
      </c>
      <c r="P144" t="str">
        <f>SUBSTITUTE(tblShipments5[[#This Row],[Gateway]], CHAR(10), " ")</f>
        <v xml:space="preserve">AWB No. Gateway Port Gateway EGM No. Gateway EGM Date Gateway Site ID Error Code N.A.  INPAV1  132218  2017-07-26 00:00:00.0  INPAV1  S </v>
      </c>
      <c r="Q144" t="s">
        <v>456</v>
      </c>
    </row>
    <row r="145" spans="1:17" x14ac:dyDescent="0.35">
      <c r="A145" t="s">
        <v>8</v>
      </c>
      <c r="B145">
        <v>7774110</v>
      </c>
      <c r="C145" s="2" t="s">
        <v>120</v>
      </c>
      <c r="D145" s="2" t="str">
        <f>LEFT(TRIM(MID(SUBSTITUTE(tblShipments5[[#This Row],[Details]],CHAR(10)," "), FIND(CHAR(10),tblShipments5[[#This Row],[Details]])+1, 50)), 10)</f>
        <v>0510011683</v>
      </c>
      <c r="E145" t="s">
        <v>140</v>
      </c>
      <c r="F14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5" t="str">
        <f>IF(tblShipments5[[#This Row],[EGM no]]="", "Missing EGM", "EGM Submitted")</f>
        <v>EGM Submitted</v>
      </c>
      <c r="H145" t="str">
        <f>IF(OR(ISNUMBER(SEARCH("Released",tblShipments5[[#This Row],[ROSL]])),
      ISNUMBER(SEARCH("Scroll",tblShipments5[[#This Row],[ROSL]])),
      ISNUMBER(SEARCH("Y",tblShipments5[[#This Row],[ROSL]]))),
   "Released",
   "Not Released")</f>
        <v>Released</v>
      </c>
      <c r="I145" t="str">
        <f>IF(OR(tblShipments5[[#This Row],[EGM no]]="", tblShipments5[[#This Row],[EGM no]]="N.A."), "Not Submitted", "Submitted")</f>
        <v>Submitted</v>
      </c>
      <c r="J145" t="str">
        <f>IF(LEFT(tblShipments5[[#This Row],[Gateway_Extracted]],2)="IN","Valid","Invalid")</f>
        <v>Valid</v>
      </c>
      <c r="K145" t="s">
        <v>141</v>
      </c>
      <c r="L145" t="s">
        <v>142</v>
      </c>
      <c r="M145" t="s">
        <v>31</v>
      </c>
      <c r="N145" t="s">
        <v>143</v>
      </c>
      <c r="O145" t="str">
        <f>IFERROR("IN" &amp; _xlfn.TEXTBEFORE(_xlfn.TEXTAFTER(UPPER(tblShipments5[[#This Row],[Gateway_clean]]),"IN")," ",1),"")</f>
        <v>INMUN1</v>
      </c>
      <c r="P145" t="str">
        <f>SUBSTITUTE(tblShipments5[[#This Row],[Gateway]], CHAR(10), " ")</f>
        <v xml:space="preserve">AWB No. Gateway Port Gateway EGM No. Gateway EGM Date Gateway Site ID Error Code N.A.  INMUN1  134015  2017-08-28 00:00:00.0  INMUN1  S </v>
      </c>
      <c r="Q145" t="s">
        <v>144</v>
      </c>
    </row>
    <row r="146" spans="1:17" x14ac:dyDescent="0.35">
      <c r="A146" t="s">
        <v>8</v>
      </c>
      <c r="B146">
        <v>1062588</v>
      </c>
      <c r="C146" s="2" t="s">
        <v>1251</v>
      </c>
      <c r="D146" s="2" t="str">
        <f>LEFT(TRIM(MID(SUBSTITUTE(tblShipments5[[#This Row],[Details]],CHAR(10)," "), FIND(CHAR(10),tblShipments5[[#This Row],[Details]])+1, 50)), 10)</f>
        <v>1414003447</v>
      </c>
      <c r="E146" t="s">
        <v>1257</v>
      </c>
      <c r="F14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6" t="str">
        <f>IF(tblShipments5[[#This Row],[EGM no]]="", "Missing EGM", "EGM Submitted")</f>
        <v>EGM Submitted</v>
      </c>
      <c r="H146" t="str">
        <f>IF(OR(ISNUMBER(SEARCH("Released",tblShipments5[[#This Row],[ROSL]])),
      ISNUMBER(SEARCH("Scroll",tblShipments5[[#This Row],[ROSL]])),
      ISNUMBER(SEARCH("Y",tblShipments5[[#This Row],[ROSL]]))),
   "Released",
   "Not Released")</f>
        <v>Released</v>
      </c>
      <c r="I146" t="str">
        <f>IF(OR(tblShipments5[[#This Row],[EGM no]]="", tblShipments5[[#This Row],[EGM no]]="N.A."), "Not Submitted", "Submitted")</f>
        <v>Submitted</v>
      </c>
      <c r="J146" t="str">
        <f>IF(LEFT(tblShipments5[[#This Row],[Gateway_Extracted]],2)="IN","Valid","Invalid")</f>
        <v>Valid</v>
      </c>
      <c r="K146" t="s">
        <v>1258</v>
      </c>
      <c r="L146" t="s">
        <v>1259</v>
      </c>
      <c r="M146" t="s">
        <v>13</v>
      </c>
      <c r="N146" t="s">
        <v>1260</v>
      </c>
      <c r="O146" t="str">
        <f>IFERROR("IN" &amp; _xlfn.TEXTBEFORE(_xlfn.TEXTAFTER(UPPER(tblShipments5[[#This Row],[Gateway_clean]]),"IN")," ",1),"")</f>
        <v>INMUN1</v>
      </c>
      <c r="P146" t="str">
        <f>SUBSTITUTE(tblShipments5[[#This Row],[Gateway]], CHAR(10), " ")</f>
        <v xml:space="preserve">AWB No. Gateway Port Gateway EGM No. Gateway EGM Date Gateway Site ID Error Code N.A.  INMUN1  139344  2017-11-22 00:00:00.0  INMUN1  S </v>
      </c>
      <c r="Q146" t="s">
        <v>1261</v>
      </c>
    </row>
    <row r="147" spans="1:17" x14ac:dyDescent="0.35">
      <c r="A147" t="s">
        <v>8</v>
      </c>
      <c r="B147">
        <v>7812525</v>
      </c>
      <c r="C147" s="2" t="s">
        <v>181</v>
      </c>
      <c r="D147" s="2" t="str">
        <f>LEFT(TRIM(MID(SUBSTITUTE(tblShipments5[[#This Row],[Details]],CHAR(10)," "), FIND(CHAR(10),tblShipments5[[#This Row],[Details]])+1, 50)), 10)</f>
        <v>0513045228</v>
      </c>
      <c r="E147" t="s">
        <v>182</v>
      </c>
      <c r="F14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7" t="str">
        <f>IF(tblShipments5[[#This Row],[EGM no]]="", "Missing EGM", "EGM Submitted")</f>
        <v>EGM Submitted</v>
      </c>
      <c r="H147" t="str">
        <f>IF(OR(ISNUMBER(SEARCH("Released",tblShipments5[[#This Row],[ROSL]])),
      ISNUMBER(SEARCH("Scroll",tblShipments5[[#This Row],[ROSL]])),
      ISNUMBER(SEARCH("Y",tblShipments5[[#This Row],[ROSL]]))),
   "Released",
   "Not Released")</f>
        <v>Released</v>
      </c>
      <c r="I147" t="str">
        <f>IF(OR(tblShipments5[[#This Row],[EGM no]]="", tblShipments5[[#This Row],[EGM no]]="N.A."), "Not Submitted", "Submitted")</f>
        <v>Submitted</v>
      </c>
      <c r="J147" t="str">
        <f>IF(LEFT(tblShipments5[[#This Row],[Gateway_Extracted]],2)="IN","Valid","Invalid")</f>
        <v>Valid</v>
      </c>
      <c r="K147" t="s">
        <v>183</v>
      </c>
      <c r="L147" t="s">
        <v>184</v>
      </c>
      <c r="M147" t="s">
        <v>13</v>
      </c>
      <c r="N147" t="s">
        <v>185</v>
      </c>
      <c r="O147" t="str">
        <f>IFERROR("IN" &amp; _xlfn.TEXTBEFORE(_xlfn.TEXTAFTER(UPPER(tblShipments5[[#This Row],[Gateway_clean]]),"IN")," ",1),"")</f>
        <v>INPAV1</v>
      </c>
      <c r="P147" t="str">
        <f>SUBSTITUTE(tblShipments5[[#This Row],[Gateway]], CHAR(10), " ")</f>
        <v xml:space="preserve">AWB No. Gateway Port Gateway EGM No. Gateway EGM Date Gateway Site ID Error Code N.A.  INPAV1  133808  2017-08-24 00:00:00.0  INPAV1  S </v>
      </c>
      <c r="Q147" t="s">
        <v>186</v>
      </c>
    </row>
    <row r="148" spans="1:17" x14ac:dyDescent="0.35">
      <c r="A148" t="s">
        <v>8</v>
      </c>
      <c r="B148">
        <v>8067051</v>
      </c>
      <c r="C148" s="2" t="s">
        <v>310</v>
      </c>
      <c r="D148" s="2" t="str">
        <f>LEFT(TRIM(MID(SUBSTITUTE(tblShipments5[[#This Row],[Details]],CHAR(10)," "), FIND(CHAR(10),tblShipments5[[#This Row],[Details]])+1, 50)), 10)</f>
        <v>0514087234</v>
      </c>
      <c r="E148" t="s">
        <v>329</v>
      </c>
      <c r="F14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8" t="str">
        <f>IF(tblShipments5[[#This Row],[EGM no]]="", "Missing EGM", "EGM Submitted")</f>
        <v>EGM Submitted</v>
      </c>
      <c r="H148" t="str">
        <f>IF(OR(ISNUMBER(SEARCH("Released",tblShipments5[[#This Row],[ROSL]])),
      ISNUMBER(SEARCH("Scroll",tblShipments5[[#This Row],[ROSL]])),
      ISNUMBER(SEARCH("Y",tblShipments5[[#This Row],[ROSL]]))),
   "Released",
   "Not Released")</f>
        <v>Released</v>
      </c>
      <c r="I148" t="str">
        <f>IF(OR(tblShipments5[[#This Row],[EGM no]]="", tblShipments5[[#This Row],[EGM no]]="N.A."), "Not Submitted", "Submitted")</f>
        <v>Submitted</v>
      </c>
      <c r="J148" t="str">
        <f>IF(LEFT(tblShipments5[[#This Row],[Gateway_Extracted]],2)="IN","Valid","Invalid")</f>
        <v>Valid</v>
      </c>
      <c r="K148" t="s">
        <v>330</v>
      </c>
      <c r="L148" t="s">
        <v>331</v>
      </c>
      <c r="M148" t="s">
        <v>13</v>
      </c>
      <c r="N148" t="s">
        <v>332</v>
      </c>
      <c r="O148" t="str">
        <f>IFERROR("IN" &amp; _xlfn.TEXTBEFORE(_xlfn.TEXTAFTER(UPPER(tblShipments5[[#This Row],[Gateway_clean]]),"IN")," ",1),"")</f>
        <v>INMUN1</v>
      </c>
      <c r="P148" t="str">
        <f>SUBSTITUTE(tblShipments5[[#This Row],[Gateway]], CHAR(10), " ")</f>
        <v xml:space="preserve">AWB No. Gateway Port Gateway EGM No. Gateway EGM Date Gateway Site ID Error Code N.A.  INMUN1  133949  2017-08-26 00:00:00.0  INMUN1  S </v>
      </c>
      <c r="Q148" t="s">
        <v>333</v>
      </c>
    </row>
    <row r="149" spans="1:17" x14ac:dyDescent="0.35">
      <c r="A149" t="s">
        <v>8</v>
      </c>
      <c r="B149">
        <v>9086361</v>
      </c>
      <c r="C149" s="2" t="s">
        <v>939</v>
      </c>
      <c r="D149" s="2" t="str">
        <f>LEFT(TRIM(MID(SUBSTITUTE(tblShipments5[[#This Row],[Details]],CHAR(10)," "), FIND(CHAR(10),tblShipments5[[#This Row],[Details]])+1, 50)), 10)</f>
        <v>0514085720</v>
      </c>
      <c r="E149" t="s">
        <v>940</v>
      </c>
      <c r="F14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49" t="str">
        <f>IF(tblShipments5[[#This Row],[EGM no]]="", "Missing EGM", "EGM Submitted")</f>
        <v>EGM Submitted</v>
      </c>
      <c r="H149" t="str">
        <f>IF(OR(ISNUMBER(SEARCH("Released",tblShipments5[[#This Row],[ROSL]])),
      ISNUMBER(SEARCH("Scroll",tblShipments5[[#This Row],[ROSL]])),
      ISNUMBER(SEARCH("Y",tblShipments5[[#This Row],[ROSL]]))),
   "Released",
   "Not Released")</f>
        <v>Released</v>
      </c>
      <c r="I149" t="str">
        <f>IF(OR(tblShipments5[[#This Row],[EGM no]]="", tblShipments5[[#This Row],[EGM no]]="N.A."), "Not Submitted", "Submitted")</f>
        <v>Submitted</v>
      </c>
      <c r="J149" t="str">
        <f>IF(LEFT(tblShipments5[[#This Row],[Gateway_Extracted]],2)="IN","Valid","Invalid")</f>
        <v>Valid</v>
      </c>
      <c r="K149" t="s">
        <v>941</v>
      </c>
      <c r="L149" t="s">
        <v>942</v>
      </c>
      <c r="M149" t="s">
        <v>31</v>
      </c>
      <c r="N149" t="s">
        <v>943</v>
      </c>
      <c r="O149" t="str">
        <f>IFERROR("IN" &amp; _xlfn.TEXTBEFORE(_xlfn.TEXTAFTER(UPPER(tblShipments5[[#This Row],[Gateway_clean]]),"IN")," ",1),"")</f>
        <v>INNSA1</v>
      </c>
      <c r="P149" t="str">
        <f>SUBSTITUTE(tblShipments5[[#This Row],[Gateway]], CHAR(10), " ")</f>
        <v xml:space="preserve">AWB No. Gateway Port Gateway EGM No. Gateway EGM Date Gateway Site ID Error Code N.A.  INNSA1  136252  2017-10-04 00:00:00.0  INNSA1  S </v>
      </c>
      <c r="Q149" t="s">
        <v>944</v>
      </c>
    </row>
    <row r="150" spans="1:17" x14ac:dyDescent="0.35">
      <c r="A150" t="s">
        <v>8</v>
      </c>
      <c r="B150">
        <v>8065467</v>
      </c>
      <c r="C150" s="2" t="s">
        <v>310</v>
      </c>
      <c r="D150" s="2" t="str">
        <f>LEFT(TRIM(MID(SUBSTITUTE(tblShipments5[[#This Row],[Details]],CHAR(10)," "), FIND(CHAR(10),tblShipments5[[#This Row],[Details]])+1, 50)), 10)</f>
        <v>0509092110</v>
      </c>
      <c r="E150" t="s">
        <v>321</v>
      </c>
      <c r="F15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0" t="str">
        <f>IF(tblShipments5[[#This Row],[EGM no]]="", "Missing EGM", "EGM Submitted")</f>
        <v>EGM Submitted</v>
      </c>
      <c r="H150" t="str">
        <f>IF(OR(ISNUMBER(SEARCH("Released",tblShipments5[[#This Row],[ROSL]])),
      ISNUMBER(SEARCH("Scroll",tblShipments5[[#This Row],[ROSL]])),
      ISNUMBER(SEARCH("Y",tblShipments5[[#This Row],[ROSL]]))),
   "Released",
   "Not Released")</f>
        <v>Not Released</v>
      </c>
      <c r="I150" t="str">
        <f>IF(OR(tblShipments5[[#This Row],[EGM no]]="", tblShipments5[[#This Row],[EGM no]]="N.A."), "Not Submitted", "Submitted")</f>
        <v>Submitted</v>
      </c>
      <c r="J150" t="str">
        <f>IF(LEFT(tblShipments5[[#This Row],[Gateway_Extracted]],2)="IN","Valid","Invalid")</f>
        <v>Valid</v>
      </c>
      <c r="K150" t="s">
        <v>261</v>
      </c>
      <c r="L150" t="s">
        <v>322</v>
      </c>
      <c r="M150" t="s">
        <v>105</v>
      </c>
      <c r="N150" t="s">
        <v>323</v>
      </c>
      <c r="O150" t="str">
        <f>IFERROR("IN" &amp; _xlfn.TEXTBEFORE(_xlfn.TEXTAFTER(UPPER(tblShipments5[[#This Row],[Gateway_clean]]),"IN")," ",1),"")</f>
        <v>INMUN1</v>
      </c>
      <c r="P150" t="str">
        <f>SUBSTITUTE(tblShipments5[[#This Row],[Gateway]], CHAR(10), " ")</f>
        <v xml:space="preserve">AWB No. Gateway Port Gateway EGM No. Gateway EGM Date Gateway Site ID Error Code N.A.  INMUN1  137180  2017-10-18 00:00:00.0  INMUN1  ST </v>
      </c>
      <c r="Q150" t="s">
        <v>212</v>
      </c>
    </row>
    <row r="151" spans="1:17" x14ac:dyDescent="0.35">
      <c r="A151" t="s">
        <v>8</v>
      </c>
      <c r="B151">
        <v>1670652</v>
      </c>
      <c r="C151" s="2" t="s">
        <v>1579</v>
      </c>
      <c r="D151" s="2" t="str">
        <f>LEFT(TRIM(MID(SUBSTITUTE(tblShipments5[[#This Row],[Details]],CHAR(10)," "), FIND(CHAR(10),tblShipments5[[#This Row],[Details]])+1, 50)), 10)</f>
        <v>0513013971</v>
      </c>
      <c r="E151" t="s">
        <v>1584</v>
      </c>
      <c r="F15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1" t="str">
        <f>IF(tblShipments5[[#This Row],[EGM no]]="", "Missing EGM", "EGM Submitted")</f>
        <v>EGM Submitted</v>
      </c>
      <c r="H151" t="str">
        <f>IF(OR(ISNUMBER(SEARCH("Released",tblShipments5[[#This Row],[ROSL]])),
      ISNUMBER(SEARCH("Scroll",tblShipments5[[#This Row],[ROSL]])),
      ISNUMBER(SEARCH("Y",tblShipments5[[#This Row],[ROSL]]))),
   "Released",
   "Not Released")</f>
        <v>Released</v>
      </c>
      <c r="I151" t="str">
        <f>IF(OR(tblShipments5[[#This Row],[EGM no]]="", tblShipments5[[#This Row],[EGM no]]="N.A."), "Not Submitted", "Submitted")</f>
        <v>Submitted</v>
      </c>
      <c r="J151" t="str">
        <f>IF(LEFT(tblShipments5[[#This Row],[Gateway_Extracted]],2)="IN","Valid","Invalid")</f>
        <v>Valid</v>
      </c>
      <c r="K151" t="s">
        <v>1585</v>
      </c>
      <c r="L151" t="s">
        <v>1586</v>
      </c>
      <c r="M151" t="s">
        <v>13</v>
      </c>
      <c r="N151" t="s">
        <v>1587</v>
      </c>
      <c r="O151" t="str">
        <f>IFERROR("IN" &amp; _xlfn.TEXTBEFORE(_xlfn.TEXTAFTER(UPPER(tblShipments5[[#This Row],[Gateway_clean]]),"IN")," ",1),"")</f>
        <v>INNSA1</v>
      </c>
      <c r="P151" t="str">
        <f>SUBSTITUTE(tblShipments5[[#This Row],[Gateway]], CHAR(10), " ")</f>
        <v xml:space="preserve">AWB No. Gateway Port Gateway EGM No. Gateway EGM Date Gateway Site ID Error Code N.A.  INNSA1  141344  2017-12-26 00:00:00.0  INNSA1  C </v>
      </c>
      <c r="Q151" t="s">
        <v>1588</v>
      </c>
    </row>
    <row r="152" spans="1:17" x14ac:dyDescent="0.35">
      <c r="A152" t="s">
        <v>8</v>
      </c>
      <c r="B152">
        <v>8462659</v>
      </c>
      <c r="C152" s="2" t="s">
        <v>590</v>
      </c>
      <c r="D152" s="2" t="str">
        <f>LEFT(TRIM(MID(SUBSTITUTE(tblShipments5[[#This Row],[Details]],CHAR(10)," "), FIND(CHAR(10),tblShipments5[[#This Row],[Details]])+1, 50)), 10)</f>
        <v>0507023722</v>
      </c>
      <c r="E152" t="s">
        <v>599</v>
      </c>
      <c r="F15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2" t="str">
        <f>IF(tblShipments5[[#This Row],[EGM no]]="", "Missing EGM", "EGM Submitted")</f>
        <v>EGM Submitted</v>
      </c>
      <c r="H152" t="str">
        <f>IF(OR(ISNUMBER(SEARCH("Released",tblShipments5[[#This Row],[ROSL]])),
      ISNUMBER(SEARCH("Scroll",tblShipments5[[#This Row],[ROSL]])),
      ISNUMBER(SEARCH("Y",tblShipments5[[#This Row],[ROSL]]))),
   "Released",
   "Not Released")</f>
        <v>Released</v>
      </c>
      <c r="I152" t="str">
        <f>IF(OR(tblShipments5[[#This Row],[EGM no]]="", tblShipments5[[#This Row],[EGM no]]="N.A."), "Not Submitted", "Submitted")</f>
        <v>Submitted</v>
      </c>
      <c r="J152" t="str">
        <f>IF(LEFT(tblShipments5[[#This Row],[Gateway_Extracted]],2)="IN","Valid","Invalid")</f>
        <v>Valid</v>
      </c>
      <c r="K152" t="s">
        <v>600</v>
      </c>
      <c r="L152" t="s">
        <v>601</v>
      </c>
      <c r="M152" t="s">
        <v>31</v>
      </c>
      <c r="N152" t="s">
        <v>602</v>
      </c>
      <c r="O152" t="str">
        <f>IFERROR("IN" &amp; _xlfn.TEXTBEFORE(_xlfn.TEXTAFTER(UPPER(tblShipments5[[#This Row],[Gateway_clean]]),"IN")," ",1),"")</f>
        <v>INNSA1</v>
      </c>
      <c r="P152" t="str">
        <f>SUBSTITUTE(tblShipments5[[#This Row],[Gateway]], CHAR(10), " ")</f>
        <v xml:space="preserve">AWB No. Gateway Port Gateway EGM No. Gateway EGM Date Gateway Site ID Error Code N.A.  INNSA1  134462  2017-09-04 00:00:00.0  INNSA1  S </v>
      </c>
      <c r="Q152" t="s">
        <v>372</v>
      </c>
    </row>
    <row r="153" spans="1:17" x14ac:dyDescent="0.35">
      <c r="A153" t="s">
        <v>8</v>
      </c>
      <c r="B153">
        <v>8584704</v>
      </c>
      <c r="C153" s="2" t="s">
        <v>657</v>
      </c>
      <c r="D153" s="2" t="str">
        <f>LEFT(TRIM(MID(SUBSTITUTE(tblShipments5[[#This Row],[Details]],CHAR(10)," "), FIND(CHAR(10),tblShipments5[[#This Row],[Details]])+1, 50)), 10)</f>
        <v>0507023722</v>
      </c>
      <c r="E153" t="s">
        <v>677</v>
      </c>
      <c r="F15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3" t="str">
        <f>IF(tblShipments5[[#This Row],[EGM no]]="", "Missing EGM", "EGM Submitted")</f>
        <v>EGM Submitted</v>
      </c>
      <c r="H153" t="str">
        <f>IF(OR(ISNUMBER(SEARCH("Released",tblShipments5[[#This Row],[ROSL]])),
      ISNUMBER(SEARCH("Scroll",tblShipments5[[#This Row],[ROSL]])),
      ISNUMBER(SEARCH("Y",tblShipments5[[#This Row],[ROSL]]))),
   "Released",
   "Not Released")</f>
        <v>Released</v>
      </c>
      <c r="I153" t="str">
        <f>IF(OR(tblShipments5[[#This Row],[EGM no]]="", tblShipments5[[#This Row],[EGM no]]="N.A."), "Not Submitted", "Submitted")</f>
        <v>Submitted</v>
      </c>
      <c r="J153" t="str">
        <f>IF(LEFT(tblShipments5[[#This Row],[Gateway_Extracted]],2)="IN","Valid","Invalid")</f>
        <v>Valid</v>
      </c>
      <c r="K153" t="s">
        <v>562</v>
      </c>
      <c r="L153" t="s">
        <v>678</v>
      </c>
      <c r="M153" t="s">
        <v>31</v>
      </c>
      <c r="N153" t="s">
        <v>679</v>
      </c>
      <c r="O153" t="str">
        <f>IFERROR("IN" &amp; _xlfn.TEXTBEFORE(_xlfn.TEXTAFTER(UPPER(tblShipments5[[#This Row],[Gateway_clean]]),"IN")," ",1),"")</f>
        <v>INNSA1</v>
      </c>
      <c r="P153" t="str">
        <f>SUBSTITUTE(tblShipments5[[#This Row],[Gateway]], CHAR(10), " ")</f>
        <v xml:space="preserve">AWB No. Gateway Port Gateway EGM No. Gateway EGM Date Gateway Site ID Error Code N.A.  INNSA1  134938  2017-09-12 00:00:00.0  INNSA1  S </v>
      </c>
      <c r="Q153" t="s">
        <v>680</v>
      </c>
    </row>
    <row r="154" spans="1:17" x14ac:dyDescent="0.35">
      <c r="A154" t="s">
        <v>8</v>
      </c>
      <c r="B154">
        <v>9122323</v>
      </c>
      <c r="C154" s="2" t="s">
        <v>960</v>
      </c>
      <c r="D154" s="2" t="str">
        <f>LEFT(TRIM(MID(SUBSTITUTE(tblShipments5[[#This Row],[Details]],CHAR(10)," "), FIND(CHAR(10),tblShipments5[[#This Row],[Details]])+1, 50)), 10)</f>
        <v>0507023722</v>
      </c>
      <c r="E154" t="s">
        <v>961</v>
      </c>
      <c r="F15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4" t="str">
        <f>IF(tblShipments5[[#This Row],[EGM no]]="", "Missing EGM", "EGM Submitted")</f>
        <v>EGM Submitted</v>
      </c>
      <c r="H154" t="str">
        <f>IF(OR(ISNUMBER(SEARCH("Released",tblShipments5[[#This Row],[ROSL]])),
      ISNUMBER(SEARCH("Scroll",tblShipments5[[#This Row],[ROSL]])),
      ISNUMBER(SEARCH("Y",tblShipments5[[#This Row],[ROSL]]))),
   "Released",
   "Not Released")</f>
        <v>Released</v>
      </c>
      <c r="I154" t="str">
        <f>IF(OR(tblShipments5[[#This Row],[EGM no]]="", tblShipments5[[#This Row],[EGM no]]="N.A."), "Not Submitted", "Submitted")</f>
        <v>Submitted</v>
      </c>
      <c r="J154" t="str">
        <f>IF(LEFT(tblShipments5[[#This Row],[Gateway_Extracted]],2)="IN","Valid","Invalid")</f>
        <v>Valid</v>
      </c>
      <c r="K154" t="s">
        <v>941</v>
      </c>
      <c r="L154" t="s">
        <v>958</v>
      </c>
      <c r="M154" t="s">
        <v>31</v>
      </c>
      <c r="N154" t="s">
        <v>962</v>
      </c>
      <c r="O154" t="str">
        <f>IFERROR("IN" &amp; _xlfn.TEXTBEFORE(_xlfn.TEXTAFTER(UPPER(tblShipments5[[#This Row],[Gateway_clean]]),"IN")," ",1),"")</f>
        <v>INNSA1</v>
      </c>
      <c r="P154" t="str">
        <f>SUBSTITUTE(tblShipments5[[#This Row],[Gateway]], CHAR(10), " ")</f>
        <v xml:space="preserve">AWB No. Gateway Port Gateway EGM No. Gateway EGM Date Gateway Site ID Error Code N.A.  INNSA1  135895  2017-09-27 00:00:00.0  INNSA1  S </v>
      </c>
      <c r="Q154" t="s">
        <v>933</v>
      </c>
    </row>
    <row r="155" spans="1:17" x14ac:dyDescent="0.35">
      <c r="A155" t="s">
        <v>8</v>
      </c>
      <c r="B155">
        <v>8220992</v>
      </c>
      <c r="C155" s="2" t="s">
        <v>409</v>
      </c>
      <c r="D155" s="2" t="str">
        <f>LEFT(TRIM(MID(SUBSTITUTE(tblShipments5[[#This Row],[Details]],CHAR(10)," "), FIND(CHAR(10),tblShipments5[[#This Row],[Details]])+1, 50)), 10)</f>
        <v>0508074321</v>
      </c>
      <c r="E155" t="s">
        <v>426</v>
      </c>
      <c r="F15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5" t="str">
        <f>IF(tblShipments5[[#This Row],[EGM no]]="", "Missing EGM", "EGM Submitted")</f>
        <v>EGM Submitted</v>
      </c>
      <c r="H155" t="str">
        <f>IF(OR(ISNUMBER(SEARCH("Released",tblShipments5[[#This Row],[ROSL]])),
      ISNUMBER(SEARCH("Scroll",tblShipments5[[#This Row],[ROSL]])),
      ISNUMBER(SEARCH("Y",tblShipments5[[#This Row],[ROSL]]))),
   "Released",
   "Not Released")</f>
        <v>Released</v>
      </c>
      <c r="I155" t="str">
        <f>IF(OR(tblShipments5[[#This Row],[EGM no]]="", tblShipments5[[#This Row],[EGM no]]="N.A."), "Not Submitted", "Submitted")</f>
        <v>Submitted</v>
      </c>
      <c r="J155" t="str">
        <f>IF(LEFT(tblShipments5[[#This Row],[Gateway_Extracted]],2)="IN","Valid","Invalid")</f>
        <v>Valid</v>
      </c>
      <c r="K155" t="s">
        <v>427</v>
      </c>
      <c r="L155" t="s">
        <v>428</v>
      </c>
      <c r="M155" t="s">
        <v>13</v>
      </c>
      <c r="N155" t="s">
        <v>429</v>
      </c>
      <c r="O155" t="str">
        <f>IFERROR("IN" &amp; _xlfn.TEXTBEFORE(_xlfn.TEXTAFTER(UPPER(tblShipments5[[#This Row],[Gateway_clean]]),"IN")," ",1),"")</f>
        <v>INPAV1</v>
      </c>
      <c r="P155" t="str">
        <f>SUBSTITUTE(tblShipments5[[#This Row],[Gateway]], CHAR(10), " ")</f>
        <v xml:space="preserve">AWB No. Gateway Port Gateway EGM No. Gateway EGM Date Gateway Site ID Error Code N.A.  INPAV1  134074  2017-08-28 00:00:00.0  INPAV1  S </v>
      </c>
      <c r="Q155" t="s">
        <v>430</v>
      </c>
    </row>
    <row r="156" spans="1:17" x14ac:dyDescent="0.35">
      <c r="A156" t="s">
        <v>8</v>
      </c>
      <c r="B156">
        <v>8849157</v>
      </c>
      <c r="C156" s="2" t="s">
        <v>815</v>
      </c>
      <c r="D156" s="2" t="str">
        <f>LEFT(TRIM(MID(SUBSTITUTE(tblShipments5[[#This Row],[Details]],CHAR(10)," "), FIND(CHAR(10),tblShipments5[[#This Row],[Details]])+1, 50)), 10)</f>
        <v>0595012647</v>
      </c>
      <c r="E156" t="s">
        <v>821</v>
      </c>
      <c r="F15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6" t="str">
        <f>IF(tblShipments5[[#This Row],[EGM no]]="", "Missing EGM", "EGM Submitted")</f>
        <v>EGM Submitted</v>
      </c>
      <c r="H156" t="str">
        <f>IF(OR(ISNUMBER(SEARCH("Released",tblShipments5[[#This Row],[ROSL]])),
      ISNUMBER(SEARCH("Scroll",tblShipments5[[#This Row],[ROSL]])),
      ISNUMBER(SEARCH("Y",tblShipments5[[#This Row],[ROSL]]))),
   "Released",
   "Not Released")</f>
        <v>Released</v>
      </c>
      <c r="I156" t="str">
        <f>IF(OR(tblShipments5[[#This Row],[EGM no]]="", tblShipments5[[#This Row],[EGM no]]="N.A."), "Not Submitted", "Submitted")</f>
        <v>Submitted</v>
      </c>
      <c r="J156" t="str">
        <f>IF(LEFT(tblShipments5[[#This Row],[Gateway_Extracted]],2)="IN","Valid","Invalid")</f>
        <v>Valid</v>
      </c>
      <c r="K156" t="s">
        <v>822</v>
      </c>
      <c r="L156" t="s">
        <v>823</v>
      </c>
      <c r="M156" t="s">
        <v>13</v>
      </c>
      <c r="N156" t="s">
        <v>824</v>
      </c>
      <c r="O156" t="str">
        <f>IFERROR("IN" &amp; _xlfn.TEXTBEFORE(_xlfn.TEXTAFTER(UPPER(tblShipments5[[#This Row],[Gateway_clean]]),"IN")," ",1),"")</f>
        <v>INMUN1</v>
      </c>
      <c r="P156" t="str">
        <f>SUBSTITUTE(tblShipments5[[#This Row],[Gateway]], CHAR(10), " ")</f>
        <v xml:space="preserve">AWB No. Gateway Port Gateway EGM No. Gateway EGM Date Gateway Site ID Error Code N.A.  INMUN1  134212  2017-08-30 00:00:00.0  INMUN1  S </v>
      </c>
      <c r="Q156" t="s">
        <v>825</v>
      </c>
    </row>
    <row r="157" spans="1:17" x14ac:dyDescent="0.35">
      <c r="A157" t="s">
        <v>8</v>
      </c>
      <c r="B157">
        <v>8348694</v>
      </c>
      <c r="C157" s="2" t="s">
        <v>532</v>
      </c>
      <c r="D157" s="2" t="str">
        <f>LEFT(TRIM(MID(SUBSTITUTE(tblShipments5[[#This Row],[Details]],CHAR(10)," "), FIND(CHAR(10),tblShipments5[[#This Row],[Details]])+1, 50)), 10)</f>
        <v>0595012647</v>
      </c>
      <c r="E157" t="s">
        <v>533</v>
      </c>
      <c r="F15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7" t="str">
        <f>IF(tblShipments5[[#This Row],[EGM no]]="", "Missing EGM", "EGM Submitted")</f>
        <v>EGM Submitted</v>
      </c>
      <c r="H157" t="str">
        <f>IF(OR(ISNUMBER(SEARCH("Released",tblShipments5[[#This Row],[ROSL]])),
      ISNUMBER(SEARCH("Scroll",tblShipments5[[#This Row],[ROSL]])),
      ISNUMBER(SEARCH("Y",tblShipments5[[#This Row],[ROSL]]))),
   "Released",
   "Not Released")</f>
        <v>Released</v>
      </c>
      <c r="I157" t="str">
        <f>IF(OR(tblShipments5[[#This Row],[EGM no]]="", tblShipments5[[#This Row],[EGM no]]="N.A."), "Not Submitted", "Submitted")</f>
        <v>Submitted</v>
      </c>
      <c r="J157" t="str">
        <f>IF(LEFT(tblShipments5[[#This Row],[Gateway_Extracted]],2)="IN","Valid","Invalid")</f>
        <v>Valid</v>
      </c>
      <c r="K157" t="s">
        <v>534</v>
      </c>
      <c r="L157" t="s">
        <v>535</v>
      </c>
      <c r="M157" t="s">
        <v>13</v>
      </c>
      <c r="N157" t="s">
        <v>536</v>
      </c>
      <c r="O157" t="str">
        <f>IFERROR("IN" &amp; _xlfn.TEXTBEFORE(_xlfn.TEXTAFTER(UPPER(tblShipments5[[#This Row],[Gateway_clean]]),"IN")," ",1),"")</f>
        <v>INMUN1</v>
      </c>
      <c r="P157" t="str">
        <f>SUBSTITUTE(tblShipments5[[#This Row],[Gateway]], CHAR(10), " ")</f>
        <v xml:space="preserve">AWB No. Gateway Port Gateway EGM No. Gateway EGM Date Gateway Site ID Error Code N.A.  INMUN1  134209  2017-08-30 00:00:00.0  INMUN1  S </v>
      </c>
      <c r="Q157" t="s">
        <v>385</v>
      </c>
    </row>
    <row r="158" spans="1:17" x14ac:dyDescent="0.35">
      <c r="A158" t="s">
        <v>8</v>
      </c>
      <c r="B158">
        <v>8159434</v>
      </c>
      <c r="C158" s="2" t="s">
        <v>380</v>
      </c>
      <c r="D158" s="2" t="str">
        <f>LEFT(TRIM(MID(SUBSTITUTE(tblShipments5[[#This Row],[Details]],CHAR(10)," "), FIND(CHAR(10),tblShipments5[[#This Row],[Details]])+1, 50)), 10)</f>
        <v>0595012647</v>
      </c>
      <c r="E158" t="s">
        <v>381</v>
      </c>
      <c r="F15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8" t="str">
        <f>IF(tblShipments5[[#This Row],[EGM no]]="", "Missing EGM", "EGM Submitted")</f>
        <v>EGM Submitted</v>
      </c>
      <c r="H158" t="str">
        <f>IF(OR(ISNUMBER(SEARCH("Released",tblShipments5[[#This Row],[ROSL]])),
      ISNUMBER(SEARCH("Scroll",tblShipments5[[#This Row],[ROSL]])),
      ISNUMBER(SEARCH("Y",tblShipments5[[#This Row],[ROSL]]))),
   "Released",
   "Not Released")</f>
        <v>Released</v>
      </c>
      <c r="I158" t="str">
        <f>IF(OR(tblShipments5[[#This Row],[EGM no]]="", tblShipments5[[#This Row],[EGM no]]="N.A."), "Not Submitted", "Submitted")</f>
        <v>Submitted</v>
      </c>
      <c r="J158" t="str">
        <f>IF(LEFT(tblShipments5[[#This Row],[Gateway_Extracted]],2)="IN","Valid","Invalid")</f>
        <v>Valid</v>
      </c>
      <c r="K158" t="s">
        <v>382</v>
      </c>
      <c r="L158" t="s">
        <v>383</v>
      </c>
      <c r="M158" t="s">
        <v>13</v>
      </c>
      <c r="N158" t="s">
        <v>384</v>
      </c>
      <c r="O158" t="str">
        <f>IFERROR("IN" &amp; _xlfn.TEXTBEFORE(_xlfn.TEXTAFTER(UPPER(tblShipments5[[#This Row],[Gateway_clean]]),"IN")," ",1),"")</f>
        <v>INMUN1</v>
      </c>
      <c r="P158" t="str">
        <f>SUBSTITUTE(tblShipments5[[#This Row],[Gateway]], CHAR(10), " ")</f>
        <v xml:space="preserve">AWB No. Gateway Port Gateway EGM No. Gateway EGM Date Gateway Site ID Error Code N.A.  INMUN1  134209  2017-08-30 00:00:00.0  INMUN1  S </v>
      </c>
      <c r="Q158" t="s">
        <v>385</v>
      </c>
    </row>
    <row r="159" spans="1:17" x14ac:dyDescent="0.35">
      <c r="A159" t="s">
        <v>8</v>
      </c>
      <c r="B159">
        <v>8160683</v>
      </c>
      <c r="C159" s="2" t="s">
        <v>380</v>
      </c>
      <c r="D159" s="2" t="str">
        <f>LEFT(TRIM(MID(SUBSTITUTE(tblShipments5[[#This Row],[Details]],CHAR(10)," "), FIND(CHAR(10),tblShipments5[[#This Row],[Details]])+1, 50)), 10)</f>
        <v>0595012647</v>
      </c>
      <c r="E159" t="s">
        <v>386</v>
      </c>
      <c r="F15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59" t="str">
        <f>IF(tblShipments5[[#This Row],[EGM no]]="", "Missing EGM", "EGM Submitted")</f>
        <v>EGM Submitted</v>
      </c>
      <c r="H159" t="str">
        <f>IF(OR(ISNUMBER(SEARCH("Released",tblShipments5[[#This Row],[ROSL]])),
      ISNUMBER(SEARCH("Scroll",tblShipments5[[#This Row],[ROSL]])),
      ISNUMBER(SEARCH("Y",tblShipments5[[#This Row],[ROSL]]))),
   "Released",
   "Not Released")</f>
        <v>Released</v>
      </c>
      <c r="I159" t="str">
        <f>IF(OR(tblShipments5[[#This Row],[EGM no]]="", tblShipments5[[#This Row],[EGM no]]="N.A."), "Not Submitted", "Submitted")</f>
        <v>Submitted</v>
      </c>
      <c r="J159" t="str">
        <f>IF(LEFT(tblShipments5[[#This Row],[Gateway_Extracted]],2)="IN","Valid","Invalid")</f>
        <v>Valid</v>
      </c>
      <c r="K159" t="s">
        <v>382</v>
      </c>
      <c r="L159" t="s">
        <v>383</v>
      </c>
      <c r="M159" t="s">
        <v>13</v>
      </c>
      <c r="N159" t="s">
        <v>387</v>
      </c>
      <c r="O159" t="str">
        <f>IFERROR("IN" &amp; _xlfn.TEXTBEFORE(_xlfn.TEXTAFTER(UPPER(tblShipments5[[#This Row],[Gateway_clean]]),"IN")," ",1),"")</f>
        <v>INMUN1</v>
      </c>
      <c r="P159" t="str">
        <f>SUBSTITUTE(tblShipments5[[#This Row],[Gateway]], CHAR(10), " ")</f>
        <v xml:space="preserve">AWB No. Gateway Port Gateway EGM No. Gateway EGM Date Gateway Site ID Error Code N.A.  INMUN1  134209  2017-08-30 00:00:00.0  INMUN1  S </v>
      </c>
      <c r="Q159" t="s">
        <v>385</v>
      </c>
    </row>
    <row r="160" spans="1:17" x14ac:dyDescent="0.35">
      <c r="A160" t="s">
        <v>8</v>
      </c>
      <c r="B160">
        <v>8610604</v>
      </c>
      <c r="C160" s="2" t="s">
        <v>681</v>
      </c>
      <c r="D160" s="2" t="str">
        <f>LEFT(TRIM(MID(SUBSTITUTE(tblShipments5[[#This Row],[Details]],CHAR(10)," "), FIND(CHAR(10),tblShipments5[[#This Row],[Details]])+1, 50)), 10)</f>
        <v>0595012647</v>
      </c>
      <c r="E160" t="s">
        <v>714</v>
      </c>
      <c r="F16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0" t="str">
        <f>IF(tblShipments5[[#This Row],[EGM no]]="", "Missing EGM", "EGM Submitted")</f>
        <v>EGM Submitted</v>
      </c>
      <c r="H160" t="str">
        <f>IF(OR(ISNUMBER(SEARCH("Released",tblShipments5[[#This Row],[ROSL]])),
      ISNUMBER(SEARCH("Scroll",tblShipments5[[#This Row],[ROSL]])),
      ISNUMBER(SEARCH("Y",tblShipments5[[#This Row],[ROSL]]))),
   "Released",
   "Not Released")</f>
        <v>Released</v>
      </c>
      <c r="I160" t="str">
        <f>IF(OR(tblShipments5[[#This Row],[EGM no]]="", tblShipments5[[#This Row],[EGM no]]="N.A."), "Not Submitted", "Submitted")</f>
        <v>Submitted</v>
      </c>
      <c r="J160" t="str">
        <f>IF(LEFT(tblShipments5[[#This Row],[Gateway_Extracted]],2)="IN","Valid","Invalid")</f>
        <v>Valid</v>
      </c>
      <c r="K160" t="s">
        <v>715</v>
      </c>
      <c r="L160" t="s">
        <v>716</v>
      </c>
      <c r="M160" t="s">
        <v>13</v>
      </c>
      <c r="N160" t="s">
        <v>717</v>
      </c>
      <c r="O160" t="str">
        <f>IFERROR("IN" &amp; _xlfn.TEXTBEFORE(_xlfn.TEXTAFTER(UPPER(tblShipments5[[#This Row],[Gateway_clean]]),"IN")," ",1),"")</f>
        <v>INMUN1</v>
      </c>
      <c r="P160" t="str">
        <f>SUBSTITUTE(tblShipments5[[#This Row],[Gateway]], CHAR(10), " ")</f>
        <v xml:space="preserve">AWB No. Gateway Port Gateway EGM No. Gateway EGM Date Gateway Site ID Error Code N.A.  INMUN1  134211  2017-08-30 00:00:00.0  INMUN1  S </v>
      </c>
      <c r="Q160" t="s">
        <v>718</v>
      </c>
    </row>
    <row r="161" spans="1:17" x14ac:dyDescent="0.35">
      <c r="A161" t="s">
        <v>8</v>
      </c>
      <c r="B161">
        <v>8826748</v>
      </c>
      <c r="C161" s="2" t="s">
        <v>809</v>
      </c>
      <c r="D161" s="2" t="str">
        <f>LEFT(TRIM(MID(SUBSTITUTE(tblShipments5[[#This Row],[Details]],CHAR(10)," "), FIND(CHAR(10),tblShipments5[[#This Row],[Details]])+1, 50)), 10)</f>
        <v>0595012647</v>
      </c>
      <c r="E161" t="s">
        <v>810</v>
      </c>
      <c r="F16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1" t="str">
        <f>IF(tblShipments5[[#This Row],[EGM no]]="", "Missing EGM", "EGM Submitted")</f>
        <v>EGM Submitted</v>
      </c>
      <c r="H161" t="str">
        <f>IF(OR(ISNUMBER(SEARCH("Released",tblShipments5[[#This Row],[ROSL]])),
      ISNUMBER(SEARCH("Scroll",tblShipments5[[#This Row],[ROSL]])),
      ISNUMBER(SEARCH("Y",tblShipments5[[#This Row],[ROSL]]))),
   "Released",
   "Not Released")</f>
        <v>Released</v>
      </c>
      <c r="I161" t="str">
        <f>IF(OR(tblShipments5[[#This Row],[EGM no]]="", tblShipments5[[#This Row],[EGM no]]="N.A."), "Not Submitted", "Submitted")</f>
        <v>Submitted</v>
      </c>
      <c r="J161" t="str">
        <f>IF(LEFT(tblShipments5[[#This Row],[Gateway_Extracted]],2)="IN","Valid","Invalid")</f>
        <v>Valid</v>
      </c>
      <c r="K161" t="s">
        <v>811</v>
      </c>
      <c r="L161" t="s">
        <v>812</v>
      </c>
      <c r="M161" t="s">
        <v>13</v>
      </c>
      <c r="N161" t="s">
        <v>813</v>
      </c>
      <c r="O161" t="str">
        <f>IFERROR("IN" &amp; _xlfn.TEXTBEFORE(_xlfn.TEXTAFTER(UPPER(tblShipments5[[#This Row],[Gateway_clean]]),"IN")," ",1),"")</f>
        <v>INMUN1</v>
      </c>
      <c r="P161" t="str">
        <f>SUBSTITUTE(tblShipments5[[#This Row],[Gateway]], CHAR(10), " ")</f>
        <v xml:space="preserve">AWB No. Gateway Port Gateway EGM No. Gateway EGM Date Gateway Site ID Error Code N.A.  INMUN1  136070  2017-09-29 00:00:00.0  INMUN1  S </v>
      </c>
      <c r="Q161" t="s">
        <v>814</v>
      </c>
    </row>
    <row r="162" spans="1:17" x14ac:dyDescent="0.35">
      <c r="A162" t="s">
        <v>8</v>
      </c>
      <c r="B162">
        <v>9000406</v>
      </c>
      <c r="C162" s="2" t="s">
        <v>900</v>
      </c>
      <c r="D162" s="2" t="str">
        <f>LEFT(TRIM(MID(SUBSTITUTE(tblShipments5[[#This Row],[Details]],CHAR(10)," "), FIND(CHAR(10),tblShipments5[[#This Row],[Details]])+1, 50)), 10)</f>
        <v>0595012647</v>
      </c>
      <c r="E162" t="s">
        <v>906</v>
      </c>
      <c r="F16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2" t="str">
        <f>IF(tblShipments5[[#This Row],[EGM no]]="", "Missing EGM", "EGM Submitted")</f>
        <v>EGM Submitted</v>
      </c>
      <c r="H162" t="str">
        <f>IF(OR(ISNUMBER(SEARCH("Released",tblShipments5[[#This Row],[ROSL]])),
      ISNUMBER(SEARCH("Scroll",tblShipments5[[#This Row],[ROSL]])),
      ISNUMBER(SEARCH("Y",tblShipments5[[#This Row],[ROSL]]))),
   "Released",
   "Not Released")</f>
        <v>Released</v>
      </c>
      <c r="I162" t="str">
        <f>IF(OR(tblShipments5[[#This Row],[EGM no]]="", tblShipments5[[#This Row],[EGM no]]="N.A."), "Not Submitted", "Submitted")</f>
        <v>Submitted</v>
      </c>
      <c r="J162" t="str">
        <f>IF(LEFT(tblShipments5[[#This Row],[Gateway_Extracted]],2)="IN","Valid","Invalid")</f>
        <v>Valid</v>
      </c>
      <c r="K162" t="s">
        <v>907</v>
      </c>
      <c r="L162" t="s">
        <v>908</v>
      </c>
      <c r="M162" t="s">
        <v>13</v>
      </c>
      <c r="N162" t="s">
        <v>909</v>
      </c>
      <c r="O162" t="str">
        <f>IFERROR("IN" &amp; _xlfn.TEXTBEFORE(_xlfn.TEXTAFTER(UPPER(tblShipments5[[#This Row],[Gateway_clean]]),"IN")," ",1),"")</f>
        <v>INMUN1</v>
      </c>
      <c r="P162" t="str">
        <f>SUBSTITUTE(tblShipments5[[#This Row],[Gateway]], CHAR(10), " ")</f>
        <v xml:space="preserve">AWB No. Gateway Port Gateway EGM No. Gateway EGM Date Gateway Site ID Error Code N.A.  INMUN1  136071  2017-09-29 00:00:00.0  INMUN1  S </v>
      </c>
      <c r="Q162" t="s">
        <v>910</v>
      </c>
    </row>
    <row r="163" spans="1:17" x14ac:dyDescent="0.35">
      <c r="A163" t="s">
        <v>8</v>
      </c>
      <c r="B163">
        <v>9003019</v>
      </c>
      <c r="C163" s="2" t="s">
        <v>900</v>
      </c>
      <c r="D163" s="2" t="str">
        <f>LEFT(TRIM(MID(SUBSTITUTE(tblShipments5[[#This Row],[Details]],CHAR(10)," "), FIND(CHAR(10),tblShipments5[[#This Row],[Details]])+1, 50)), 10)</f>
        <v>0595012647</v>
      </c>
      <c r="E163" t="s">
        <v>911</v>
      </c>
      <c r="F16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3" t="str">
        <f>IF(tblShipments5[[#This Row],[EGM no]]="", "Missing EGM", "EGM Submitted")</f>
        <v>EGM Submitted</v>
      </c>
      <c r="H163" t="str">
        <f>IF(OR(ISNUMBER(SEARCH("Released",tblShipments5[[#This Row],[ROSL]])),
      ISNUMBER(SEARCH("Scroll",tblShipments5[[#This Row],[ROSL]])),
      ISNUMBER(SEARCH("Y",tblShipments5[[#This Row],[ROSL]]))),
   "Released",
   "Not Released")</f>
        <v>Released</v>
      </c>
      <c r="I163" t="str">
        <f>IF(OR(tblShipments5[[#This Row],[EGM no]]="", tblShipments5[[#This Row],[EGM no]]="N.A."), "Not Submitted", "Submitted")</f>
        <v>Submitted</v>
      </c>
      <c r="J163" t="str">
        <f>IF(LEFT(tblShipments5[[#This Row],[Gateway_Extracted]],2)="IN","Valid","Invalid")</f>
        <v>Valid</v>
      </c>
      <c r="K163" t="s">
        <v>811</v>
      </c>
      <c r="L163" t="s">
        <v>908</v>
      </c>
      <c r="M163" t="s">
        <v>13</v>
      </c>
      <c r="N163" t="s">
        <v>912</v>
      </c>
      <c r="O163" t="str">
        <f>IFERROR("IN" &amp; _xlfn.TEXTBEFORE(_xlfn.TEXTAFTER(UPPER(tblShipments5[[#This Row],[Gateway_clean]]),"IN")," ",1),"")</f>
        <v>INMUN1</v>
      </c>
      <c r="P163" t="str">
        <f>SUBSTITUTE(tblShipments5[[#This Row],[Gateway]], CHAR(10), " ")</f>
        <v xml:space="preserve">AWB No. Gateway Port Gateway EGM No. Gateway EGM Date Gateway Site ID Error Code N.A.  INMUN1  136071  2017-09-29 00:00:00.0  INMUN1  S </v>
      </c>
      <c r="Q163" t="s">
        <v>910</v>
      </c>
    </row>
    <row r="164" spans="1:17" x14ac:dyDescent="0.35">
      <c r="A164" t="s">
        <v>8</v>
      </c>
      <c r="B164">
        <v>1705753</v>
      </c>
      <c r="C164" s="2" t="s">
        <v>1601</v>
      </c>
      <c r="D164" s="2" t="str">
        <f>LEFT(TRIM(MID(SUBSTITUTE(tblShipments5[[#This Row],[Details]],CHAR(10)," "), FIND(CHAR(10),tblShipments5[[#This Row],[Details]])+1, 50)), 10)</f>
        <v>0595012647</v>
      </c>
      <c r="E164" t="s">
        <v>1610</v>
      </c>
      <c r="F16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4" t="str">
        <f>IF(tblShipments5[[#This Row],[EGM no]]="", "Missing EGM", "EGM Submitted")</f>
        <v>EGM Submitted</v>
      </c>
      <c r="H164" t="str">
        <f>IF(OR(ISNUMBER(SEARCH("Released",tblShipments5[[#This Row],[ROSL]])),
      ISNUMBER(SEARCH("Scroll",tblShipments5[[#This Row],[ROSL]])),
      ISNUMBER(SEARCH("Y",tblShipments5[[#This Row],[ROSL]]))),
   "Released",
   "Not Released")</f>
        <v>Released</v>
      </c>
      <c r="I164" t="str">
        <f>IF(OR(tblShipments5[[#This Row],[EGM no]]="", tblShipments5[[#This Row],[EGM no]]="N.A."), "Not Submitted", "Submitted")</f>
        <v>Submitted</v>
      </c>
      <c r="J164" t="str">
        <f>IF(LEFT(tblShipments5[[#This Row],[Gateway_Extracted]],2)="IN","Valid","Invalid")</f>
        <v>Valid</v>
      </c>
      <c r="K164" t="s">
        <v>1611</v>
      </c>
      <c r="L164" t="s">
        <v>1612</v>
      </c>
      <c r="M164" t="s">
        <v>13</v>
      </c>
      <c r="N164" t="s">
        <v>1613</v>
      </c>
      <c r="O164" t="str">
        <f>IFERROR("IN" &amp; _xlfn.TEXTBEFORE(_xlfn.TEXTAFTER(UPPER(tblShipments5[[#This Row],[Gateway_clean]]),"IN")," ",1),"")</f>
        <v>INMUN1</v>
      </c>
      <c r="P164" t="str">
        <f>SUBSTITUTE(tblShipments5[[#This Row],[Gateway]], CHAR(10), " ")</f>
        <v xml:space="preserve">AWB No. Gateway Port Gateway EGM No. Gateway EGM Date Gateway Site ID Error Code N.A.  INMUN1  141078  2017-12-21 00:00:00.0  INMUN1  S </v>
      </c>
      <c r="Q164" t="s">
        <v>1614</v>
      </c>
    </row>
    <row r="165" spans="1:17" x14ac:dyDescent="0.35">
      <c r="A165" t="s">
        <v>8</v>
      </c>
      <c r="B165">
        <v>1779449</v>
      </c>
      <c r="C165" s="2" t="s">
        <v>1633</v>
      </c>
      <c r="D165" s="2" t="str">
        <f>LEFT(TRIM(MID(SUBSTITUTE(tblShipments5[[#This Row],[Details]],CHAR(10)," "), FIND(CHAR(10),tblShipments5[[#This Row],[Details]])+1, 50)), 10)</f>
        <v>0595012647</v>
      </c>
      <c r="E165" t="s">
        <v>1642</v>
      </c>
      <c r="F16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5" t="str">
        <f>IF(tblShipments5[[#This Row],[EGM no]]="", "Missing EGM", "EGM Submitted")</f>
        <v>EGM Submitted</v>
      </c>
      <c r="H165" t="str">
        <f>IF(OR(ISNUMBER(SEARCH("Released",tblShipments5[[#This Row],[ROSL]])),
      ISNUMBER(SEARCH("Scroll",tblShipments5[[#This Row],[ROSL]])),
      ISNUMBER(SEARCH("Y",tblShipments5[[#This Row],[ROSL]]))),
   "Released",
   "Not Released")</f>
        <v>Released</v>
      </c>
      <c r="I165" t="str">
        <f>IF(OR(tblShipments5[[#This Row],[EGM no]]="", tblShipments5[[#This Row],[EGM no]]="N.A."), "Not Submitted", "Submitted")</f>
        <v>Submitted</v>
      </c>
      <c r="J165" t="str">
        <f>IF(LEFT(tblShipments5[[#This Row],[Gateway_Extracted]],2)="IN","Valid","Invalid")</f>
        <v>Valid</v>
      </c>
      <c r="K165" t="s">
        <v>1643</v>
      </c>
      <c r="L165" t="s">
        <v>1644</v>
      </c>
      <c r="M165" t="s">
        <v>13</v>
      </c>
      <c r="N165" t="s">
        <v>1645</v>
      </c>
      <c r="O165" t="str">
        <f>IFERROR("IN" &amp; _xlfn.TEXTBEFORE(_xlfn.TEXTAFTER(UPPER(tblShipments5[[#This Row],[Gateway_clean]]),"IN")," ",1),"")</f>
        <v>INMUN1</v>
      </c>
      <c r="P165" t="str">
        <f>SUBSTITUTE(tblShipments5[[#This Row],[Gateway]], CHAR(10), " ")</f>
        <v xml:space="preserve">AWB No. Gateway Port Gateway EGM No. Gateway EGM Date Gateway Site ID Error Code N.A.  INMUN1  141230  2017-12-22 00:00:00.0  INMUN1  S </v>
      </c>
      <c r="Q165" t="s">
        <v>1646</v>
      </c>
    </row>
    <row r="166" spans="1:17" x14ac:dyDescent="0.35">
      <c r="A166" t="s">
        <v>8</v>
      </c>
      <c r="B166">
        <v>1817472</v>
      </c>
      <c r="C166" s="2" t="s">
        <v>1657</v>
      </c>
      <c r="D166" s="2" t="str">
        <f>LEFT(TRIM(MID(SUBSTITUTE(tblShipments5[[#This Row],[Details]],CHAR(10)," "), FIND(CHAR(10),tblShipments5[[#This Row],[Details]])+1, 50)), 10)</f>
        <v>0595012647</v>
      </c>
      <c r="E166" t="s">
        <v>1674</v>
      </c>
      <c r="F16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6" t="str">
        <f>IF(tblShipments5[[#This Row],[EGM no]]="", "Missing EGM", "EGM Submitted")</f>
        <v>EGM Submitted</v>
      </c>
      <c r="H166" t="str">
        <f>IF(OR(ISNUMBER(SEARCH("Released",tblShipments5[[#This Row],[ROSL]])),
      ISNUMBER(SEARCH("Scroll",tblShipments5[[#This Row],[ROSL]])),
      ISNUMBER(SEARCH("Y",tblShipments5[[#This Row],[ROSL]]))),
   "Released",
   "Not Released")</f>
        <v>Released</v>
      </c>
      <c r="I166" t="str">
        <f>IF(OR(tblShipments5[[#This Row],[EGM no]]="", tblShipments5[[#This Row],[EGM no]]="N.A."), "Not Submitted", "Submitted")</f>
        <v>Submitted</v>
      </c>
      <c r="J166" t="str">
        <f>IF(LEFT(tblShipments5[[#This Row],[Gateway_Extracted]],2)="IN","Valid","Invalid")</f>
        <v>Valid</v>
      </c>
      <c r="K166" t="s">
        <v>1643</v>
      </c>
      <c r="L166" t="s">
        <v>1675</v>
      </c>
      <c r="M166" t="s">
        <v>13</v>
      </c>
      <c r="N166" t="s">
        <v>1676</v>
      </c>
      <c r="O166" t="str">
        <f>IFERROR("IN" &amp; _xlfn.TEXTBEFORE(_xlfn.TEXTAFTER(UPPER(tblShipments5[[#This Row],[Gateway_clean]]),"IN")," ",1),"")</f>
        <v>INMUN1</v>
      </c>
      <c r="P166" t="str">
        <f>SUBSTITUTE(tblShipments5[[#This Row],[Gateway]], CHAR(10), " ")</f>
        <v xml:space="preserve">AWB No. Gateway Port Gateway EGM No. Gateway EGM Date Gateway Site ID Error Code N.A.  INMUN1  141230  2017-12-22 00:00:00.0  INMUN1  S </v>
      </c>
      <c r="Q166" t="s">
        <v>1646</v>
      </c>
    </row>
    <row r="167" spans="1:17" x14ac:dyDescent="0.35">
      <c r="A167" t="s">
        <v>8</v>
      </c>
      <c r="B167">
        <v>1905542</v>
      </c>
      <c r="C167" s="2" t="s">
        <v>1704</v>
      </c>
      <c r="D167" s="2" t="str">
        <f>LEFT(TRIM(MID(SUBSTITUTE(tblShipments5[[#This Row],[Details]],CHAR(10)," "), FIND(CHAR(10),tblShipments5[[#This Row],[Details]])+1, 50)), 10)</f>
        <v>0595012647</v>
      </c>
      <c r="E167" t="s">
        <v>1718</v>
      </c>
      <c r="F16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7" t="str">
        <f>IF(tblShipments5[[#This Row],[EGM no]]="", "Missing EGM", "EGM Submitted")</f>
        <v>EGM Submitted</v>
      </c>
      <c r="H167" t="str">
        <f>IF(OR(ISNUMBER(SEARCH("Released",tblShipments5[[#This Row],[ROSL]])),
      ISNUMBER(SEARCH("Scroll",tblShipments5[[#This Row],[ROSL]])),
      ISNUMBER(SEARCH("Y",tblShipments5[[#This Row],[ROSL]]))),
   "Released",
   "Not Released")</f>
        <v>Released</v>
      </c>
      <c r="I167" t="str">
        <f>IF(OR(tblShipments5[[#This Row],[EGM no]]="", tblShipments5[[#This Row],[EGM no]]="N.A."), "Not Submitted", "Submitted")</f>
        <v>Submitted</v>
      </c>
      <c r="J167" t="str">
        <f>IF(LEFT(tblShipments5[[#This Row],[Gateway_Extracted]],2)="IN","Valid","Invalid")</f>
        <v>Valid</v>
      </c>
      <c r="K167" t="s">
        <v>1719</v>
      </c>
      <c r="L167" t="s">
        <v>1720</v>
      </c>
      <c r="M167" t="s">
        <v>13</v>
      </c>
      <c r="N167" t="s">
        <v>1721</v>
      </c>
      <c r="O167" t="str">
        <f>IFERROR("IN" &amp; _xlfn.TEXTBEFORE(_xlfn.TEXTAFTER(UPPER(tblShipments5[[#This Row],[Gateway_clean]]),"IN")," ",1),"")</f>
        <v>INMUN1</v>
      </c>
      <c r="P167" t="str">
        <f>SUBSTITUTE(tblShipments5[[#This Row],[Gateway]], CHAR(10), " ")</f>
        <v xml:space="preserve">AWB No. Gateway Port Gateway EGM No. Gateway EGM Date Gateway Site ID Error Code N.A.  INMUN1  141231  2017-12-22 00:00:00.0  INMUN1  S </v>
      </c>
      <c r="Q167" t="s">
        <v>1717</v>
      </c>
    </row>
    <row r="168" spans="1:17" x14ac:dyDescent="0.35">
      <c r="A168" t="s">
        <v>8</v>
      </c>
      <c r="B168">
        <v>1817413</v>
      </c>
      <c r="C168" s="2" t="s">
        <v>1657</v>
      </c>
      <c r="D168" s="2" t="str">
        <f>LEFT(TRIM(MID(SUBSTITUTE(tblShipments5[[#This Row],[Details]],CHAR(10)," "), FIND(CHAR(10),tblShipments5[[#This Row],[Details]])+1, 50)), 10)</f>
        <v>0595012647</v>
      </c>
      <c r="E168" t="s">
        <v>1671</v>
      </c>
      <c r="F16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8" t="str">
        <f>IF(tblShipments5[[#This Row],[EGM no]]="", "Missing EGM", "EGM Submitted")</f>
        <v>EGM Submitted</v>
      </c>
      <c r="H168" t="str">
        <f>IF(OR(ISNUMBER(SEARCH("Released",tblShipments5[[#This Row],[ROSL]])),
      ISNUMBER(SEARCH("Scroll",tblShipments5[[#This Row],[ROSL]])),
      ISNUMBER(SEARCH("Y",tblShipments5[[#This Row],[ROSL]]))),
   "Released",
   "Not Released")</f>
        <v>Released</v>
      </c>
      <c r="I168" t="str">
        <f>IF(OR(tblShipments5[[#This Row],[EGM no]]="", tblShipments5[[#This Row],[EGM no]]="N.A."), "Not Submitted", "Submitted")</f>
        <v>Submitted</v>
      </c>
      <c r="J168" t="str">
        <f>IF(LEFT(tblShipments5[[#This Row],[Gateway_Extracted]],2)="IN","Valid","Invalid")</f>
        <v>Valid</v>
      </c>
      <c r="K168" t="s">
        <v>1643</v>
      </c>
      <c r="L168" t="s">
        <v>1672</v>
      </c>
      <c r="M168" t="s">
        <v>13</v>
      </c>
      <c r="N168" t="s">
        <v>1673</v>
      </c>
      <c r="O168" t="str">
        <f>IFERROR("IN" &amp; _xlfn.TEXTBEFORE(_xlfn.TEXTAFTER(UPPER(tblShipments5[[#This Row],[Gateway_clean]]),"IN")," ",1),"")</f>
        <v>INMUN1</v>
      </c>
      <c r="P168" t="str">
        <f>SUBSTITUTE(tblShipments5[[#This Row],[Gateway]], CHAR(10), " ")</f>
        <v xml:space="preserve">AWB No. Gateway Port Gateway EGM No. Gateway EGM Date Gateway Site ID Error Code N.A.  INMUN1  141230  2017-12-22 00:00:00.0  INMUN1  S </v>
      </c>
      <c r="Q168" t="s">
        <v>1646</v>
      </c>
    </row>
    <row r="169" spans="1:17" x14ac:dyDescent="0.35">
      <c r="A169" t="s">
        <v>8</v>
      </c>
      <c r="B169">
        <v>1904114</v>
      </c>
      <c r="C169" s="2" t="s">
        <v>1704</v>
      </c>
      <c r="D169" s="2" t="str">
        <f>LEFT(TRIM(MID(SUBSTITUTE(tblShipments5[[#This Row],[Details]],CHAR(10)," "), FIND(CHAR(10),tblShipments5[[#This Row],[Details]])+1, 50)), 10)</f>
        <v>0595012647</v>
      </c>
      <c r="E169" t="s">
        <v>1713</v>
      </c>
      <c r="F16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69" t="str">
        <f>IF(tblShipments5[[#This Row],[EGM no]]="", "Missing EGM", "EGM Submitted")</f>
        <v>EGM Submitted</v>
      </c>
      <c r="H169" t="str">
        <f>IF(OR(ISNUMBER(SEARCH("Released",tblShipments5[[#This Row],[ROSL]])),
      ISNUMBER(SEARCH("Scroll",tblShipments5[[#This Row],[ROSL]])),
      ISNUMBER(SEARCH("Y",tblShipments5[[#This Row],[ROSL]]))),
   "Released",
   "Not Released")</f>
        <v>Released</v>
      </c>
      <c r="I169" t="str">
        <f>IF(OR(tblShipments5[[#This Row],[EGM no]]="", tblShipments5[[#This Row],[EGM no]]="N.A."), "Not Submitted", "Submitted")</f>
        <v>Submitted</v>
      </c>
      <c r="J169" t="str">
        <f>IF(LEFT(tblShipments5[[#This Row],[Gateway_Extracted]],2)="IN","Valid","Invalid")</f>
        <v>Valid</v>
      </c>
      <c r="K169" t="s">
        <v>1714</v>
      </c>
      <c r="L169" t="s">
        <v>1715</v>
      </c>
      <c r="M169" t="s">
        <v>13</v>
      </c>
      <c r="N169" t="s">
        <v>1716</v>
      </c>
      <c r="O169" t="str">
        <f>IFERROR("IN" &amp; _xlfn.TEXTBEFORE(_xlfn.TEXTAFTER(UPPER(tblShipments5[[#This Row],[Gateway_clean]]),"IN")," ",1),"")</f>
        <v>INMUN1</v>
      </c>
      <c r="P169" t="str">
        <f>SUBSTITUTE(tblShipments5[[#This Row],[Gateway]], CHAR(10), " ")</f>
        <v xml:space="preserve">AWB No. Gateway Port Gateway EGM No. Gateway EGM Date Gateway Site ID Error Code N.A.  INMUN1  141231  2017-12-22 00:00:00.0  INMUN1  S </v>
      </c>
      <c r="Q169" t="s">
        <v>1717</v>
      </c>
    </row>
    <row r="170" spans="1:17" x14ac:dyDescent="0.35">
      <c r="A170" t="s">
        <v>8</v>
      </c>
      <c r="B170">
        <v>8190870</v>
      </c>
      <c r="C170" s="2" t="s">
        <v>401</v>
      </c>
      <c r="D170" s="2" t="str">
        <f>LEFT(TRIM(MID(SUBSTITUTE(tblShipments5[[#This Row],[Details]],CHAR(10)," "), FIND(CHAR(10),tblShipments5[[#This Row],[Details]])+1, 50)), 10)</f>
        <v>0505000873</v>
      </c>
      <c r="E170" t="s">
        <v>405</v>
      </c>
      <c r="F17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0" t="str">
        <f>IF(tblShipments5[[#This Row],[EGM no]]="", "Missing EGM", "EGM Submitted")</f>
        <v>EGM Submitted</v>
      </c>
      <c r="H170" t="str">
        <f>IF(OR(ISNUMBER(SEARCH("Released",tblShipments5[[#This Row],[ROSL]])),
      ISNUMBER(SEARCH("Scroll",tblShipments5[[#This Row],[ROSL]])),
      ISNUMBER(SEARCH("Y",tblShipments5[[#This Row],[ROSL]]))),
   "Released",
   "Not Released")</f>
        <v>Released</v>
      </c>
      <c r="I170" t="str">
        <f>IF(OR(tblShipments5[[#This Row],[EGM no]]="", tblShipments5[[#This Row],[EGM no]]="N.A."), "Not Submitted", "Submitted")</f>
        <v>Submitted</v>
      </c>
      <c r="J170" t="str">
        <f>IF(LEFT(tblShipments5[[#This Row],[Gateway_Extracted]],2)="IN","Valid","Invalid")</f>
        <v>Valid</v>
      </c>
      <c r="K170" t="s">
        <v>406</v>
      </c>
      <c r="L170" t="s">
        <v>407</v>
      </c>
      <c r="M170" t="s">
        <v>13</v>
      </c>
      <c r="N170" t="s">
        <v>408</v>
      </c>
      <c r="O170" t="str">
        <f>IFERROR("IN" &amp; _xlfn.TEXTBEFORE(_xlfn.TEXTAFTER(UPPER(tblShipments5[[#This Row],[Gateway_clean]]),"IN")," ",1),"")</f>
        <v>INNSA1</v>
      </c>
      <c r="P170" t="str">
        <f>SUBSTITUTE(tblShipments5[[#This Row],[Gateway]], CHAR(10), " ")</f>
        <v xml:space="preserve">AWB No. Gateway Port Gateway EGM No. Gateway EGM Date Gateway Site ID Error Code N.A.  INNSA1  N.A.  N.A.  N.A.  N.A. </v>
      </c>
      <c r="Q170" t="s">
        <v>26</v>
      </c>
    </row>
    <row r="171" spans="1:17" x14ac:dyDescent="0.35">
      <c r="A171" t="s">
        <v>8</v>
      </c>
      <c r="B171">
        <v>8424711</v>
      </c>
      <c r="C171" s="2" t="s">
        <v>565</v>
      </c>
      <c r="D171" s="2" t="str">
        <f>LEFT(TRIM(MID(SUBSTITUTE(tblShipments5[[#This Row],[Details]],CHAR(10)," "), FIND(CHAR(10),tblShipments5[[#This Row],[Details]])+1, 50)), 10)</f>
        <v>0505000873</v>
      </c>
      <c r="E171" t="s">
        <v>570</v>
      </c>
      <c r="F17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1" t="str">
        <f>IF(tblShipments5[[#This Row],[EGM no]]="", "Missing EGM", "EGM Submitted")</f>
        <v>EGM Submitted</v>
      </c>
      <c r="H171" t="str">
        <f>IF(OR(ISNUMBER(SEARCH("Released",tblShipments5[[#This Row],[ROSL]])),
      ISNUMBER(SEARCH("Scroll",tblShipments5[[#This Row],[ROSL]])),
      ISNUMBER(SEARCH("Y",tblShipments5[[#This Row],[ROSL]]))),
   "Released",
   "Not Released")</f>
        <v>Released</v>
      </c>
      <c r="I171" t="str">
        <f>IF(OR(tblShipments5[[#This Row],[EGM no]]="", tblShipments5[[#This Row],[EGM no]]="N.A."), "Not Submitted", "Submitted")</f>
        <v>Submitted</v>
      </c>
      <c r="J171" t="str">
        <f>IF(LEFT(tblShipments5[[#This Row],[Gateway_Extracted]],2)="IN","Valid","Invalid")</f>
        <v>Valid</v>
      </c>
      <c r="K171" t="s">
        <v>523</v>
      </c>
      <c r="L171" t="s">
        <v>571</v>
      </c>
      <c r="M171" t="s">
        <v>13</v>
      </c>
      <c r="N171" t="s">
        <v>572</v>
      </c>
      <c r="O171" t="str">
        <f>IFERROR("IN" &amp; _xlfn.TEXTBEFORE(_xlfn.TEXTAFTER(UPPER(tblShipments5[[#This Row],[Gateway_clean]]),"IN")," ",1),"")</f>
        <v>INNSA1</v>
      </c>
      <c r="P171" t="str">
        <f>SUBSTITUTE(tblShipments5[[#This Row],[Gateway]], CHAR(10), " ")</f>
        <v xml:space="preserve">AWB No. Gateway Port Gateway EGM No. Gateway EGM Date Gateway Site ID Error Code N.A.  INNSA1  134260  2017-08-31 00:00:00.0  INNSA1  S </v>
      </c>
      <c r="Q171" t="s">
        <v>573</v>
      </c>
    </row>
    <row r="172" spans="1:17" x14ac:dyDescent="0.35">
      <c r="A172" t="s">
        <v>8</v>
      </c>
      <c r="B172">
        <v>9246037</v>
      </c>
      <c r="C172" s="2" t="s">
        <v>1008</v>
      </c>
      <c r="D172" s="2" t="str">
        <f>LEFT(TRIM(MID(SUBSTITUTE(tblShipments5[[#This Row],[Details]],CHAR(10)," "), FIND(CHAR(10),tblShipments5[[#This Row],[Details]])+1, 50)), 10)</f>
        <v>0505000873</v>
      </c>
      <c r="E172" t="s">
        <v>1013</v>
      </c>
      <c r="F17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2" t="str">
        <f>IF(tblShipments5[[#This Row],[EGM no]]="", "Missing EGM", "EGM Submitted")</f>
        <v>EGM Submitted</v>
      </c>
      <c r="H172" t="str">
        <f>IF(OR(ISNUMBER(SEARCH("Released",tblShipments5[[#This Row],[ROSL]])),
      ISNUMBER(SEARCH("Scroll",tblShipments5[[#This Row],[ROSL]])),
      ISNUMBER(SEARCH("Y",tblShipments5[[#This Row],[ROSL]]))),
   "Released",
   "Not Released")</f>
        <v>Released</v>
      </c>
      <c r="I172" t="str">
        <f>IF(OR(tblShipments5[[#This Row],[EGM no]]="", tblShipments5[[#This Row],[EGM no]]="N.A."), "Not Submitted", "Submitted")</f>
        <v>Submitted</v>
      </c>
      <c r="J172" t="str">
        <f>IF(LEFT(tblShipments5[[#This Row],[Gateway_Extracted]],2)="IN","Valid","Invalid")</f>
        <v>Valid</v>
      </c>
      <c r="K172" t="s">
        <v>1014</v>
      </c>
      <c r="L172" t="s">
        <v>1015</v>
      </c>
      <c r="M172" t="s">
        <v>13</v>
      </c>
      <c r="N172" t="s">
        <v>1016</v>
      </c>
      <c r="O172" t="str">
        <f>IFERROR("IN" &amp; _xlfn.TEXTBEFORE(_xlfn.TEXTAFTER(UPPER(tblShipments5[[#This Row],[Gateway_clean]]),"IN")," ",1),"")</f>
        <v>INPAV1</v>
      </c>
      <c r="P172" t="str">
        <f>SUBSTITUTE(tblShipments5[[#This Row],[Gateway]], CHAR(10), " ")</f>
        <v xml:space="preserve">AWB No. Gateway Port Gateway EGM No. Gateway EGM Date Gateway Site ID Error Code N.A.  INPAV1  137330  2017-10-23 00:00:00.0  INPAV1  S </v>
      </c>
      <c r="Q172" t="s">
        <v>1017</v>
      </c>
    </row>
    <row r="173" spans="1:17" x14ac:dyDescent="0.35">
      <c r="A173" t="s">
        <v>8</v>
      </c>
      <c r="B173">
        <v>1054151</v>
      </c>
      <c r="C173" s="2" t="s">
        <v>1251</v>
      </c>
      <c r="D173" s="2" t="str">
        <f>LEFT(TRIM(MID(SUBSTITUTE(tblShipments5[[#This Row],[Details]],CHAR(10)," "), FIND(CHAR(10),tblShipments5[[#This Row],[Details]])+1, 50)), 10)</f>
        <v>0505000873</v>
      </c>
      <c r="E173" t="s">
        <v>1252</v>
      </c>
      <c r="F17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3" t="str">
        <f>IF(tblShipments5[[#This Row],[EGM no]]="", "Missing EGM", "EGM Submitted")</f>
        <v>EGM Submitted</v>
      </c>
      <c r="H173" t="str">
        <f>IF(OR(ISNUMBER(SEARCH("Released",tblShipments5[[#This Row],[ROSL]])),
      ISNUMBER(SEARCH("Scroll",tblShipments5[[#This Row],[ROSL]])),
      ISNUMBER(SEARCH("Y",tblShipments5[[#This Row],[ROSL]]))),
   "Released",
   "Not Released")</f>
        <v>Released</v>
      </c>
      <c r="I173" t="str">
        <f>IF(OR(tblShipments5[[#This Row],[EGM no]]="", tblShipments5[[#This Row],[EGM no]]="N.A."), "Not Submitted", "Submitted")</f>
        <v>Submitted</v>
      </c>
      <c r="J173" t="str">
        <f>IF(LEFT(tblShipments5[[#This Row],[Gateway_Extracted]],2)="IN","Valid","Invalid")</f>
        <v>Valid</v>
      </c>
      <c r="K173" t="s">
        <v>1253</v>
      </c>
      <c r="L173" t="s">
        <v>1254</v>
      </c>
      <c r="M173" t="s">
        <v>13</v>
      </c>
      <c r="N173" t="s">
        <v>1255</v>
      </c>
      <c r="O173" t="str">
        <f>IFERROR("IN" &amp; _xlfn.TEXTBEFORE(_xlfn.TEXTAFTER(UPPER(tblShipments5[[#This Row],[Gateway_clean]]),"IN")," ",1),"")</f>
        <v>INNSA1</v>
      </c>
      <c r="P173" t="str">
        <f>SUBSTITUTE(tblShipments5[[#This Row],[Gateway]], CHAR(10), " ")</f>
        <v xml:space="preserve">AWB No. Gateway Port Gateway EGM No. Gateway EGM Date Gateway Site ID Error Code N.A.  INNSA1  138641  2017-11-13 00:00:00.0  INNSA1  S </v>
      </c>
      <c r="Q173" t="s">
        <v>1256</v>
      </c>
    </row>
    <row r="174" spans="1:17" x14ac:dyDescent="0.35">
      <c r="A174" t="s">
        <v>8</v>
      </c>
      <c r="B174">
        <v>1323400</v>
      </c>
      <c r="C174" s="2" t="s">
        <v>1393</v>
      </c>
      <c r="D174" s="2" t="str">
        <f>LEFT(TRIM(MID(SUBSTITUTE(tblShipments5[[#This Row],[Details]],CHAR(10)," "), FIND(CHAR(10),tblShipments5[[#This Row],[Details]])+1, 50)), 10)</f>
        <v>0505000873</v>
      </c>
      <c r="E174" t="s">
        <v>1410</v>
      </c>
      <c r="F17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4" t="str">
        <f>IF(tblShipments5[[#This Row],[EGM no]]="", "Missing EGM", "EGM Submitted")</f>
        <v>EGM Submitted</v>
      </c>
      <c r="H174" t="str">
        <f>IF(OR(ISNUMBER(SEARCH("Released",tblShipments5[[#This Row],[ROSL]])),
      ISNUMBER(SEARCH("Scroll",tblShipments5[[#This Row],[ROSL]])),
      ISNUMBER(SEARCH("Y",tblShipments5[[#This Row],[ROSL]]))),
   "Released",
   "Not Released")</f>
        <v>Released</v>
      </c>
      <c r="I174" t="str">
        <f>IF(OR(tblShipments5[[#This Row],[EGM no]]="", tblShipments5[[#This Row],[EGM no]]="N.A."), "Not Submitted", "Submitted")</f>
        <v>Submitted</v>
      </c>
      <c r="J174" t="str">
        <f>IF(LEFT(tblShipments5[[#This Row],[Gateway_Extracted]],2)="IN","Valid","Invalid")</f>
        <v>Valid</v>
      </c>
      <c r="K174" t="s">
        <v>1411</v>
      </c>
      <c r="L174" t="s">
        <v>1412</v>
      </c>
      <c r="M174" t="s">
        <v>13</v>
      </c>
      <c r="N174" t="s">
        <v>1413</v>
      </c>
      <c r="O174" t="str">
        <f>IFERROR("IN" &amp; _xlfn.TEXTBEFORE(_xlfn.TEXTAFTER(UPPER(tblShipments5[[#This Row],[Gateway_clean]]),"IN")," ",1),"")</f>
        <v>INNSA1</v>
      </c>
      <c r="P174" t="str">
        <f>SUBSTITUTE(tblShipments5[[#This Row],[Gateway]], CHAR(10), " ")</f>
        <v xml:space="preserve">AWB No. Gateway Port Gateway EGM No. Gateway EGM Date Gateway Site ID Error Code N.A.  INNSA1  139999  2017-12-04 00:00:00.0  INNSA1  S </v>
      </c>
      <c r="Q174" t="s">
        <v>1414</v>
      </c>
    </row>
    <row r="175" spans="1:17" x14ac:dyDescent="0.35">
      <c r="A175" t="s">
        <v>8</v>
      </c>
      <c r="B175">
        <v>1622551</v>
      </c>
      <c r="C175" s="2" t="s">
        <v>1547</v>
      </c>
      <c r="D175" s="2" t="str">
        <f>LEFT(TRIM(MID(SUBSTITUTE(tblShipments5[[#This Row],[Details]],CHAR(10)," "), FIND(CHAR(10),tblShipments5[[#This Row],[Details]])+1, 50)), 10)</f>
        <v>0505000873</v>
      </c>
      <c r="E175" t="s">
        <v>1562</v>
      </c>
      <c r="F17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5" t="str">
        <f>IF(tblShipments5[[#This Row],[EGM no]]="", "Missing EGM", "EGM Submitted")</f>
        <v>EGM Submitted</v>
      </c>
      <c r="H175" t="str">
        <f>IF(OR(ISNUMBER(SEARCH("Released",tblShipments5[[#This Row],[ROSL]])),
      ISNUMBER(SEARCH("Scroll",tblShipments5[[#This Row],[ROSL]])),
      ISNUMBER(SEARCH("Y",tblShipments5[[#This Row],[ROSL]]))),
   "Released",
   "Not Released")</f>
        <v>Released</v>
      </c>
      <c r="I175" t="str">
        <f>IF(OR(tblShipments5[[#This Row],[EGM no]]="", tblShipments5[[#This Row],[EGM no]]="N.A."), "Not Submitted", "Submitted")</f>
        <v>Submitted</v>
      </c>
      <c r="J175" t="str">
        <f>IF(LEFT(tblShipments5[[#This Row],[Gateway_Extracted]],2)="IN","Valid","Invalid")</f>
        <v>Valid</v>
      </c>
      <c r="K175" t="s">
        <v>1543</v>
      </c>
      <c r="L175" t="s">
        <v>1563</v>
      </c>
      <c r="M175" t="s">
        <v>13</v>
      </c>
      <c r="N175" t="s">
        <v>1564</v>
      </c>
      <c r="O175" t="str">
        <f>IFERROR("IN" &amp; _xlfn.TEXTBEFORE(_xlfn.TEXTAFTER(UPPER(tblShipments5[[#This Row],[Gateway_clean]]),"IN")," ",1),"")</f>
        <v>INNSA1</v>
      </c>
      <c r="P175" t="str">
        <f>SUBSTITUTE(tblShipments5[[#This Row],[Gateway]], CHAR(10), " ")</f>
        <v xml:space="preserve">AWB No. Gateway Port Gateway EGM No. Gateway EGM Date Gateway Site ID Error Code N.A.  INNSA1  141039  2017-12-20 00:00:00.0  INNSA1  S </v>
      </c>
      <c r="Q175" t="s">
        <v>1565</v>
      </c>
    </row>
    <row r="176" spans="1:17" x14ac:dyDescent="0.35">
      <c r="A176" t="s">
        <v>8</v>
      </c>
      <c r="B176">
        <v>1622558</v>
      </c>
      <c r="C176" s="2" t="s">
        <v>1547</v>
      </c>
      <c r="D176" s="2" t="str">
        <f>LEFT(TRIM(MID(SUBSTITUTE(tblShipments5[[#This Row],[Details]],CHAR(10)," "), FIND(CHAR(10),tblShipments5[[#This Row],[Details]])+1, 50)), 10)</f>
        <v>0505000873</v>
      </c>
      <c r="E176" t="s">
        <v>1566</v>
      </c>
      <c r="F17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6" t="str">
        <f>IF(tblShipments5[[#This Row],[EGM no]]="", "Missing EGM", "EGM Submitted")</f>
        <v>EGM Submitted</v>
      </c>
      <c r="H176" t="str">
        <f>IF(OR(ISNUMBER(SEARCH("Released",tblShipments5[[#This Row],[ROSL]])),
      ISNUMBER(SEARCH("Scroll",tblShipments5[[#This Row],[ROSL]])),
      ISNUMBER(SEARCH("Y",tblShipments5[[#This Row],[ROSL]]))),
   "Released",
   "Not Released")</f>
        <v>Released</v>
      </c>
      <c r="I176" t="str">
        <f>IF(OR(tblShipments5[[#This Row],[EGM no]]="", tblShipments5[[#This Row],[EGM no]]="N.A."), "Not Submitted", "Submitted")</f>
        <v>Submitted</v>
      </c>
      <c r="J176" t="str">
        <f>IF(LEFT(tblShipments5[[#This Row],[Gateway_Extracted]],2)="IN","Valid","Invalid")</f>
        <v>Valid</v>
      </c>
      <c r="K176" t="s">
        <v>1567</v>
      </c>
      <c r="L176" t="s">
        <v>1563</v>
      </c>
      <c r="M176" t="s">
        <v>13</v>
      </c>
      <c r="N176" t="s">
        <v>1568</v>
      </c>
      <c r="O176" t="str">
        <f>IFERROR("IN" &amp; _xlfn.TEXTBEFORE(_xlfn.TEXTAFTER(UPPER(tblShipments5[[#This Row],[Gateway_clean]]),"IN")," ",1),"")</f>
        <v>INNSA1</v>
      </c>
      <c r="P176" t="str">
        <f>SUBSTITUTE(tblShipments5[[#This Row],[Gateway]], CHAR(10), " ")</f>
        <v xml:space="preserve">AWB No. Gateway Port Gateway EGM No. Gateway EGM Date Gateway Site ID Error Code N.A.  INNSA1  141039  2017-12-20 00:00:00.0  INNSA1  S </v>
      </c>
      <c r="Q176" t="s">
        <v>1565</v>
      </c>
    </row>
    <row r="177" spans="1:17" x14ac:dyDescent="0.35">
      <c r="A177" t="s">
        <v>8</v>
      </c>
      <c r="B177">
        <v>1474614</v>
      </c>
      <c r="C177" s="2" t="s">
        <v>1459</v>
      </c>
      <c r="D177" s="2" t="str">
        <f>LEFT(TRIM(MID(SUBSTITUTE(tblShipments5[[#This Row],[Details]],CHAR(10)," "), FIND(CHAR(10),tblShipments5[[#This Row],[Details]])+1, 50)), 10)</f>
        <v>0593033043</v>
      </c>
      <c r="E177" t="s">
        <v>1480</v>
      </c>
      <c r="F17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7" t="str">
        <f>IF(tblShipments5[[#This Row],[EGM no]]="", "Missing EGM", "EGM Submitted")</f>
        <v>EGM Submitted</v>
      </c>
      <c r="H177" t="str">
        <f>IF(OR(ISNUMBER(SEARCH("Released",tblShipments5[[#This Row],[ROSL]])),
      ISNUMBER(SEARCH("Scroll",tblShipments5[[#This Row],[ROSL]])),
      ISNUMBER(SEARCH("Y",tblShipments5[[#This Row],[ROSL]]))),
   "Released",
   "Not Released")</f>
        <v>Released</v>
      </c>
      <c r="I177" t="str">
        <f>IF(OR(tblShipments5[[#This Row],[EGM no]]="", tblShipments5[[#This Row],[EGM no]]="N.A."), "Not Submitted", "Submitted")</f>
        <v>Submitted</v>
      </c>
      <c r="J177" t="str">
        <f>IF(LEFT(tblShipments5[[#This Row],[Gateway_Extracted]],2)="IN","Valid","Invalid")</f>
        <v>Valid</v>
      </c>
      <c r="K177" t="s">
        <v>1481</v>
      </c>
      <c r="L177" t="s">
        <v>1482</v>
      </c>
      <c r="M177" t="s">
        <v>31</v>
      </c>
      <c r="N177" t="s">
        <v>1483</v>
      </c>
      <c r="O177" t="str">
        <f>IFERROR("IN" &amp; _xlfn.TEXTBEFORE(_xlfn.TEXTAFTER(UPPER(tblShipments5[[#This Row],[Gateway_clean]]),"IN")," ",1),"")</f>
        <v>INMUN1</v>
      </c>
      <c r="P177" t="str">
        <f>SUBSTITUTE(tblShipments5[[#This Row],[Gateway]], CHAR(10), " ")</f>
        <v xml:space="preserve">AWB No. Gateway Port Gateway EGM No. Gateway EGM Date Gateway Site ID Error Code N.A.  INMUN1  141426  2017-12-27 00:00:00.0  INMUN1  S </v>
      </c>
      <c r="Q177" t="s">
        <v>1484</v>
      </c>
    </row>
    <row r="178" spans="1:17" x14ac:dyDescent="0.35">
      <c r="A178" t="s">
        <v>8</v>
      </c>
      <c r="B178">
        <v>8216051</v>
      </c>
      <c r="C178" s="2" t="s">
        <v>409</v>
      </c>
      <c r="D178" s="2" t="str">
        <f>LEFT(TRIM(MID(SUBSTITUTE(tblShipments5[[#This Row],[Details]],CHAR(10)," "), FIND(CHAR(10),tblShipments5[[#This Row],[Details]])+1, 50)), 10)</f>
        <v>AAKFN5762C</v>
      </c>
      <c r="E178" t="s">
        <v>417</v>
      </c>
      <c r="F17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8" t="str">
        <f>IF(tblShipments5[[#This Row],[EGM no]]="", "Missing EGM", "EGM Submitted")</f>
        <v>EGM Submitted</v>
      </c>
      <c r="H178" t="str">
        <f>IF(OR(ISNUMBER(SEARCH("Released",tblShipments5[[#This Row],[ROSL]])),
      ISNUMBER(SEARCH("Scroll",tblShipments5[[#This Row],[ROSL]])),
      ISNUMBER(SEARCH("Y",tblShipments5[[#This Row],[ROSL]]))),
   "Released",
   "Not Released")</f>
        <v>Released</v>
      </c>
      <c r="I178" t="str">
        <f>IF(OR(tblShipments5[[#This Row],[EGM no]]="", tblShipments5[[#This Row],[EGM no]]="N.A."), "Not Submitted", "Submitted")</f>
        <v>Submitted</v>
      </c>
      <c r="J178" t="str">
        <f>IF(LEFT(tblShipments5[[#This Row],[Gateway_Extracted]],2)="IN","Valid","Invalid")</f>
        <v>Valid</v>
      </c>
      <c r="K178" t="s">
        <v>418</v>
      </c>
      <c r="L178" t="s">
        <v>419</v>
      </c>
      <c r="M178" t="s">
        <v>13</v>
      </c>
      <c r="N178" t="s">
        <v>420</v>
      </c>
      <c r="O178" t="str">
        <f>IFERROR("IN" &amp; _xlfn.TEXTBEFORE(_xlfn.TEXTAFTER(UPPER(tblShipments5[[#This Row],[Gateway_clean]]),"IN")," ",1),"")</f>
        <v>INNSA1</v>
      </c>
      <c r="P178" t="str">
        <f>SUBSTITUTE(tblShipments5[[#This Row],[Gateway]], CHAR(10), " ")</f>
        <v xml:space="preserve">AWB No. Gateway Port Gateway EGM No. Gateway EGM Date Gateway Site ID Error Code N.A.  INNSA1  134167  2017-08-29 00:00:00.0  INNSA1  S </v>
      </c>
      <c r="Q178" t="s">
        <v>421</v>
      </c>
    </row>
    <row r="179" spans="1:17" x14ac:dyDescent="0.35">
      <c r="A179" t="s">
        <v>8</v>
      </c>
      <c r="B179">
        <v>7909008</v>
      </c>
      <c r="C179" s="2" t="s">
        <v>221</v>
      </c>
      <c r="D179" s="2" t="str">
        <f>LEFT(TRIM(MID(SUBSTITUTE(tblShipments5[[#This Row],[Details]],CHAR(10)," "), FIND(CHAR(10),tblShipments5[[#This Row],[Details]])+1, 50)), 10)</f>
        <v>AAKFN5762C</v>
      </c>
      <c r="E179" t="s">
        <v>232</v>
      </c>
      <c r="F17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79" t="str">
        <f>IF(tblShipments5[[#This Row],[EGM no]]="", "Missing EGM", "EGM Submitted")</f>
        <v>EGM Submitted</v>
      </c>
      <c r="H179" t="str">
        <f>IF(OR(ISNUMBER(SEARCH("Released",tblShipments5[[#This Row],[ROSL]])),
      ISNUMBER(SEARCH("Scroll",tblShipments5[[#This Row],[ROSL]])),
      ISNUMBER(SEARCH("Y",tblShipments5[[#This Row],[ROSL]]))),
   "Released",
   "Not Released")</f>
        <v>Released</v>
      </c>
      <c r="I179" t="str">
        <f>IF(OR(tblShipments5[[#This Row],[EGM no]]="", tblShipments5[[#This Row],[EGM no]]="N.A."), "Not Submitted", "Submitted")</f>
        <v>Submitted</v>
      </c>
      <c r="J179" t="str">
        <f>IF(LEFT(tblShipments5[[#This Row],[Gateway_Extracted]],2)="IN","Valid","Invalid")</f>
        <v>Invalid</v>
      </c>
      <c r="K179" t="s">
        <v>233</v>
      </c>
      <c r="L179" t="s">
        <v>234</v>
      </c>
      <c r="M179" t="s">
        <v>13</v>
      </c>
      <c r="N179" t="s">
        <v>235</v>
      </c>
      <c r="O179" t="str">
        <f>IFERROR("IN" &amp; _xlfn.TEXTBEFORE(_xlfn.TEXTAFTER(UPPER(tblShipments5[[#This Row],[Gateway_clean]]),"IN")," ",1),"")</f>
        <v/>
      </c>
      <c r="P179" t="str">
        <f>SUBSTITUTE(tblShipments5[[#This Row],[Gateway]], CHAR(10), " ")</f>
        <v>No Record found</v>
      </c>
      <c r="Q179" t="s">
        <v>236</v>
      </c>
    </row>
    <row r="180" spans="1:17" x14ac:dyDescent="0.35">
      <c r="A180" t="s">
        <v>8</v>
      </c>
      <c r="B180">
        <v>8605254</v>
      </c>
      <c r="C180" s="2" t="s">
        <v>681</v>
      </c>
      <c r="D180" s="2" t="str">
        <f>LEFT(TRIM(MID(SUBSTITUTE(tblShipments5[[#This Row],[Details]],CHAR(10)," "), FIND(CHAR(10),tblShipments5[[#This Row],[Details]])+1, 50)), 10)</f>
        <v>0515920274</v>
      </c>
      <c r="E180" t="s">
        <v>689</v>
      </c>
      <c r="F18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0" t="str">
        <f>IF(tblShipments5[[#This Row],[EGM no]]="", "Missing EGM", "EGM Submitted")</f>
        <v>EGM Submitted</v>
      </c>
      <c r="H180" t="str">
        <f>IF(OR(ISNUMBER(SEARCH("Released",tblShipments5[[#This Row],[ROSL]])),
      ISNUMBER(SEARCH("Scroll",tblShipments5[[#This Row],[ROSL]])),
      ISNUMBER(SEARCH("Y",tblShipments5[[#This Row],[ROSL]]))),
   "Released",
   "Not Released")</f>
        <v>Released</v>
      </c>
      <c r="I180" t="str">
        <f>IF(OR(tblShipments5[[#This Row],[EGM no]]="", tblShipments5[[#This Row],[EGM no]]="N.A."), "Not Submitted", "Submitted")</f>
        <v>Submitted</v>
      </c>
      <c r="J180" t="str">
        <f>IF(LEFT(tblShipments5[[#This Row],[Gateway_Extracted]],2)="IN","Valid","Invalid")</f>
        <v>Valid</v>
      </c>
      <c r="K180" t="s">
        <v>645</v>
      </c>
      <c r="L180" t="s">
        <v>690</v>
      </c>
      <c r="M180" t="s">
        <v>31</v>
      </c>
      <c r="N180" t="s">
        <v>691</v>
      </c>
      <c r="O180" t="str">
        <f>IFERROR("IN" &amp; _xlfn.TEXTBEFORE(_xlfn.TEXTAFTER(UPPER(tblShipments5[[#This Row],[Gateway_clean]]),"IN")," ",1),"")</f>
        <v>INNSA1</v>
      </c>
      <c r="P180" t="str">
        <f>SUBSTITUTE(tblShipments5[[#This Row],[Gateway]], CHAR(10), " ")</f>
        <v xml:space="preserve">AWB No. Gateway Port Gateway EGM No. Gateway EGM Date Gateway Site ID Error Code N.A.  INNSA1  135065  2017-09-14 00:00:00.0  INNSA1  S </v>
      </c>
      <c r="Q180" t="s">
        <v>692</v>
      </c>
    </row>
    <row r="181" spans="1:17" x14ac:dyDescent="0.35">
      <c r="A181" t="s">
        <v>8</v>
      </c>
      <c r="B181">
        <v>1090894</v>
      </c>
      <c r="C181" s="2" t="s">
        <v>1284</v>
      </c>
      <c r="D181" s="2" t="str">
        <f>LEFT(TRIM(MID(SUBSTITUTE(tblShipments5[[#This Row],[Details]],CHAR(10)," "), FIND(CHAR(10),tblShipments5[[#This Row],[Details]])+1, 50)), 10)</f>
        <v>0595059040</v>
      </c>
      <c r="E181" t="s">
        <v>1285</v>
      </c>
      <c r="F18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1" t="str">
        <f>IF(tblShipments5[[#This Row],[EGM no]]="", "Missing EGM", "EGM Submitted")</f>
        <v>EGM Submitted</v>
      </c>
      <c r="H181" t="str">
        <f>IF(OR(ISNUMBER(SEARCH("Released",tblShipments5[[#This Row],[ROSL]])),
      ISNUMBER(SEARCH("Scroll",tblShipments5[[#This Row],[ROSL]])),
      ISNUMBER(SEARCH("Y",tblShipments5[[#This Row],[ROSL]]))),
   "Released",
   "Not Released")</f>
        <v>Released</v>
      </c>
      <c r="I181" t="str">
        <f>IF(OR(tblShipments5[[#This Row],[EGM no]]="", tblShipments5[[#This Row],[EGM no]]="N.A."), "Not Submitted", "Submitted")</f>
        <v>Submitted</v>
      </c>
      <c r="J181" t="str">
        <f>IF(LEFT(tblShipments5[[#This Row],[Gateway_Extracted]],2)="IN","Valid","Invalid")</f>
        <v>Valid</v>
      </c>
      <c r="K181" t="s">
        <v>1286</v>
      </c>
      <c r="L181" t="s">
        <v>1287</v>
      </c>
      <c r="M181" t="s">
        <v>13</v>
      </c>
      <c r="N181" t="s">
        <v>1288</v>
      </c>
      <c r="O181" t="str">
        <f>IFERROR("IN" &amp; _xlfn.TEXTBEFORE(_xlfn.TEXTAFTER(UPPER(tblShipments5[[#This Row],[Gateway_clean]]),"IN")," ",1),"")</f>
        <v>INNSA1</v>
      </c>
      <c r="P181" t="str">
        <f>SUBSTITUTE(tblShipments5[[#This Row],[Gateway]], CHAR(10), " ")</f>
        <v xml:space="preserve">AWB No. Gateway Port Gateway EGM No. Gateway EGM Date Gateway Site ID Error Code N.A.  INNSA1  N.A.  N.A.  N.A.  N.A. </v>
      </c>
      <c r="Q181" t="s">
        <v>26</v>
      </c>
    </row>
    <row r="182" spans="1:17" x14ac:dyDescent="0.35">
      <c r="A182" t="s">
        <v>8</v>
      </c>
      <c r="B182">
        <v>8247826</v>
      </c>
      <c r="C182" s="2" t="s">
        <v>467</v>
      </c>
      <c r="D182" s="2" t="str">
        <f>LEFT(TRIM(MID(SUBSTITUTE(tblShipments5[[#This Row],[Details]],CHAR(10)," "), FIND(CHAR(10),tblShipments5[[#This Row],[Details]])+1, 50)), 10)</f>
        <v>0512081786</v>
      </c>
      <c r="E182" t="s">
        <v>468</v>
      </c>
      <c r="F18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2" t="str">
        <f>IF(tblShipments5[[#This Row],[EGM no]]="", "Missing EGM", "EGM Submitted")</f>
        <v>EGM Submitted</v>
      </c>
      <c r="H182" t="str">
        <f>IF(OR(ISNUMBER(SEARCH("Released",tblShipments5[[#This Row],[ROSL]])),
      ISNUMBER(SEARCH("Scroll",tblShipments5[[#This Row],[ROSL]])),
      ISNUMBER(SEARCH("Y",tblShipments5[[#This Row],[ROSL]]))),
   "Released",
   "Not Released")</f>
        <v>Released</v>
      </c>
      <c r="I182" t="str">
        <f>IF(OR(tblShipments5[[#This Row],[EGM no]]="", tblShipments5[[#This Row],[EGM no]]="N.A."), "Not Submitted", "Submitted")</f>
        <v>Submitted</v>
      </c>
      <c r="J182" t="str">
        <f>IF(LEFT(tblShipments5[[#This Row],[Gateway_Extracted]],2)="IN","Valid","Invalid")</f>
        <v>Valid</v>
      </c>
      <c r="K182" t="s">
        <v>427</v>
      </c>
      <c r="L182" t="s">
        <v>469</v>
      </c>
      <c r="M182" t="s">
        <v>13</v>
      </c>
      <c r="N182" t="s">
        <v>470</v>
      </c>
      <c r="O182" t="str">
        <f>IFERROR("IN" &amp; _xlfn.TEXTBEFORE(_xlfn.TEXTAFTER(UPPER(tblShipments5[[#This Row],[Gateway_clean]]),"IN")," ",1),"")</f>
        <v>INPAV1</v>
      </c>
      <c r="P182" t="str">
        <f>SUBSTITUTE(tblShipments5[[#This Row],[Gateway]], CHAR(10), " ")</f>
        <v xml:space="preserve">AWB No. Gateway Port Gateway EGM No. Gateway EGM Date Gateway Site ID Error Code N.A.  INPAV1  134066  2017-08-28 00:00:00.0  INPAV1  S </v>
      </c>
      <c r="Q182" t="s">
        <v>471</v>
      </c>
    </row>
    <row r="183" spans="1:17" x14ac:dyDescent="0.35">
      <c r="A183" t="s">
        <v>8</v>
      </c>
      <c r="B183">
        <v>8608445</v>
      </c>
      <c r="C183" s="2" t="s">
        <v>681</v>
      </c>
      <c r="D183" s="2" t="str">
        <f>LEFT(TRIM(MID(SUBSTITUTE(tblShipments5[[#This Row],[Details]],CHAR(10)," "), FIND(CHAR(10),tblShipments5[[#This Row],[Details]])+1, 50)), 10)</f>
        <v>AAECE6932C</v>
      </c>
      <c r="E183" t="s">
        <v>707</v>
      </c>
      <c r="F18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3" t="str">
        <f>IF(tblShipments5[[#This Row],[EGM no]]="", "Missing EGM", "EGM Submitted")</f>
        <v>EGM Submitted</v>
      </c>
      <c r="H183" t="str">
        <f>IF(OR(ISNUMBER(SEARCH("Released",tblShipments5[[#This Row],[ROSL]])),
      ISNUMBER(SEARCH("Scroll",tblShipments5[[#This Row],[ROSL]])),
      ISNUMBER(SEARCH("Y",tblShipments5[[#This Row],[ROSL]]))),
   "Released",
   "Not Released")</f>
        <v>Released</v>
      </c>
      <c r="I183" t="str">
        <f>IF(OR(tblShipments5[[#This Row],[EGM no]]="", tblShipments5[[#This Row],[EGM no]]="N.A."), "Not Submitted", "Submitted")</f>
        <v>Submitted</v>
      </c>
      <c r="J183" t="str">
        <f>IF(LEFT(tblShipments5[[#This Row],[Gateway_Extracted]],2)="IN","Valid","Invalid")</f>
        <v>Valid</v>
      </c>
      <c r="K183" t="s">
        <v>664</v>
      </c>
      <c r="L183" t="s">
        <v>708</v>
      </c>
      <c r="M183" t="s">
        <v>709</v>
      </c>
      <c r="N183" t="s">
        <v>710</v>
      </c>
      <c r="O183" t="str">
        <f>IFERROR("IN" &amp; _xlfn.TEXTBEFORE(_xlfn.TEXTAFTER(UPPER(tblShipments5[[#This Row],[Gateway_clean]]),"IN")," ",1),"")</f>
        <v>INPAV1</v>
      </c>
      <c r="P183" t="str">
        <f>SUBSTITUTE(tblShipments5[[#This Row],[Gateway]], CHAR(10), " ")</f>
        <v xml:space="preserve">AWB No. Gateway Port Gateway EGM No. Gateway EGM Date Gateway Site ID Error Code N.A.  INPAV1  134063  2017-08-28 00:00:00.0  INPAV1  S </v>
      </c>
      <c r="Q183" t="s">
        <v>706</v>
      </c>
    </row>
    <row r="184" spans="1:17" x14ac:dyDescent="0.35">
      <c r="A184" t="s">
        <v>8</v>
      </c>
      <c r="B184">
        <v>8608463</v>
      </c>
      <c r="C184" s="2" t="s">
        <v>681</v>
      </c>
      <c r="D184" s="2" t="str">
        <f>LEFT(TRIM(MID(SUBSTITUTE(tblShipments5[[#This Row],[Details]],CHAR(10)," "), FIND(CHAR(10),tblShipments5[[#This Row],[Details]])+1, 50)), 10)</f>
        <v>AAECE6932C</v>
      </c>
      <c r="E184" t="s">
        <v>712</v>
      </c>
      <c r="F18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4" t="str">
        <f>IF(tblShipments5[[#This Row],[EGM no]]="", "Missing EGM", "EGM Submitted")</f>
        <v>EGM Submitted</v>
      </c>
      <c r="H184" t="str">
        <f>IF(OR(ISNUMBER(SEARCH("Released",tblShipments5[[#This Row],[ROSL]])),
      ISNUMBER(SEARCH("Scroll",tblShipments5[[#This Row],[ROSL]])),
      ISNUMBER(SEARCH("Y",tblShipments5[[#This Row],[ROSL]]))),
   "Released",
   "Not Released")</f>
        <v>Released</v>
      </c>
      <c r="I184" t="str">
        <f>IF(OR(tblShipments5[[#This Row],[EGM no]]="", tblShipments5[[#This Row],[EGM no]]="N.A."), "Not Submitted", "Submitted")</f>
        <v>Submitted</v>
      </c>
      <c r="J184" t="str">
        <f>IF(LEFT(tblShipments5[[#This Row],[Gateway_Extracted]],2)="IN","Valid","Invalid")</f>
        <v>Valid</v>
      </c>
      <c r="K184" t="s">
        <v>664</v>
      </c>
      <c r="L184" t="s">
        <v>708</v>
      </c>
      <c r="M184" t="s">
        <v>709</v>
      </c>
      <c r="N184" t="s">
        <v>710</v>
      </c>
      <c r="O184" t="str">
        <f>IFERROR("IN" &amp; _xlfn.TEXTBEFORE(_xlfn.TEXTAFTER(UPPER(tblShipments5[[#This Row],[Gateway_clean]]),"IN")," ",1),"")</f>
        <v>INPAV1</v>
      </c>
      <c r="P184" t="str">
        <f>SUBSTITUTE(tblShipments5[[#This Row],[Gateway]], CHAR(10), " ")</f>
        <v xml:space="preserve">AWB No. Gateway Port Gateway EGM No. Gateway EGM Date Gateway Site ID Error Code N.A.  INPAV1  134063  2017-08-28 00:00:00.0  INPAV1  S </v>
      </c>
      <c r="Q184" t="s">
        <v>706</v>
      </c>
    </row>
    <row r="185" spans="1:17" x14ac:dyDescent="0.35">
      <c r="A185" t="s">
        <v>8</v>
      </c>
      <c r="B185">
        <v>8608392</v>
      </c>
      <c r="C185" s="2" t="s">
        <v>681</v>
      </c>
      <c r="D185" s="2" t="str">
        <f>LEFT(TRIM(MID(SUBSTITUTE(tblShipments5[[#This Row],[Details]],CHAR(10)," "), FIND(CHAR(10),tblShipments5[[#This Row],[Details]])+1, 50)), 10)</f>
        <v>AAECE6932C</v>
      </c>
      <c r="E185" t="s">
        <v>702</v>
      </c>
      <c r="F18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5" t="str">
        <f>IF(tblShipments5[[#This Row],[EGM no]]="", "Missing EGM", "EGM Submitted")</f>
        <v>EGM Submitted</v>
      </c>
      <c r="H185" t="str">
        <f>IF(OR(ISNUMBER(SEARCH("Released",tblShipments5[[#This Row],[ROSL]])),
      ISNUMBER(SEARCH("Scroll",tblShipments5[[#This Row],[ROSL]])),
      ISNUMBER(SEARCH("Y",tblShipments5[[#This Row],[ROSL]]))),
   "Released",
   "Not Released")</f>
        <v>Released</v>
      </c>
      <c r="I185" t="str">
        <f>IF(OR(tblShipments5[[#This Row],[EGM no]]="", tblShipments5[[#This Row],[EGM no]]="N.A."), "Not Submitted", "Submitted")</f>
        <v>Submitted</v>
      </c>
      <c r="J185" t="str">
        <f>IF(LEFT(tblShipments5[[#This Row],[Gateway_Extracted]],2)="IN","Valid","Invalid")</f>
        <v>Valid</v>
      </c>
      <c r="K185" t="s">
        <v>664</v>
      </c>
      <c r="L185" t="s">
        <v>703</v>
      </c>
      <c r="M185" t="s">
        <v>704</v>
      </c>
      <c r="N185" t="s">
        <v>705</v>
      </c>
      <c r="O185" t="str">
        <f>IFERROR("IN" &amp; _xlfn.TEXTBEFORE(_xlfn.TEXTAFTER(UPPER(tblShipments5[[#This Row],[Gateway_clean]]),"IN")," ",1),"")</f>
        <v>INPAV1</v>
      </c>
      <c r="P185" t="str">
        <f>SUBSTITUTE(tblShipments5[[#This Row],[Gateway]], CHAR(10), " ")</f>
        <v xml:space="preserve">AWB No. Gateway Port Gateway EGM No. Gateway EGM Date Gateway Site ID Error Code N.A.  INPAV1  134063  2017-08-28 00:00:00.0  INPAV1  S </v>
      </c>
      <c r="Q185" t="s">
        <v>706</v>
      </c>
    </row>
    <row r="186" spans="1:17" x14ac:dyDescent="0.35">
      <c r="A186" t="s">
        <v>8</v>
      </c>
      <c r="B186">
        <v>8608455</v>
      </c>
      <c r="C186" s="2" t="s">
        <v>681</v>
      </c>
      <c r="D186" s="2" t="str">
        <f>LEFT(TRIM(MID(SUBSTITUTE(tblShipments5[[#This Row],[Details]],CHAR(10)," "), FIND(CHAR(10),tblShipments5[[#This Row],[Details]])+1, 50)), 10)</f>
        <v>AAECE6932C</v>
      </c>
      <c r="E186" t="s">
        <v>711</v>
      </c>
      <c r="F18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6" t="str">
        <f>IF(tblShipments5[[#This Row],[EGM no]]="", "Missing EGM", "EGM Submitted")</f>
        <v>EGM Submitted</v>
      </c>
      <c r="H186" t="str">
        <f>IF(OR(ISNUMBER(SEARCH("Released",tblShipments5[[#This Row],[ROSL]])),
      ISNUMBER(SEARCH("Scroll",tblShipments5[[#This Row],[ROSL]])),
      ISNUMBER(SEARCH("Y",tblShipments5[[#This Row],[ROSL]]))),
   "Released",
   "Not Released")</f>
        <v>Released</v>
      </c>
      <c r="I186" t="str">
        <f>IF(OR(tblShipments5[[#This Row],[EGM no]]="", tblShipments5[[#This Row],[EGM no]]="N.A."), "Not Submitted", "Submitted")</f>
        <v>Submitted</v>
      </c>
      <c r="J186" t="str">
        <f>IF(LEFT(tblShipments5[[#This Row],[Gateway_Extracted]],2)="IN","Valid","Invalid")</f>
        <v>Valid</v>
      </c>
      <c r="K186" t="s">
        <v>664</v>
      </c>
      <c r="L186" t="s">
        <v>703</v>
      </c>
      <c r="M186" t="s">
        <v>704</v>
      </c>
      <c r="N186" t="s">
        <v>705</v>
      </c>
      <c r="O186" t="str">
        <f>IFERROR("IN" &amp; _xlfn.TEXTBEFORE(_xlfn.TEXTAFTER(UPPER(tblShipments5[[#This Row],[Gateway_clean]]),"IN")," ",1),"")</f>
        <v>INPAV1</v>
      </c>
      <c r="P186" t="str">
        <f>SUBSTITUTE(tblShipments5[[#This Row],[Gateway]], CHAR(10), " ")</f>
        <v xml:space="preserve">AWB No. Gateway Port Gateway EGM No. Gateway EGM Date Gateway Site ID Error Code N.A.  INPAV1  134063  2017-08-28 00:00:00.0  INPAV1  S </v>
      </c>
      <c r="Q186" t="s">
        <v>706</v>
      </c>
    </row>
    <row r="187" spans="1:17" x14ac:dyDescent="0.35">
      <c r="A187" t="s">
        <v>8</v>
      </c>
      <c r="B187">
        <v>8608521</v>
      </c>
      <c r="C187" s="2" t="s">
        <v>681</v>
      </c>
      <c r="D187" s="2" t="str">
        <f>LEFT(TRIM(MID(SUBSTITUTE(tblShipments5[[#This Row],[Details]],CHAR(10)," "), FIND(CHAR(10),tblShipments5[[#This Row],[Details]])+1, 50)), 10)</f>
        <v>AAECE6932C</v>
      </c>
      <c r="E187" t="s">
        <v>713</v>
      </c>
      <c r="F18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7" t="str">
        <f>IF(tblShipments5[[#This Row],[EGM no]]="", "Missing EGM", "EGM Submitted")</f>
        <v>EGM Submitted</v>
      </c>
      <c r="H187" t="str">
        <f>IF(OR(ISNUMBER(SEARCH("Released",tblShipments5[[#This Row],[ROSL]])),
      ISNUMBER(SEARCH("Scroll",tblShipments5[[#This Row],[ROSL]])),
      ISNUMBER(SEARCH("Y",tblShipments5[[#This Row],[ROSL]]))),
   "Released",
   "Not Released")</f>
        <v>Released</v>
      </c>
      <c r="I187" t="str">
        <f>IF(OR(tblShipments5[[#This Row],[EGM no]]="", tblShipments5[[#This Row],[EGM no]]="N.A."), "Not Submitted", "Submitted")</f>
        <v>Submitted</v>
      </c>
      <c r="J187" t="str">
        <f>IF(LEFT(tblShipments5[[#This Row],[Gateway_Extracted]],2)="IN","Valid","Invalid")</f>
        <v>Valid</v>
      </c>
      <c r="K187" t="s">
        <v>664</v>
      </c>
      <c r="L187" t="s">
        <v>708</v>
      </c>
      <c r="M187" t="s">
        <v>704</v>
      </c>
      <c r="N187" t="s">
        <v>705</v>
      </c>
      <c r="O187" t="str">
        <f>IFERROR("IN" &amp; _xlfn.TEXTBEFORE(_xlfn.TEXTAFTER(UPPER(tblShipments5[[#This Row],[Gateway_clean]]),"IN")," ",1),"")</f>
        <v>INPAV1</v>
      </c>
      <c r="P187" t="str">
        <f>SUBSTITUTE(tblShipments5[[#This Row],[Gateway]], CHAR(10), " ")</f>
        <v xml:space="preserve">AWB No. Gateway Port Gateway EGM No. Gateway EGM Date Gateway Site ID Error Code N.A.  INPAV1  134063  2017-08-28 00:00:00.0  INPAV1  S </v>
      </c>
      <c r="Q187" t="s">
        <v>706</v>
      </c>
    </row>
    <row r="188" spans="1:17" x14ac:dyDescent="0.35">
      <c r="A188" t="s">
        <v>8</v>
      </c>
      <c r="B188">
        <v>9741196</v>
      </c>
      <c r="C188" s="2" t="s">
        <v>1168</v>
      </c>
      <c r="D188" s="2" t="str">
        <f>LEFT(TRIM(MID(SUBSTITUTE(tblShipments5[[#This Row],[Details]],CHAR(10)," "), FIND(CHAR(10),tblShipments5[[#This Row],[Details]])+1, 50)), 10)</f>
        <v>0504008455</v>
      </c>
      <c r="E188" t="s">
        <v>1178</v>
      </c>
      <c r="F18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8" t="str">
        <f>IF(tblShipments5[[#This Row],[EGM no]]="", "Missing EGM", "EGM Submitted")</f>
        <v>EGM Submitted</v>
      </c>
      <c r="H188" t="str">
        <f>IF(OR(ISNUMBER(SEARCH("Released",tblShipments5[[#This Row],[ROSL]])),
      ISNUMBER(SEARCH("Scroll",tblShipments5[[#This Row],[ROSL]])),
      ISNUMBER(SEARCH("Y",tblShipments5[[#This Row],[ROSL]]))),
   "Released",
   "Not Released")</f>
        <v>Released</v>
      </c>
      <c r="I188" t="str">
        <f>IF(OR(tblShipments5[[#This Row],[EGM no]]="", tblShipments5[[#This Row],[EGM no]]="N.A."), "Not Submitted", "Submitted")</f>
        <v>Submitted</v>
      </c>
      <c r="J188" t="str">
        <f>IF(LEFT(tblShipments5[[#This Row],[Gateway_Extracted]],2)="IN","Valid","Invalid")</f>
        <v>Valid</v>
      </c>
      <c r="K188" t="s">
        <v>1099</v>
      </c>
      <c r="L188" t="s">
        <v>1179</v>
      </c>
      <c r="M188" t="s">
        <v>13</v>
      </c>
      <c r="N188" t="s">
        <v>1180</v>
      </c>
      <c r="O188" t="str">
        <f>IFERROR("IN" &amp; _xlfn.TEXTBEFORE(_xlfn.TEXTAFTER(UPPER(tblShipments5[[#This Row],[Gateway_clean]]),"IN")," ",1),"")</f>
        <v>INNSA1</v>
      </c>
      <c r="P188" t="str">
        <f>SUBSTITUTE(tblShipments5[[#This Row],[Gateway]], CHAR(10), " ")</f>
        <v xml:space="preserve">AWB No. Gateway Port Gateway EGM No. Gateway EGM Date Gateway Site ID Error Code N.A.  INNSA1  137370  2017-10-23 00:00:00.0  INNSA1  C </v>
      </c>
      <c r="Q188" t="s">
        <v>1181</v>
      </c>
    </row>
    <row r="189" spans="1:17" x14ac:dyDescent="0.35">
      <c r="A189" t="s">
        <v>8</v>
      </c>
      <c r="B189">
        <v>7958295</v>
      </c>
      <c r="C189" s="2" t="s">
        <v>255</v>
      </c>
      <c r="D189" s="2" t="str">
        <f>LEFT(TRIM(MID(SUBSTITUTE(tblShipments5[[#This Row],[Details]],CHAR(10)," "), FIND(CHAR(10),tblShipments5[[#This Row],[Details]])+1, 50)), 10)</f>
        <v>0598055665</v>
      </c>
      <c r="E189" t="s">
        <v>260</v>
      </c>
      <c r="F18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89" t="str">
        <f>IF(tblShipments5[[#This Row],[EGM no]]="", "Missing EGM", "EGM Submitted")</f>
        <v>EGM Submitted</v>
      </c>
      <c r="H189" t="str">
        <f>IF(OR(ISNUMBER(SEARCH("Released",tblShipments5[[#This Row],[ROSL]])),
      ISNUMBER(SEARCH("Scroll",tblShipments5[[#This Row],[ROSL]])),
      ISNUMBER(SEARCH("Y",tblShipments5[[#This Row],[ROSL]]))),
   "Released",
   "Not Released")</f>
        <v>Released</v>
      </c>
      <c r="I189" t="str">
        <f>IF(OR(tblShipments5[[#This Row],[EGM no]]="", tblShipments5[[#This Row],[EGM no]]="N.A."), "Not Submitted", "Submitted")</f>
        <v>Submitted</v>
      </c>
      <c r="J189" t="str">
        <f>IF(LEFT(tblShipments5[[#This Row],[Gateway_Extracted]],2)="IN","Valid","Invalid")</f>
        <v>Valid</v>
      </c>
      <c r="K189" t="s">
        <v>261</v>
      </c>
      <c r="L189" t="s">
        <v>262</v>
      </c>
      <c r="M189" t="s">
        <v>13</v>
      </c>
      <c r="N189" t="s">
        <v>263</v>
      </c>
      <c r="O189" t="str">
        <f>IFERROR("IN" &amp; _xlfn.TEXTBEFORE(_xlfn.TEXTAFTER(UPPER(tblShipments5[[#This Row],[Gateway_clean]]),"IN")," ",1),"")</f>
        <v>INNSA1</v>
      </c>
      <c r="P189" t="str">
        <f>SUBSTITUTE(tblShipments5[[#This Row],[Gateway]], CHAR(10), " ")</f>
        <v xml:space="preserve">AWB No. Gateway Port Gateway EGM No. Gateway EGM Date Gateway Site ID Error Code N.A.  INNSA1  N.A.  N.A.  N.A.  N.A. </v>
      </c>
      <c r="Q189" t="s">
        <v>26</v>
      </c>
    </row>
    <row r="190" spans="1:17" x14ac:dyDescent="0.35">
      <c r="A190" t="s">
        <v>8</v>
      </c>
      <c r="B190">
        <v>8395136</v>
      </c>
      <c r="C190" s="2" t="s">
        <v>548</v>
      </c>
      <c r="D190" s="2" t="str">
        <f>LEFT(TRIM(MID(SUBSTITUTE(tblShipments5[[#This Row],[Details]],CHAR(10)," "), FIND(CHAR(10),tblShipments5[[#This Row],[Details]])+1, 50)), 10)</f>
        <v>0597069948</v>
      </c>
      <c r="E190" t="s">
        <v>549</v>
      </c>
      <c r="F19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0" t="str">
        <f>IF(tblShipments5[[#This Row],[EGM no]]="", "Missing EGM", "EGM Submitted")</f>
        <v>EGM Submitted</v>
      </c>
      <c r="H190" t="str">
        <f>IF(OR(ISNUMBER(SEARCH("Released",tblShipments5[[#This Row],[ROSL]])),
      ISNUMBER(SEARCH("Scroll",tblShipments5[[#This Row],[ROSL]])),
      ISNUMBER(SEARCH("Y",tblShipments5[[#This Row],[ROSL]]))),
   "Released",
   "Not Released")</f>
        <v>Released</v>
      </c>
      <c r="I190" t="str">
        <f>IF(OR(tblShipments5[[#This Row],[EGM no]]="", tblShipments5[[#This Row],[EGM no]]="N.A."), "Not Submitted", "Submitted")</f>
        <v>Submitted</v>
      </c>
      <c r="J190" t="str">
        <f>IF(LEFT(tblShipments5[[#This Row],[Gateway_Extracted]],2)="IN","Valid","Invalid")</f>
        <v>Valid</v>
      </c>
      <c r="K190" t="s">
        <v>518</v>
      </c>
      <c r="L190" t="s">
        <v>550</v>
      </c>
      <c r="M190" t="s">
        <v>13</v>
      </c>
      <c r="N190" t="s">
        <v>551</v>
      </c>
      <c r="O190" t="str">
        <f>IFERROR("IN" &amp; _xlfn.TEXTBEFORE(_xlfn.TEXTAFTER(UPPER(tblShipments5[[#This Row],[Gateway_clean]]),"IN")," ",1),"")</f>
        <v>INMUN1</v>
      </c>
      <c r="P190" t="str">
        <f>SUBSTITUTE(tblShipments5[[#This Row],[Gateway]], CHAR(10), " ")</f>
        <v xml:space="preserve">AWB No. Gateway Port Gateway EGM No. Gateway EGM Date Gateway Site ID Error Code N.A.  INMUN1  133179  2017-08-11 00:00:00.0  INMUN1  S </v>
      </c>
      <c r="Q190" t="s">
        <v>552</v>
      </c>
    </row>
    <row r="191" spans="1:17" x14ac:dyDescent="0.35">
      <c r="A191" t="s">
        <v>8</v>
      </c>
      <c r="B191">
        <v>8439422</v>
      </c>
      <c r="C191" s="2" t="s">
        <v>565</v>
      </c>
      <c r="D191" s="2" t="str">
        <f>LEFT(TRIM(MID(SUBSTITUTE(tblShipments5[[#This Row],[Details]],CHAR(10)," "), FIND(CHAR(10),tblShipments5[[#This Row],[Details]])+1, 50)), 10)</f>
        <v>AABCZ1026D</v>
      </c>
      <c r="E191" t="s">
        <v>586</v>
      </c>
      <c r="F19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1" t="str">
        <f>IF(tblShipments5[[#This Row],[EGM no]]="", "Missing EGM", "EGM Submitted")</f>
        <v>EGM Submitted</v>
      </c>
      <c r="H191" t="str">
        <f>IF(OR(ISNUMBER(SEARCH("Released",tblShipments5[[#This Row],[ROSL]])),
      ISNUMBER(SEARCH("Scroll",tblShipments5[[#This Row],[ROSL]])),
      ISNUMBER(SEARCH("Y",tblShipments5[[#This Row],[ROSL]]))),
   "Released",
   "Not Released")</f>
        <v>Released</v>
      </c>
      <c r="I191" t="str">
        <f>IF(OR(tblShipments5[[#This Row],[EGM no]]="", tblShipments5[[#This Row],[EGM no]]="N.A."), "Not Submitted", "Submitted")</f>
        <v>Submitted</v>
      </c>
      <c r="J191" t="str">
        <f>IF(LEFT(tblShipments5[[#This Row],[Gateway_Extracted]],2)="IN","Valid","Invalid")</f>
        <v>Valid</v>
      </c>
      <c r="K191" t="s">
        <v>523</v>
      </c>
      <c r="L191" t="s">
        <v>587</v>
      </c>
      <c r="M191" t="s">
        <v>588</v>
      </c>
      <c r="N191" t="s">
        <v>589</v>
      </c>
      <c r="O191" t="str">
        <f>IFERROR("IN" &amp; _xlfn.TEXTBEFORE(_xlfn.TEXTAFTER(UPPER(tblShipments5[[#This Row],[Gateway_clean]]),"IN")," ",1),"")</f>
        <v>INPAV1</v>
      </c>
      <c r="P191" t="str">
        <f>SUBSTITUTE(tblShipments5[[#This Row],[Gateway]], CHAR(10), " ")</f>
        <v xml:space="preserve">AWB No. Gateway Port Gateway EGM No. Gateway EGM Date Gateway Site ID Error Code N.A.  INPAV1  134057  2017-08-28 00:00:00.0  INPAV1  S </v>
      </c>
      <c r="Q191" t="s">
        <v>583</v>
      </c>
    </row>
    <row r="192" spans="1:17" x14ac:dyDescent="0.35">
      <c r="A192" t="s">
        <v>8</v>
      </c>
      <c r="B192">
        <v>1071189</v>
      </c>
      <c r="C192" s="2" t="s">
        <v>1251</v>
      </c>
      <c r="D192" s="2" t="str">
        <f>LEFT(TRIM(MID(SUBSTITUTE(tblShipments5[[#This Row],[Details]],CHAR(10)," "), FIND(CHAR(10),tblShipments5[[#This Row],[Details]])+1, 50)), 10)</f>
        <v>0509047491</v>
      </c>
      <c r="E192" t="s">
        <v>1267</v>
      </c>
      <c r="F19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2" t="str">
        <f>IF(tblShipments5[[#This Row],[EGM no]]="", "Missing EGM", "EGM Submitted")</f>
        <v>EGM Submitted</v>
      </c>
      <c r="H192" t="str">
        <f>IF(OR(ISNUMBER(SEARCH("Released",tblShipments5[[#This Row],[ROSL]])),
      ISNUMBER(SEARCH("Scroll",tblShipments5[[#This Row],[ROSL]])),
      ISNUMBER(SEARCH("Y",tblShipments5[[#This Row],[ROSL]]))),
   "Released",
   "Not Released")</f>
        <v>Released</v>
      </c>
      <c r="I192" t="str">
        <f>IF(OR(tblShipments5[[#This Row],[EGM no]]="", tblShipments5[[#This Row],[EGM no]]="N.A."), "Not Submitted", "Submitted")</f>
        <v>Submitted</v>
      </c>
      <c r="J192" t="str">
        <f>IF(LEFT(tblShipments5[[#This Row],[Gateway_Extracted]],2)="IN","Valid","Invalid")</f>
        <v>Valid</v>
      </c>
      <c r="K192" t="s">
        <v>1241</v>
      </c>
      <c r="L192" t="s">
        <v>1268</v>
      </c>
      <c r="M192" t="s">
        <v>13</v>
      </c>
      <c r="N192" t="s">
        <v>1269</v>
      </c>
      <c r="O192" t="str">
        <f>IFERROR("IN" &amp; _xlfn.TEXTBEFORE(_xlfn.TEXTAFTER(UPPER(tblShipments5[[#This Row],[Gateway_clean]]),"IN")," ",1),"")</f>
        <v>INNSA1</v>
      </c>
      <c r="P192" t="str">
        <f>SUBSTITUTE(tblShipments5[[#This Row],[Gateway]], CHAR(10), " ")</f>
        <v xml:space="preserve">AWB No. Gateway Port Gateway EGM No. Gateway EGM Date Gateway Site ID Error Code N.A.  INNSA1  139138  2017-11-20 00:00:00.0  INNSA1  S </v>
      </c>
      <c r="Q192" t="s">
        <v>1270</v>
      </c>
    </row>
    <row r="193" spans="1:17" x14ac:dyDescent="0.35">
      <c r="A193" t="s">
        <v>8</v>
      </c>
      <c r="B193">
        <v>7703453</v>
      </c>
      <c r="C193" s="2" t="s">
        <v>87</v>
      </c>
      <c r="D193" s="2" t="str">
        <f>LEFT(TRIM(MID(SUBSTITUTE(tblShipments5[[#This Row],[Details]],CHAR(10)," "), FIND(CHAR(10),tblShipments5[[#This Row],[Details]])+1, 50)), 10)</f>
        <v>0500016143</v>
      </c>
      <c r="E193" t="s">
        <v>88</v>
      </c>
      <c r="F19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3" t="str">
        <f>IF(tblShipments5[[#This Row],[EGM no]]="", "Missing EGM", "EGM Submitted")</f>
        <v>EGM Submitted</v>
      </c>
      <c r="H193" t="str">
        <f>IF(OR(ISNUMBER(SEARCH("Released",tblShipments5[[#This Row],[ROSL]])),
      ISNUMBER(SEARCH("Scroll",tblShipments5[[#This Row],[ROSL]])),
      ISNUMBER(SEARCH("Y",tblShipments5[[#This Row],[ROSL]]))),
   "Released",
   "Not Released")</f>
        <v>Released</v>
      </c>
      <c r="I193" t="str">
        <f>IF(OR(tblShipments5[[#This Row],[EGM no]]="", tblShipments5[[#This Row],[EGM no]]="N.A."), "Not Submitted", "Submitted")</f>
        <v>Submitted</v>
      </c>
      <c r="J193" t="str">
        <f>IF(LEFT(tblShipments5[[#This Row],[Gateway_Extracted]],2)="IN","Valid","Invalid")</f>
        <v>Valid</v>
      </c>
      <c r="K193" t="s">
        <v>89</v>
      </c>
      <c r="L193" t="s">
        <v>90</v>
      </c>
      <c r="M193" t="s">
        <v>13</v>
      </c>
      <c r="N193" t="s">
        <v>91</v>
      </c>
      <c r="O193" t="str">
        <f>IFERROR("IN" &amp; _xlfn.TEXTBEFORE(_xlfn.TEXTAFTER(UPPER(tblShipments5[[#This Row],[Gateway_clean]]),"IN")," ",1),"")</f>
        <v>INNSA1</v>
      </c>
      <c r="P193" t="str">
        <f>SUBSTITUTE(tblShipments5[[#This Row],[Gateway]], CHAR(10), " ")</f>
        <v xml:space="preserve">AWB No. Gateway Port Gateway EGM No. Gateway EGM Date Gateway Site ID Error Code N.A.  INNSA1  N.A.  N.A.  N.A.  N.A. </v>
      </c>
      <c r="Q193" t="s">
        <v>26</v>
      </c>
    </row>
    <row r="194" spans="1:17" x14ac:dyDescent="0.35">
      <c r="A194" t="s">
        <v>8</v>
      </c>
      <c r="B194">
        <v>8709897</v>
      </c>
      <c r="C194" s="2" t="s">
        <v>747</v>
      </c>
      <c r="D194" s="2" t="str">
        <f>LEFT(TRIM(MID(SUBSTITUTE(tblShipments5[[#This Row],[Details]],CHAR(10)," "), FIND(CHAR(10),tblShipments5[[#This Row],[Details]])+1, 50)), 10)</f>
        <v>0514036265</v>
      </c>
      <c r="E194" t="s">
        <v>757</v>
      </c>
      <c r="F19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4" t="str">
        <f>IF(tblShipments5[[#This Row],[EGM no]]="", "Missing EGM", "EGM Submitted")</f>
        <v>EGM Submitted</v>
      </c>
      <c r="H194" t="str">
        <f>IF(OR(ISNUMBER(SEARCH("Released",tblShipments5[[#This Row],[ROSL]])),
      ISNUMBER(SEARCH("Scroll",tblShipments5[[#This Row],[ROSL]])),
      ISNUMBER(SEARCH("Y",tblShipments5[[#This Row],[ROSL]]))),
   "Released",
   "Not Released")</f>
        <v>Released</v>
      </c>
      <c r="I194" t="str">
        <f>IF(OR(tblShipments5[[#This Row],[EGM no]]="", tblShipments5[[#This Row],[EGM no]]="N.A."), "Not Submitted", "Submitted")</f>
        <v>Submitted</v>
      </c>
      <c r="J194" t="str">
        <f>IF(LEFT(tblShipments5[[#This Row],[Gateway_Extracted]],2)="IN","Valid","Invalid")</f>
        <v>Valid</v>
      </c>
      <c r="K194" t="s">
        <v>758</v>
      </c>
      <c r="L194" t="s">
        <v>759</v>
      </c>
      <c r="M194" t="s">
        <v>13</v>
      </c>
      <c r="N194" t="s">
        <v>760</v>
      </c>
      <c r="O194" t="str">
        <f>IFERROR("IN" &amp; _xlfn.TEXTBEFORE(_xlfn.TEXTAFTER(UPPER(tblShipments5[[#This Row],[Gateway_clean]]),"IN")," ",1),"")</f>
        <v>INMUN1</v>
      </c>
      <c r="P194" t="str">
        <f>SUBSTITUTE(tblShipments5[[#This Row],[Gateway]], CHAR(10), " ")</f>
        <v xml:space="preserve">AWB No. Gateway Port Gateway EGM No. Gateway EGM Date Gateway Site ID Error Code N.A.  INMUN1  135887  2017-09-27 00:00:00.0  INMUN1  S </v>
      </c>
      <c r="Q194" t="s">
        <v>761</v>
      </c>
    </row>
    <row r="195" spans="1:17" x14ac:dyDescent="0.35">
      <c r="A195" t="s">
        <v>8</v>
      </c>
      <c r="B195">
        <v>9852487</v>
      </c>
      <c r="C195" s="2" t="s">
        <v>1202</v>
      </c>
      <c r="D195" s="2" t="str">
        <f>LEFT(TRIM(MID(SUBSTITUTE(tblShipments5[[#This Row],[Details]],CHAR(10)," "), FIND(CHAR(10),tblShipments5[[#This Row],[Details]])+1, 50)), 10)</f>
        <v>0504011057</v>
      </c>
      <c r="E195" t="s">
        <v>1203</v>
      </c>
      <c r="F19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5" t="str">
        <f>IF(tblShipments5[[#This Row],[EGM no]]="", "Missing EGM", "EGM Submitted")</f>
        <v>EGM Submitted</v>
      </c>
      <c r="H195" t="str">
        <f>IF(OR(ISNUMBER(SEARCH("Released",tblShipments5[[#This Row],[ROSL]])),
      ISNUMBER(SEARCH("Scroll",tblShipments5[[#This Row],[ROSL]])),
      ISNUMBER(SEARCH("Y",tblShipments5[[#This Row],[ROSL]]))),
   "Released",
   "Not Released")</f>
        <v>Released</v>
      </c>
      <c r="I195" t="str">
        <f>IF(OR(tblShipments5[[#This Row],[EGM no]]="", tblShipments5[[#This Row],[EGM no]]="N.A."), "Not Submitted", "Submitted")</f>
        <v>Submitted</v>
      </c>
      <c r="J195" t="str">
        <f>IF(LEFT(tblShipments5[[#This Row],[Gateway_Extracted]],2)="IN","Valid","Invalid")</f>
        <v>Valid</v>
      </c>
      <c r="K195" t="s">
        <v>1204</v>
      </c>
      <c r="L195" t="s">
        <v>1205</v>
      </c>
      <c r="M195" t="s">
        <v>13</v>
      </c>
      <c r="N195" t="s">
        <v>1206</v>
      </c>
      <c r="O195" t="str">
        <f>IFERROR("IN" &amp; _xlfn.TEXTBEFORE(_xlfn.TEXTAFTER(UPPER(tblShipments5[[#This Row],[Gateway_clean]]),"IN")," ",1),"")</f>
        <v>INMUN1</v>
      </c>
      <c r="P195" t="str">
        <f>SUBSTITUTE(tblShipments5[[#This Row],[Gateway]], CHAR(10), " ")</f>
        <v xml:space="preserve">AWB No. Gateway Port Gateway EGM No. Gateway EGM Date Gateway Site ID Error Code N.A.  INMUN1  139245  2017-11-21 00:00:00.0  INMUN1  S </v>
      </c>
      <c r="Q195" t="s">
        <v>1207</v>
      </c>
    </row>
    <row r="196" spans="1:17" x14ac:dyDescent="0.35">
      <c r="A196" t="s">
        <v>8</v>
      </c>
      <c r="B196">
        <v>1168946</v>
      </c>
      <c r="C196" s="2" t="s">
        <v>1293</v>
      </c>
      <c r="D196" s="2" t="str">
        <f>LEFT(TRIM(MID(SUBSTITUTE(tblShipments5[[#This Row],[Details]],CHAR(10)," "), FIND(CHAR(10),tblShipments5[[#This Row],[Details]])+1, 50)), 10)</f>
        <v>0504011057</v>
      </c>
      <c r="E196" t="s">
        <v>1294</v>
      </c>
      <c r="F19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6" t="str">
        <f>IF(tblShipments5[[#This Row],[EGM no]]="", "Missing EGM", "EGM Submitted")</f>
        <v>EGM Submitted</v>
      </c>
      <c r="H196" t="str">
        <f>IF(OR(ISNUMBER(SEARCH("Released",tblShipments5[[#This Row],[ROSL]])),
      ISNUMBER(SEARCH("Scroll",tblShipments5[[#This Row],[ROSL]])),
      ISNUMBER(SEARCH("Y",tblShipments5[[#This Row],[ROSL]]))),
   "Released",
   "Not Released")</f>
        <v>Released</v>
      </c>
      <c r="I196" t="str">
        <f>IF(OR(tblShipments5[[#This Row],[EGM no]]="", tblShipments5[[#This Row],[EGM no]]="N.A."), "Not Submitted", "Submitted")</f>
        <v>Submitted</v>
      </c>
      <c r="J196" t="str">
        <f>IF(LEFT(tblShipments5[[#This Row],[Gateway_Extracted]],2)="IN","Valid","Invalid")</f>
        <v>Valid</v>
      </c>
      <c r="K196" t="s">
        <v>1225</v>
      </c>
      <c r="L196" t="s">
        <v>1295</v>
      </c>
      <c r="M196" t="s">
        <v>13</v>
      </c>
      <c r="N196" t="s">
        <v>1296</v>
      </c>
      <c r="O196" t="str">
        <f>IFERROR("IN" &amp; _xlfn.TEXTBEFORE(_xlfn.TEXTAFTER(UPPER(tblShipments5[[#This Row],[Gateway_clean]]),"IN")," ",1),"")</f>
        <v>INMUN1</v>
      </c>
      <c r="P196" t="str">
        <f>SUBSTITUTE(tblShipments5[[#This Row],[Gateway]], CHAR(10), " ")</f>
        <v xml:space="preserve">AWB No. Gateway Port Gateway EGM No. Gateway EGM Date Gateway Site ID Error Code N.A.  INMUN1  140199  2017-12-06 00:00:00.0  INMUN1  S </v>
      </c>
      <c r="Q196" t="s">
        <v>1297</v>
      </c>
    </row>
    <row r="197" spans="1:17" x14ac:dyDescent="0.35">
      <c r="A197" t="s">
        <v>8</v>
      </c>
      <c r="B197">
        <v>1521533</v>
      </c>
      <c r="C197" s="2" t="s">
        <v>1499</v>
      </c>
      <c r="D197" s="2" t="str">
        <f>LEFT(TRIM(MID(SUBSTITUTE(tblShipments5[[#This Row],[Details]],CHAR(10)," "), FIND(CHAR(10),tblShipments5[[#This Row],[Details]])+1, 50)), 10)</f>
        <v>0504011057</v>
      </c>
      <c r="E197" t="s">
        <v>1508</v>
      </c>
      <c r="F19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7" t="str">
        <f>IF(tblShipments5[[#This Row],[EGM no]]="", "Missing EGM", "EGM Submitted")</f>
        <v>EGM Submitted</v>
      </c>
      <c r="H197" t="str">
        <f>IF(OR(ISNUMBER(SEARCH("Released",tblShipments5[[#This Row],[ROSL]])),
      ISNUMBER(SEARCH("Scroll",tblShipments5[[#This Row],[ROSL]])),
      ISNUMBER(SEARCH("Y",tblShipments5[[#This Row],[ROSL]]))),
   "Released",
   "Not Released")</f>
        <v>Released</v>
      </c>
      <c r="I197" t="str">
        <f>IF(OR(tblShipments5[[#This Row],[EGM no]]="", tblShipments5[[#This Row],[EGM no]]="N.A."), "Not Submitted", "Submitted")</f>
        <v>Submitted</v>
      </c>
      <c r="J197" t="str">
        <f>IF(LEFT(tblShipments5[[#This Row],[Gateway_Extracted]],2)="IN","Valid","Invalid")</f>
        <v>Valid</v>
      </c>
      <c r="K197" t="s">
        <v>1471</v>
      </c>
      <c r="L197" t="s">
        <v>1509</v>
      </c>
      <c r="M197" t="s">
        <v>13</v>
      </c>
      <c r="N197" t="s">
        <v>1510</v>
      </c>
      <c r="O197" t="str">
        <f>IFERROR("IN" &amp; _xlfn.TEXTBEFORE(_xlfn.TEXTAFTER(UPPER(tblShipments5[[#This Row],[Gateway_clean]]),"IN")," ",1),"")</f>
        <v>INMUN1</v>
      </c>
      <c r="P197" t="str">
        <f>SUBSTITUTE(tblShipments5[[#This Row],[Gateway]], CHAR(10), " ")</f>
        <v xml:space="preserve">AWB No. Gateway Port Gateway EGM No. Gateway EGM Date Gateway Site ID Error Code N.A.  INMUN1  140931  2017-12-19 00:00:00.0  INMUN1  S </v>
      </c>
      <c r="Q197" t="s">
        <v>1511</v>
      </c>
    </row>
    <row r="198" spans="1:17" x14ac:dyDescent="0.35">
      <c r="A198" t="s">
        <v>8</v>
      </c>
      <c r="B198">
        <v>7796181</v>
      </c>
      <c r="C198" s="2" t="s">
        <v>153</v>
      </c>
      <c r="D198" s="2" t="str">
        <f>LEFT(TRIM(MID(SUBSTITUTE(tblShipments5[[#This Row],[Details]],CHAR(10)," "), FIND(CHAR(10),tblShipments5[[#This Row],[Details]])+1, 50)), 10)</f>
        <v>0509007406</v>
      </c>
      <c r="E198" t="s">
        <v>168</v>
      </c>
      <c r="F19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8" t="str">
        <f>IF(tblShipments5[[#This Row],[EGM no]]="", "Missing EGM", "EGM Submitted")</f>
        <v>EGM Submitted</v>
      </c>
      <c r="H198" t="str">
        <f>IF(OR(ISNUMBER(SEARCH("Released",tblShipments5[[#This Row],[ROSL]])),
      ISNUMBER(SEARCH("Scroll",tblShipments5[[#This Row],[ROSL]])),
      ISNUMBER(SEARCH("Y",tblShipments5[[#This Row],[ROSL]]))),
   "Released",
   "Not Released")</f>
        <v>Released</v>
      </c>
      <c r="I198" t="str">
        <f>IF(OR(tblShipments5[[#This Row],[EGM no]]="", tblShipments5[[#This Row],[EGM no]]="N.A."), "Not Submitted", "Submitted")</f>
        <v>Submitted</v>
      </c>
      <c r="J198" t="str">
        <f>IF(LEFT(tblShipments5[[#This Row],[Gateway_Extracted]],2)="IN","Valid","Invalid")</f>
        <v>Valid</v>
      </c>
      <c r="K198" t="s">
        <v>169</v>
      </c>
      <c r="L198" t="s">
        <v>150</v>
      </c>
      <c r="M198" t="s">
        <v>170</v>
      </c>
      <c r="N198" t="s">
        <v>171</v>
      </c>
      <c r="O198" t="str">
        <f>IFERROR("IN" &amp; _xlfn.TEXTBEFORE(_xlfn.TEXTAFTER(UPPER(tblShipments5[[#This Row],[Gateway_clean]]),"IN")," ",1),"")</f>
        <v>INNSA1</v>
      </c>
      <c r="P198" t="str">
        <f>SUBSTITUTE(tblShipments5[[#This Row],[Gateway]], CHAR(10), " ")</f>
        <v xml:space="preserve">AWB No. Gateway Port Gateway EGM No. Gateway EGM Date Gateway Site ID Error Code N.A.  INNSA1  132812  2017-08-07 00:00:00.0  INNSA1  C </v>
      </c>
      <c r="Q198" t="s">
        <v>116</v>
      </c>
    </row>
    <row r="199" spans="1:17" x14ac:dyDescent="0.35">
      <c r="A199" t="s">
        <v>8</v>
      </c>
      <c r="B199">
        <v>7971432</v>
      </c>
      <c r="C199" s="2" t="s">
        <v>255</v>
      </c>
      <c r="D199" s="2" t="str">
        <f>LEFT(TRIM(MID(SUBSTITUTE(tblShipments5[[#This Row],[Details]],CHAR(10)," "), FIND(CHAR(10),tblShipments5[[#This Row],[Details]])+1, 50)), 10)</f>
        <v>0503083518</v>
      </c>
      <c r="E199" t="s">
        <v>280</v>
      </c>
      <c r="F19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199" t="str">
        <f>IF(tblShipments5[[#This Row],[EGM no]]="", "Missing EGM", "EGM Submitted")</f>
        <v>EGM Submitted</v>
      </c>
      <c r="H199" t="str">
        <f>IF(OR(ISNUMBER(SEARCH("Released",tblShipments5[[#This Row],[ROSL]])),
      ISNUMBER(SEARCH("Scroll",tblShipments5[[#This Row],[ROSL]])),
      ISNUMBER(SEARCH("Y",tblShipments5[[#This Row],[ROSL]]))),
   "Released",
   "Not Released")</f>
        <v>Released</v>
      </c>
      <c r="I199" t="str">
        <f>IF(OR(tblShipments5[[#This Row],[EGM no]]="", tblShipments5[[#This Row],[EGM no]]="N.A."), "Not Submitted", "Submitted")</f>
        <v>Submitted</v>
      </c>
      <c r="J199" t="str">
        <f>IF(LEFT(tblShipments5[[#This Row],[Gateway_Extracted]],2)="IN","Valid","Invalid")</f>
        <v>Valid</v>
      </c>
      <c r="K199" t="s">
        <v>241</v>
      </c>
      <c r="L199" t="s">
        <v>281</v>
      </c>
      <c r="M199" t="s">
        <v>13</v>
      </c>
      <c r="N199" t="s">
        <v>282</v>
      </c>
      <c r="O199" t="str">
        <f>IFERROR("IN" &amp; _xlfn.TEXTBEFORE(_xlfn.TEXTAFTER(UPPER(tblShipments5[[#This Row],[Gateway_clean]]),"IN")," ",1),"")</f>
        <v>INPAV1</v>
      </c>
      <c r="P199" t="str">
        <f>SUBSTITUTE(tblShipments5[[#This Row],[Gateway]], CHAR(10), " ")</f>
        <v xml:space="preserve">AWB No. Gateway Port Gateway EGM No. Gateway EGM Date Gateway Site ID Error Code N.A.  INPAV1  133387  2017-08-16 00:00:00.0  INPAV1  S </v>
      </c>
      <c r="Q199" t="s">
        <v>283</v>
      </c>
    </row>
    <row r="200" spans="1:17" x14ac:dyDescent="0.35">
      <c r="A200" t="s">
        <v>8</v>
      </c>
      <c r="B200">
        <v>9344909</v>
      </c>
      <c r="C200" s="2" t="s">
        <v>1032</v>
      </c>
      <c r="D200" s="2" t="str">
        <f>LEFT(TRIM(MID(SUBSTITUTE(tblShipments5[[#This Row],[Details]],CHAR(10)," "), FIND(CHAR(10),tblShipments5[[#This Row],[Details]])+1, 50)), 10)</f>
        <v>0302060855</v>
      </c>
      <c r="E200" t="s">
        <v>1033</v>
      </c>
      <c r="F20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0" t="str">
        <f>IF(tblShipments5[[#This Row],[EGM no]]="", "Missing EGM", "EGM Submitted")</f>
        <v>EGM Submitted</v>
      </c>
      <c r="H200" t="str">
        <f>IF(OR(ISNUMBER(SEARCH("Released",tblShipments5[[#This Row],[ROSL]])),
      ISNUMBER(SEARCH("Scroll",tblShipments5[[#This Row],[ROSL]])),
      ISNUMBER(SEARCH("Y",tblShipments5[[#This Row],[ROSL]]))),
   "Released",
   "Not Released")</f>
        <v>Released</v>
      </c>
      <c r="I200" t="str">
        <f>IF(OR(tblShipments5[[#This Row],[EGM no]]="", tblShipments5[[#This Row],[EGM no]]="N.A."), "Not Submitted", "Submitted")</f>
        <v>Submitted</v>
      </c>
      <c r="J200" t="str">
        <f>IF(LEFT(tblShipments5[[#This Row],[Gateway_Extracted]],2)="IN","Valid","Invalid")</f>
        <v>Valid</v>
      </c>
      <c r="K200" t="s">
        <v>1020</v>
      </c>
      <c r="L200" t="s">
        <v>1034</v>
      </c>
      <c r="M200" t="s">
        <v>31</v>
      </c>
      <c r="N200" t="s">
        <v>1035</v>
      </c>
      <c r="O200" t="str">
        <f>IFERROR("IN" &amp; _xlfn.TEXTBEFORE(_xlfn.TEXTAFTER(UPPER(tblShipments5[[#This Row],[Gateway_clean]]),"IN")," ",1),"")</f>
        <v>INMUN1</v>
      </c>
      <c r="P200" t="str">
        <f>SUBSTITUTE(tblShipments5[[#This Row],[Gateway]], CHAR(10), " ")</f>
        <v xml:space="preserve">AWB No. Gateway Port Gateway EGM No. Gateway EGM Date Gateway Site ID Error Code N.A.  INMUN1  137857  2017-10-30 00:00:00.0  INMUN1  S </v>
      </c>
      <c r="Q200" t="s">
        <v>1036</v>
      </c>
    </row>
    <row r="201" spans="1:17" x14ac:dyDescent="0.35">
      <c r="A201" t="s">
        <v>8</v>
      </c>
      <c r="B201">
        <v>8128641</v>
      </c>
      <c r="C201" s="2" t="s">
        <v>356</v>
      </c>
      <c r="D201" s="2" t="str">
        <f>LEFT(TRIM(MID(SUBSTITUTE(tblShipments5[[#This Row],[Details]],CHAR(10)," "), FIND(CHAR(10),tblShipments5[[#This Row],[Details]])+1, 50)), 10)</f>
        <v>0512072388</v>
      </c>
      <c r="E201" t="s">
        <v>357</v>
      </c>
      <c r="F20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1" t="str">
        <f>IF(tblShipments5[[#This Row],[EGM no]]="", "Missing EGM", "EGM Submitted")</f>
        <v>EGM Submitted</v>
      </c>
      <c r="H201" t="str">
        <f>IF(OR(ISNUMBER(SEARCH("Released",tblShipments5[[#This Row],[ROSL]])),
      ISNUMBER(SEARCH("Scroll",tblShipments5[[#This Row],[ROSL]])),
      ISNUMBER(SEARCH("Y",tblShipments5[[#This Row],[ROSL]]))),
   "Released",
   "Not Released")</f>
        <v>Released</v>
      </c>
      <c r="I201" t="str">
        <f>IF(OR(tblShipments5[[#This Row],[EGM no]]="", tblShipments5[[#This Row],[EGM no]]="N.A."), "Not Submitted", "Submitted")</f>
        <v>Submitted</v>
      </c>
      <c r="J201" t="str">
        <f>IF(LEFT(tblShipments5[[#This Row],[Gateway_Extracted]],2)="IN","Valid","Invalid")</f>
        <v>Valid</v>
      </c>
      <c r="K201" t="s">
        <v>358</v>
      </c>
      <c r="L201" t="s">
        <v>359</v>
      </c>
      <c r="M201" t="s">
        <v>13</v>
      </c>
      <c r="N201" t="s">
        <v>360</v>
      </c>
      <c r="O201" t="str">
        <f>IFERROR("IN" &amp; _xlfn.TEXTBEFORE(_xlfn.TEXTAFTER(UPPER(tblShipments5[[#This Row],[Gateway_clean]]),"IN")," ",1),"")</f>
        <v>INNSA1</v>
      </c>
      <c r="P201" t="str">
        <f>SUBSTITUTE(tblShipments5[[#This Row],[Gateway]], CHAR(10), " ")</f>
        <v xml:space="preserve">AWB No. Gateway Port Gateway EGM No. Gateway EGM Date Gateway Site ID Error Code N.A.  INNSA1  N.A.  N.A.  N.A.  N.A. </v>
      </c>
      <c r="Q201" t="s">
        <v>26</v>
      </c>
    </row>
    <row r="202" spans="1:17" x14ac:dyDescent="0.35">
      <c r="A202" t="s">
        <v>8</v>
      </c>
      <c r="B202">
        <v>8411392</v>
      </c>
      <c r="C202" s="2" t="s">
        <v>560</v>
      </c>
      <c r="D202" s="2" t="str">
        <f>LEFT(TRIM(MID(SUBSTITUTE(tblShipments5[[#This Row],[Details]],CHAR(10)," "), FIND(CHAR(10),tblShipments5[[#This Row],[Details]])+1, 50)), 10)</f>
        <v>0512072388</v>
      </c>
      <c r="E202" t="s">
        <v>561</v>
      </c>
      <c r="F20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2" t="str">
        <f>IF(tblShipments5[[#This Row],[EGM no]]="", "Missing EGM", "EGM Submitted")</f>
        <v>EGM Submitted</v>
      </c>
      <c r="H202" t="str">
        <f>IF(OR(ISNUMBER(SEARCH("Released",tblShipments5[[#This Row],[ROSL]])),
      ISNUMBER(SEARCH("Scroll",tblShipments5[[#This Row],[ROSL]])),
      ISNUMBER(SEARCH("Y",tblShipments5[[#This Row],[ROSL]]))),
   "Released",
   "Not Released")</f>
        <v>Released</v>
      </c>
      <c r="I202" t="str">
        <f>IF(OR(tblShipments5[[#This Row],[EGM no]]="", tblShipments5[[#This Row],[EGM no]]="N.A."), "Not Submitted", "Submitted")</f>
        <v>Submitted</v>
      </c>
      <c r="J202" t="str">
        <f>IF(LEFT(tblShipments5[[#This Row],[Gateway_Extracted]],2)="IN","Valid","Invalid")</f>
        <v>Valid</v>
      </c>
      <c r="K202" t="s">
        <v>562</v>
      </c>
      <c r="L202" t="s">
        <v>563</v>
      </c>
      <c r="M202" t="s">
        <v>31</v>
      </c>
      <c r="N202" t="s">
        <v>564</v>
      </c>
      <c r="O202" t="str">
        <f>IFERROR("IN" &amp; _xlfn.TEXTBEFORE(_xlfn.TEXTAFTER(UPPER(tblShipments5[[#This Row],[Gateway_clean]]),"IN")," ",1),"")</f>
        <v>INNSA1</v>
      </c>
      <c r="P202" t="str">
        <f>SUBSTITUTE(tblShipments5[[#This Row],[Gateway]], CHAR(10), " ")</f>
        <v xml:space="preserve">AWB No. Gateway Port Gateway EGM No. Gateway EGM Date Gateway Site ID Error Code N.A.  INNSA1  N.A.  N.A.  N.A.  N.A. </v>
      </c>
      <c r="Q202" t="s">
        <v>26</v>
      </c>
    </row>
    <row r="203" spans="1:17" x14ac:dyDescent="0.35">
      <c r="A203" t="s">
        <v>8</v>
      </c>
      <c r="B203">
        <v>9603076</v>
      </c>
      <c r="C203" s="2" t="s">
        <v>1112</v>
      </c>
      <c r="D203" s="2" t="str">
        <f>LEFT(TRIM(MID(SUBSTITUTE(tblShipments5[[#This Row],[Details]],CHAR(10)," "), FIND(CHAR(10),tblShipments5[[#This Row],[Details]])+1, 50)), 10)</f>
        <v>0597017891</v>
      </c>
      <c r="E203" t="s">
        <v>1117</v>
      </c>
      <c r="F20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3" t="str">
        <f>IF(tblShipments5[[#This Row],[EGM no]]="", "Missing EGM", "EGM Submitted")</f>
        <v>EGM Submitted</v>
      </c>
      <c r="H203" t="str">
        <f>IF(OR(ISNUMBER(SEARCH("Released",tblShipments5[[#This Row],[ROSL]])),
      ISNUMBER(SEARCH("Scroll",tblShipments5[[#This Row],[ROSL]])),
      ISNUMBER(SEARCH("Y",tblShipments5[[#This Row],[ROSL]]))),
   "Released",
   "Not Released")</f>
        <v>Released</v>
      </c>
      <c r="I203" t="str">
        <f>IF(OR(tblShipments5[[#This Row],[EGM no]]="", tblShipments5[[#This Row],[EGM no]]="N.A."), "Not Submitted", "Submitted")</f>
        <v>Submitted</v>
      </c>
      <c r="J203" t="str">
        <f>IF(LEFT(tblShipments5[[#This Row],[Gateway_Extracted]],2)="IN","Valid","Invalid")</f>
        <v>Valid</v>
      </c>
      <c r="K203" t="s">
        <v>1118</v>
      </c>
      <c r="L203" t="s">
        <v>1119</v>
      </c>
      <c r="M203" t="s">
        <v>13</v>
      </c>
      <c r="N203" t="s">
        <v>1120</v>
      </c>
      <c r="O203" t="str">
        <f>IFERROR("IN" &amp; _xlfn.TEXTBEFORE(_xlfn.TEXTAFTER(UPPER(tblShipments5[[#This Row],[Gateway_clean]]),"IN")," ",1),"")</f>
        <v>INNSA1</v>
      </c>
      <c r="P203" t="str">
        <f>SUBSTITUTE(tblShipments5[[#This Row],[Gateway]], CHAR(10), " ")</f>
        <v xml:space="preserve">AWB No. Gateway Port Gateway EGM No. Gateway EGM Date Gateway Site ID Error Code N.A.  INNSA1  138455  2017-11-09 00:00:00.0  INNSA1  S </v>
      </c>
      <c r="Q203" t="s">
        <v>1121</v>
      </c>
    </row>
    <row r="204" spans="1:17" x14ac:dyDescent="0.35">
      <c r="A204" t="s">
        <v>8</v>
      </c>
      <c r="B204">
        <v>9612572</v>
      </c>
      <c r="C204" s="2" t="s">
        <v>1112</v>
      </c>
      <c r="D204" s="2" t="str">
        <f>LEFT(TRIM(MID(SUBSTITUTE(tblShipments5[[#This Row],[Details]],CHAR(10)," "), FIND(CHAR(10),tblShipments5[[#This Row],[Details]])+1, 50)), 10)</f>
        <v>0597017891</v>
      </c>
      <c r="E204" t="s">
        <v>1122</v>
      </c>
      <c r="F20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4" t="str">
        <f>IF(tblShipments5[[#This Row],[EGM no]]="", "Missing EGM", "EGM Submitted")</f>
        <v>EGM Submitted</v>
      </c>
      <c r="H204" t="str">
        <f>IF(OR(ISNUMBER(SEARCH("Released",tblShipments5[[#This Row],[ROSL]])),
      ISNUMBER(SEARCH("Scroll",tblShipments5[[#This Row],[ROSL]])),
      ISNUMBER(SEARCH("Y",tblShipments5[[#This Row],[ROSL]]))),
   "Released",
   "Not Released")</f>
        <v>Released</v>
      </c>
      <c r="I204" t="str">
        <f>IF(OR(tblShipments5[[#This Row],[EGM no]]="", tblShipments5[[#This Row],[EGM no]]="N.A."), "Not Submitted", "Submitted")</f>
        <v>Submitted</v>
      </c>
      <c r="J204" t="str">
        <f>IF(LEFT(tblShipments5[[#This Row],[Gateway_Extracted]],2)="IN","Valid","Invalid")</f>
        <v>Valid</v>
      </c>
      <c r="K204" t="s">
        <v>1123</v>
      </c>
      <c r="L204" t="s">
        <v>1124</v>
      </c>
      <c r="M204" t="s">
        <v>13</v>
      </c>
      <c r="N204" t="s">
        <v>1125</v>
      </c>
      <c r="O204" t="str">
        <f>IFERROR("IN" &amp; _xlfn.TEXTBEFORE(_xlfn.TEXTAFTER(UPPER(tblShipments5[[#This Row],[Gateway_clean]]),"IN")," ",1),"")</f>
        <v>INNSA1</v>
      </c>
      <c r="P204" t="str">
        <f>SUBSTITUTE(tblShipments5[[#This Row],[Gateway]], CHAR(10), " ")</f>
        <v xml:space="preserve">AWB No. Gateway Port Gateway EGM No. Gateway EGM Date Gateway Site ID Error Code N.A.  INNSA1  138732  2017-11-14 00:00:00.0  INNSA1  S </v>
      </c>
      <c r="Q204" t="s">
        <v>1126</v>
      </c>
    </row>
    <row r="205" spans="1:17" x14ac:dyDescent="0.35">
      <c r="A205" t="s">
        <v>8</v>
      </c>
      <c r="B205">
        <v>9776960</v>
      </c>
      <c r="C205" s="2" t="s">
        <v>1182</v>
      </c>
      <c r="D205" s="2" t="str">
        <f>LEFT(TRIM(MID(SUBSTITUTE(tblShipments5[[#This Row],[Details]],CHAR(10)," "), FIND(CHAR(10),tblShipments5[[#This Row],[Details]])+1, 50)), 10)</f>
        <v>0597017891</v>
      </c>
      <c r="E205" t="s">
        <v>1183</v>
      </c>
      <c r="F20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5" t="str">
        <f>IF(tblShipments5[[#This Row],[EGM no]]="", "Missing EGM", "EGM Submitted")</f>
        <v>EGM Submitted</v>
      </c>
      <c r="H205" t="str">
        <f>IF(OR(ISNUMBER(SEARCH("Released",tblShipments5[[#This Row],[ROSL]])),
      ISNUMBER(SEARCH("Scroll",tblShipments5[[#This Row],[ROSL]])),
      ISNUMBER(SEARCH("Y",tblShipments5[[#This Row],[ROSL]]))),
   "Released",
   "Not Released")</f>
        <v>Released</v>
      </c>
      <c r="I205" t="str">
        <f>IF(OR(tblShipments5[[#This Row],[EGM no]]="", tblShipments5[[#This Row],[EGM no]]="N.A."), "Not Submitted", "Submitted")</f>
        <v>Submitted</v>
      </c>
      <c r="J205" t="str">
        <f>IF(LEFT(tblShipments5[[#This Row],[Gateway_Extracted]],2)="IN","Valid","Invalid")</f>
        <v>Valid</v>
      </c>
      <c r="K205" t="s">
        <v>1184</v>
      </c>
      <c r="L205" t="s">
        <v>1185</v>
      </c>
      <c r="M205" t="s">
        <v>13</v>
      </c>
      <c r="N205" t="s">
        <v>1186</v>
      </c>
      <c r="O205" t="str">
        <f>IFERROR("IN" &amp; _xlfn.TEXTBEFORE(_xlfn.TEXTAFTER(UPPER(tblShipments5[[#This Row],[Gateway_clean]]),"IN")," ",1),"")</f>
        <v>INNSA1</v>
      </c>
      <c r="P205" t="str">
        <f>SUBSTITUTE(tblShipments5[[#This Row],[Gateway]], CHAR(10), " ")</f>
        <v xml:space="preserve">AWB No. Gateway Port Gateway EGM No. Gateway EGM Date Gateway Site ID Error Code N.A.  INNSA1  138710  2017-11-13 00:00:00.0  INNSA1  S </v>
      </c>
      <c r="Q205" t="s">
        <v>1187</v>
      </c>
    </row>
    <row r="206" spans="1:17" x14ac:dyDescent="0.35">
      <c r="A206" t="s">
        <v>8</v>
      </c>
      <c r="B206">
        <v>7891796</v>
      </c>
      <c r="C206" s="2" t="s">
        <v>208</v>
      </c>
      <c r="D206" s="2" t="str">
        <f>LEFT(TRIM(MID(SUBSTITUTE(tblShipments5[[#This Row],[Details]],CHAR(10)," "), FIND(CHAR(10),tblShipments5[[#This Row],[Details]])+1, 50)), 10)</f>
        <v>0506054306</v>
      </c>
      <c r="E206" t="s">
        <v>217</v>
      </c>
      <c r="F20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6" t="str">
        <f>IF(tblShipments5[[#This Row],[EGM no]]="", "Missing EGM", "EGM Submitted")</f>
        <v>EGM Submitted</v>
      </c>
      <c r="H206" t="str">
        <f>IF(OR(ISNUMBER(SEARCH("Released",tblShipments5[[#This Row],[ROSL]])),
      ISNUMBER(SEARCH("Scroll",tblShipments5[[#This Row],[ROSL]])),
      ISNUMBER(SEARCH("Y",tblShipments5[[#This Row],[ROSL]]))),
   "Released",
   "Not Released")</f>
        <v>Released</v>
      </c>
      <c r="I206" t="str">
        <f>IF(OR(tblShipments5[[#This Row],[EGM no]]="", tblShipments5[[#This Row],[EGM no]]="N.A."), "Not Submitted", "Submitted")</f>
        <v>Submitted</v>
      </c>
      <c r="J206" t="str">
        <f>IF(LEFT(tblShipments5[[#This Row],[Gateway_Extracted]],2)="IN","Valid","Invalid")</f>
        <v>Valid</v>
      </c>
      <c r="K206" t="s">
        <v>122</v>
      </c>
      <c r="L206" t="s">
        <v>218</v>
      </c>
      <c r="M206" t="s">
        <v>13</v>
      </c>
      <c r="N206" t="s">
        <v>219</v>
      </c>
      <c r="O206" t="str">
        <f>IFERROR("IN" &amp; _xlfn.TEXTBEFORE(_xlfn.TEXTAFTER(UPPER(tblShipments5[[#This Row],[Gateway_clean]]),"IN")," ",1),"")</f>
        <v>INMUN1</v>
      </c>
      <c r="P206" t="str">
        <f>SUBSTITUTE(tblShipments5[[#This Row],[Gateway]], CHAR(10), " ")</f>
        <v xml:space="preserve">AWB No. Gateway Port Gateway EGM No. Gateway EGM Date Gateway Site ID Error Code N.A.  INMUN1  133566  2017-08-18 00:00:00.0  INMUN1  S </v>
      </c>
      <c r="Q206" t="s">
        <v>220</v>
      </c>
    </row>
    <row r="207" spans="1:17" x14ac:dyDescent="0.35">
      <c r="A207" t="s">
        <v>8</v>
      </c>
      <c r="B207">
        <v>7742310</v>
      </c>
      <c r="C207" s="2" t="s">
        <v>106</v>
      </c>
      <c r="D207" s="2" t="str">
        <f>LEFT(TRIM(MID(SUBSTITUTE(tblShipments5[[#This Row],[Details]],CHAR(10)," "), FIND(CHAR(10),tblShipments5[[#This Row],[Details]])+1, 50)), 10)</f>
        <v>0517528762</v>
      </c>
      <c r="E207" t="s">
        <v>107</v>
      </c>
      <c r="F20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7" t="str">
        <f>IF(tblShipments5[[#This Row],[EGM no]]="", "Missing EGM", "EGM Submitted")</f>
        <v>EGM Submitted</v>
      </c>
      <c r="H207" t="str">
        <f>IF(OR(ISNUMBER(SEARCH("Released",tblShipments5[[#This Row],[ROSL]])),
      ISNUMBER(SEARCH("Scroll",tblShipments5[[#This Row],[ROSL]])),
      ISNUMBER(SEARCH("Y",tblShipments5[[#This Row],[ROSL]]))),
   "Released",
   "Not Released")</f>
        <v>Released</v>
      </c>
      <c r="I207" t="str">
        <f>IF(OR(tblShipments5[[#This Row],[EGM no]]="", tblShipments5[[#This Row],[EGM no]]="N.A."), "Not Submitted", "Submitted")</f>
        <v>Submitted</v>
      </c>
      <c r="J207" t="str">
        <f>IF(LEFT(tblShipments5[[#This Row],[Gateway_Extracted]],2)="IN","Valid","Invalid")</f>
        <v>Valid</v>
      </c>
      <c r="K207" t="s">
        <v>108</v>
      </c>
      <c r="L207" t="s">
        <v>109</v>
      </c>
      <c r="M207" t="s">
        <v>110</v>
      </c>
      <c r="N207" t="s">
        <v>111</v>
      </c>
      <c r="O207" t="str">
        <f>IFERROR("IN" &amp; _xlfn.TEXTBEFORE(_xlfn.TEXTAFTER(UPPER(tblShipments5[[#This Row],[Gateway_clean]]),"IN")," ",1),"")</f>
        <v>INNSA1</v>
      </c>
      <c r="P207" t="str">
        <f>SUBSTITUTE(tblShipments5[[#This Row],[Gateway]], CHAR(10), " ")</f>
        <v xml:space="preserve">AWB No. Gateway Port Gateway EGM No. Gateway EGM Date Gateway Site ID Error Code N.A.  INNSA1  169501  2019-03-29 00:00:00.0  INNSA1  S </v>
      </c>
      <c r="Q207" t="s">
        <v>112</v>
      </c>
    </row>
    <row r="208" spans="1:17" x14ac:dyDescent="0.35">
      <c r="A208" t="s">
        <v>8</v>
      </c>
      <c r="B208">
        <v>1466520</v>
      </c>
      <c r="C208" s="2" t="s">
        <v>1459</v>
      </c>
      <c r="D208" s="2" t="str">
        <f>LEFT(TRIM(MID(SUBSTITUTE(tblShipments5[[#This Row],[Details]],CHAR(10)," "), FIND(CHAR(10),tblShipments5[[#This Row],[Details]])+1, 50)), 10)</f>
        <v>0501016481</v>
      </c>
      <c r="E208" t="s">
        <v>1460</v>
      </c>
      <c r="F20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8" t="str">
        <f>IF(tblShipments5[[#This Row],[EGM no]]="", "Missing EGM", "EGM Submitted")</f>
        <v>EGM Submitted</v>
      </c>
      <c r="H208" t="str">
        <f>IF(OR(ISNUMBER(SEARCH("Released",tblShipments5[[#This Row],[ROSL]])),
      ISNUMBER(SEARCH("Scroll",tblShipments5[[#This Row],[ROSL]])),
      ISNUMBER(SEARCH("Y",tblShipments5[[#This Row],[ROSL]]))),
   "Released",
   "Not Released")</f>
        <v>Released</v>
      </c>
      <c r="I208" t="str">
        <f>IF(OR(tblShipments5[[#This Row],[EGM no]]="", tblShipments5[[#This Row],[EGM no]]="N.A."), "Not Submitted", "Submitted")</f>
        <v>Submitted</v>
      </c>
      <c r="J208" t="str">
        <f>IF(LEFT(tblShipments5[[#This Row],[Gateway_Extracted]],2)="IN","Valid","Invalid")</f>
        <v>Valid</v>
      </c>
      <c r="K208" t="s">
        <v>1461</v>
      </c>
      <c r="L208" t="s">
        <v>1462</v>
      </c>
      <c r="M208" t="s">
        <v>13</v>
      </c>
      <c r="N208" t="s">
        <v>1463</v>
      </c>
      <c r="O208" t="str">
        <f>IFERROR("IN" &amp; _xlfn.TEXTBEFORE(_xlfn.TEXTAFTER(UPPER(tblShipments5[[#This Row],[Gateway_clean]]),"IN")," ",1),"")</f>
        <v>INNSA1</v>
      </c>
      <c r="P208" t="str">
        <f>SUBSTITUTE(tblShipments5[[#This Row],[Gateway]], CHAR(10), " ")</f>
        <v xml:space="preserve">AWB No. Gateway Port Gateway EGM No. Gateway EGM Date Gateway Site ID Error Code N.A.  INNSA1  140677  2017-12-14 00:00:00.0  INNSA1  S </v>
      </c>
      <c r="Q208" t="s">
        <v>1464</v>
      </c>
    </row>
    <row r="209" spans="1:17" x14ac:dyDescent="0.35">
      <c r="A209" t="s">
        <v>8</v>
      </c>
      <c r="B209">
        <v>1349513</v>
      </c>
      <c r="C209" s="2" t="s">
        <v>1415</v>
      </c>
      <c r="D209" s="2" t="str">
        <f>LEFT(TRIM(MID(SUBSTITUTE(tblShipments5[[#This Row],[Details]],CHAR(10)," "), FIND(CHAR(10),tblShipments5[[#This Row],[Details]])+1, 50)), 10)</f>
        <v>0501016481</v>
      </c>
      <c r="E209" t="s">
        <v>1426</v>
      </c>
      <c r="F20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09" t="str">
        <f>IF(tblShipments5[[#This Row],[EGM no]]="", "Missing EGM", "EGM Submitted")</f>
        <v>EGM Submitted</v>
      </c>
      <c r="H209" t="str">
        <f>IF(OR(ISNUMBER(SEARCH("Released",tblShipments5[[#This Row],[ROSL]])),
      ISNUMBER(SEARCH("Scroll",tblShipments5[[#This Row],[ROSL]])),
      ISNUMBER(SEARCH("Y",tblShipments5[[#This Row],[ROSL]]))),
   "Released",
   "Not Released")</f>
        <v>Released</v>
      </c>
      <c r="I209" t="str">
        <f>IF(OR(tblShipments5[[#This Row],[EGM no]]="", tblShipments5[[#This Row],[EGM no]]="N.A."), "Not Submitted", "Submitted")</f>
        <v>Submitted</v>
      </c>
      <c r="J209" t="str">
        <f>IF(LEFT(tblShipments5[[#This Row],[Gateway_Extracted]],2)="IN","Valid","Invalid")</f>
        <v>Valid</v>
      </c>
      <c r="K209" t="s">
        <v>1427</v>
      </c>
      <c r="L209" t="s">
        <v>1428</v>
      </c>
      <c r="M209" t="s">
        <v>13</v>
      </c>
      <c r="N209" t="s">
        <v>1429</v>
      </c>
      <c r="O209" t="str">
        <f>IFERROR("IN" &amp; _xlfn.TEXTBEFORE(_xlfn.TEXTAFTER(UPPER(tblShipments5[[#This Row],[Gateway_clean]]),"IN")," ",1),"")</f>
        <v>INNSA1</v>
      </c>
      <c r="P209" t="str">
        <f>SUBSTITUTE(tblShipments5[[#This Row],[Gateway]], CHAR(10), " ")</f>
        <v xml:space="preserve">AWB No. Gateway Port Gateway EGM No. Gateway EGM Date Gateway Site ID Error Code N.A.  INNSA1  139986  2017-12-04 00:00:00.0  INNSA1  S </v>
      </c>
      <c r="Q209" t="s">
        <v>1430</v>
      </c>
    </row>
    <row r="210" spans="1:17" x14ac:dyDescent="0.35">
      <c r="A210" t="s">
        <v>8</v>
      </c>
      <c r="B210">
        <v>8620347</v>
      </c>
      <c r="C210" s="2" t="s">
        <v>727</v>
      </c>
      <c r="D210" s="2" t="str">
        <f>LEFT(TRIM(MID(SUBSTITUTE(tblShipments5[[#This Row],[Details]],CHAR(10)," "), FIND(CHAR(10),tblShipments5[[#This Row],[Details]])+1, 50)), 10)</f>
        <v>0514025026</v>
      </c>
      <c r="E210" t="s">
        <v>728</v>
      </c>
      <c r="F21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0" t="str">
        <f>IF(tblShipments5[[#This Row],[EGM no]]="", "Missing EGM", "EGM Submitted")</f>
        <v>EGM Submitted</v>
      </c>
      <c r="H210" t="str">
        <f>IF(OR(ISNUMBER(SEARCH("Released",tblShipments5[[#This Row],[ROSL]])),
      ISNUMBER(SEARCH("Scroll",tblShipments5[[#This Row],[ROSL]])),
      ISNUMBER(SEARCH("Y",tblShipments5[[#This Row],[ROSL]]))),
   "Released",
   "Not Released")</f>
        <v>Released</v>
      </c>
      <c r="I210" t="str">
        <f>IF(OR(tblShipments5[[#This Row],[EGM no]]="", tblShipments5[[#This Row],[EGM no]]="N.A."), "Not Submitted", "Submitted")</f>
        <v>Submitted</v>
      </c>
      <c r="J210" t="str">
        <f>IF(LEFT(tblShipments5[[#This Row],[Gateway_Extracted]],2)="IN","Valid","Invalid")</f>
        <v>Valid</v>
      </c>
      <c r="K210" t="s">
        <v>669</v>
      </c>
      <c r="L210" t="s">
        <v>678</v>
      </c>
      <c r="M210" t="s">
        <v>13</v>
      </c>
      <c r="N210" t="s">
        <v>729</v>
      </c>
      <c r="O210" t="str">
        <f>IFERROR("IN" &amp; _xlfn.TEXTBEFORE(_xlfn.TEXTAFTER(UPPER(tblShipments5[[#This Row],[Gateway_clean]]),"IN")," ",1),"")</f>
        <v>INNSA1</v>
      </c>
      <c r="P210" t="str">
        <f>SUBSTITUTE(tblShipments5[[#This Row],[Gateway]], CHAR(10), " ")</f>
        <v xml:space="preserve">AWB No. Gateway Port Gateway EGM No. Gateway EGM Date Gateway Site ID Error Code N.A.  INNSA1  134938  2017-09-12 00:00:00.0  INNSA1  S </v>
      </c>
      <c r="Q210" t="s">
        <v>680</v>
      </c>
    </row>
    <row r="211" spans="1:17" x14ac:dyDescent="0.35">
      <c r="A211" t="s">
        <v>8</v>
      </c>
      <c r="B211">
        <v>1468626</v>
      </c>
      <c r="C211" s="2" t="s">
        <v>1459</v>
      </c>
      <c r="D211" s="2" t="str">
        <f>LEFT(TRIM(MID(SUBSTITUTE(tblShipments5[[#This Row],[Details]],CHAR(10)," "), FIND(CHAR(10),tblShipments5[[#This Row],[Details]])+1, 50)), 10)</f>
        <v>0514025026</v>
      </c>
      <c r="E211" t="s">
        <v>1465</v>
      </c>
      <c r="F21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1" t="str">
        <f>IF(tblShipments5[[#This Row],[EGM no]]="", "Missing EGM", "EGM Submitted")</f>
        <v>EGM Submitted</v>
      </c>
      <c r="H211" t="str">
        <f>IF(OR(ISNUMBER(SEARCH("Released",tblShipments5[[#This Row],[ROSL]])),
      ISNUMBER(SEARCH("Scroll",tblShipments5[[#This Row],[ROSL]])),
      ISNUMBER(SEARCH("Y",tblShipments5[[#This Row],[ROSL]]))),
   "Released",
   "Not Released")</f>
        <v>Released</v>
      </c>
      <c r="I211" t="str">
        <f>IF(OR(tblShipments5[[#This Row],[EGM no]]="", tblShipments5[[#This Row],[EGM no]]="N.A."), "Not Submitted", "Submitted")</f>
        <v>Submitted</v>
      </c>
      <c r="J211" t="str">
        <f>IF(LEFT(tblShipments5[[#This Row],[Gateway_Extracted]],2)="IN","Valid","Invalid")</f>
        <v>Valid</v>
      </c>
      <c r="K211" t="s">
        <v>1466</v>
      </c>
      <c r="L211" t="s">
        <v>1467</v>
      </c>
      <c r="M211" t="s">
        <v>13</v>
      </c>
      <c r="N211" t="s">
        <v>1468</v>
      </c>
      <c r="O211" t="str">
        <f>IFERROR("IN" &amp; _xlfn.TEXTBEFORE(_xlfn.TEXTAFTER(UPPER(tblShipments5[[#This Row],[Gateway_clean]]),"IN")," ",1),"")</f>
        <v>INNSA1</v>
      </c>
      <c r="P211" t="str">
        <f>SUBSTITUTE(tblShipments5[[#This Row],[Gateway]], CHAR(10), " ")</f>
        <v xml:space="preserve">AWB No. Gateway Port Gateway EGM No. Gateway EGM Date Gateway Site ID Error Code N.A.  INNSA1  140365  2017-12-08 00:00:00.0  INNSA1  N </v>
      </c>
      <c r="Q211" t="s">
        <v>1469</v>
      </c>
    </row>
    <row r="212" spans="1:17" x14ac:dyDescent="0.35">
      <c r="A212" t="s">
        <v>8</v>
      </c>
      <c r="B212">
        <v>1381867</v>
      </c>
      <c r="C212" s="2" t="s">
        <v>1436</v>
      </c>
      <c r="D212" s="2" t="str">
        <f>LEFT(TRIM(MID(SUBSTITUTE(tblShipments5[[#This Row],[Details]],CHAR(10)," "), FIND(CHAR(10),tblShipments5[[#This Row],[Details]])+1, 50)), 10)</f>
        <v>0500050139</v>
      </c>
      <c r="E212" t="s">
        <v>1447</v>
      </c>
      <c r="F21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2" t="str">
        <f>IF(tblShipments5[[#This Row],[EGM no]]="", "Missing EGM", "EGM Submitted")</f>
        <v>EGM Submitted</v>
      </c>
      <c r="H212" t="str">
        <f>IF(OR(ISNUMBER(SEARCH("Released",tblShipments5[[#This Row],[ROSL]])),
      ISNUMBER(SEARCH("Scroll",tblShipments5[[#This Row],[ROSL]])),
      ISNUMBER(SEARCH("Y",tblShipments5[[#This Row],[ROSL]]))),
   "Released",
   "Not Released")</f>
        <v>Released</v>
      </c>
      <c r="I212" t="str">
        <f>IF(OR(tblShipments5[[#This Row],[EGM no]]="", tblShipments5[[#This Row],[EGM no]]="N.A."), "Not Submitted", "Submitted")</f>
        <v>Submitted</v>
      </c>
      <c r="J212" t="str">
        <f>IF(LEFT(tblShipments5[[#This Row],[Gateway_Extracted]],2)="IN","Valid","Invalid")</f>
        <v>Valid</v>
      </c>
      <c r="K212" t="s">
        <v>1389</v>
      </c>
      <c r="L212" t="s">
        <v>1448</v>
      </c>
      <c r="M212" t="s">
        <v>31</v>
      </c>
      <c r="N212" t="s">
        <v>1449</v>
      </c>
      <c r="O212" t="str">
        <f>IFERROR("IN" &amp; _xlfn.TEXTBEFORE(_xlfn.TEXTAFTER(UPPER(tblShipments5[[#This Row],[Gateway_clean]]),"IN")," ",1),"")</f>
        <v>INPAV1</v>
      </c>
      <c r="P212" t="str">
        <f>SUBSTITUTE(tblShipments5[[#This Row],[Gateway]], CHAR(10), " ")</f>
        <v xml:space="preserve">AWB No. Gateway Port Gateway EGM No. Gateway EGM Date Gateway Site ID Error Code N.A.  INPAV1  139963  2017-12-04 00:00:00.0  INPAV1  S </v>
      </c>
      <c r="Q212" t="s">
        <v>1377</v>
      </c>
    </row>
    <row r="213" spans="1:17" x14ac:dyDescent="0.35">
      <c r="A213" t="s">
        <v>8</v>
      </c>
      <c r="B213">
        <v>1471253</v>
      </c>
      <c r="C213" s="2" t="s">
        <v>1459</v>
      </c>
      <c r="D213" s="2" t="str">
        <f>LEFT(TRIM(MID(SUBSTITUTE(tblShipments5[[#This Row],[Details]],CHAR(10)," "), FIND(CHAR(10),tblShipments5[[#This Row],[Details]])+1, 50)), 10)</f>
        <v>0500050139</v>
      </c>
      <c r="E213" t="s">
        <v>1475</v>
      </c>
      <c r="F21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3" t="str">
        <f>IF(tblShipments5[[#This Row],[EGM no]]="", "Missing EGM", "EGM Submitted")</f>
        <v>EGM Submitted</v>
      </c>
      <c r="H213" t="str">
        <f>IF(OR(ISNUMBER(SEARCH("Released",tblShipments5[[#This Row],[ROSL]])),
      ISNUMBER(SEARCH("Scroll",tblShipments5[[#This Row],[ROSL]])),
      ISNUMBER(SEARCH("Y",tblShipments5[[#This Row],[ROSL]]))),
   "Released",
   "Not Released")</f>
        <v>Released</v>
      </c>
      <c r="I213" t="str">
        <f>IF(OR(tblShipments5[[#This Row],[EGM no]]="", tblShipments5[[#This Row],[EGM no]]="N.A."), "Not Submitted", "Submitted")</f>
        <v>Submitted</v>
      </c>
      <c r="J213" t="str">
        <f>IF(LEFT(tblShipments5[[#This Row],[Gateway_Extracted]],2)="IN","Valid","Invalid")</f>
        <v>Valid</v>
      </c>
      <c r="K213" t="s">
        <v>1476</v>
      </c>
      <c r="L213" t="s">
        <v>1477</v>
      </c>
      <c r="M213" t="s">
        <v>31</v>
      </c>
      <c r="N213" t="s">
        <v>1478</v>
      </c>
      <c r="O213" t="str">
        <f>IFERROR("IN" &amp; _xlfn.TEXTBEFORE(_xlfn.TEXTAFTER(UPPER(tblShipments5[[#This Row],[Gateway_clean]]),"IN")," ",1),"")</f>
        <v>INPAV1</v>
      </c>
      <c r="P213" t="str">
        <f>SUBSTITUTE(tblShipments5[[#This Row],[Gateway]], CHAR(10), " ")</f>
        <v xml:space="preserve">AWB No. Gateway Port Gateway EGM No. Gateway EGM Date Gateway Site ID Error Code N.A.  INPAV1  139966  2017-12-04 00:00:00.0  INPAV1  S </v>
      </c>
      <c r="Q213" t="s">
        <v>1479</v>
      </c>
    </row>
    <row r="214" spans="1:17" x14ac:dyDescent="0.35">
      <c r="A214" t="s">
        <v>8</v>
      </c>
      <c r="B214">
        <v>1551135</v>
      </c>
      <c r="C214" s="2" t="s">
        <v>1516</v>
      </c>
      <c r="D214" s="2" t="str">
        <f>LEFT(TRIM(MID(SUBSTITUTE(tblShipments5[[#This Row],[Details]],CHAR(10)," "), FIND(CHAR(10),tblShipments5[[#This Row],[Details]])+1, 50)), 10)</f>
        <v>0500050139</v>
      </c>
      <c r="E214" t="s">
        <v>1524</v>
      </c>
      <c r="F21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4" t="str">
        <f>IF(tblShipments5[[#This Row],[EGM no]]="", "Missing EGM", "EGM Submitted")</f>
        <v>EGM Submitted</v>
      </c>
      <c r="H214" t="str">
        <f>IF(OR(ISNUMBER(SEARCH("Released",tblShipments5[[#This Row],[ROSL]])),
      ISNUMBER(SEARCH("Scroll",tblShipments5[[#This Row],[ROSL]])),
      ISNUMBER(SEARCH("Y",tblShipments5[[#This Row],[ROSL]]))),
   "Released",
   "Not Released")</f>
        <v>Released</v>
      </c>
      <c r="I214" t="str">
        <f>IF(OR(tblShipments5[[#This Row],[EGM no]]="", tblShipments5[[#This Row],[EGM no]]="N.A."), "Not Submitted", "Submitted")</f>
        <v>Submitted</v>
      </c>
      <c r="J214" t="str">
        <f>IF(LEFT(tblShipments5[[#This Row],[Gateway_Extracted]],2)="IN","Valid","Invalid")</f>
        <v>Valid</v>
      </c>
      <c r="K214" t="s">
        <v>1481</v>
      </c>
      <c r="L214" t="s">
        <v>1525</v>
      </c>
      <c r="M214" t="s">
        <v>31</v>
      </c>
      <c r="N214" t="s">
        <v>1526</v>
      </c>
      <c r="O214" t="str">
        <f>IFERROR("IN" &amp; _xlfn.TEXTBEFORE(_xlfn.TEXTAFTER(UPPER(tblShipments5[[#This Row],[Gateway_clean]]),"IN")," ",1),"")</f>
        <v>INNSA1</v>
      </c>
      <c r="P214" t="str">
        <f>SUBSTITUTE(tblShipments5[[#This Row],[Gateway]], CHAR(10), " ")</f>
        <v xml:space="preserve">AWB No. Gateway Port Gateway EGM No. Gateway EGM Date Gateway Site ID Error Code N.A.  INNSA1  138758  2017-11-14 00:00:00.0  INNSA1  S </v>
      </c>
      <c r="Q214" t="s">
        <v>1527</v>
      </c>
    </row>
    <row r="215" spans="1:17" x14ac:dyDescent="0.35">
      <c r="A215" t="s">
        <v>8</v>
      </c>
      <c r="B215">
        <v>1657961</v>
      </c>
      <c r="C215" s="2" t="s">
        <v>1573</v>
      </c>
      <c r="D215" s="2" t="str">
        <f>LEFT(TRIM(MID(SUBSTITUTE(tblShipments5[[#This Row],[Details]],CHAR(10)," "), FIND(CHAR(10),tblShipments5[[#This Row],[Details]])+1, 50)), 10)</f>
        <v>0500050139</v>
      </c>
      <c r="E215" t="s">
        <v>1574</v>
      </c>
      <c r="F21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5" t="str">
        <f>IF(tblShipments5[[#This Row],[EGM no]]="", "Missing EGM", "EGM Submitted")</f>
        <v>EGM Submitted</v>
      </c>
      <c r="H215" t="str">
        <f>IF(OR(ISNUMBER(SEARCH("Released",tblShipments5[[#This Row],[ROSL]])),
      ISNUMBER(SEARCH("Scroll",tblShipments5[[#This Row],[ROSL]])),
      ISNUMBER(SEARCH("Y",tblShipments5[[#This Row],[ROSL]]))),
   "Released",
   "Not Released")</f>
        <v>Released</v>
      </c>
      <c r="I215" t="str">
        <f>IF(OR(tblShipments5[[#This Row],[EGM no]]="", tblShipments5[[#This Row],[EGM no]]="N.A."), "Not Submitted", "Submitted")</f>
        <v>Submitted</v>
      </c>
      <c r="J215" t="str">
        <f>IF(LEFT(tblShipments5[[#This Row],[Gateway_Extracted]],2)="IN","Valid","Invalid")</f>
        <v>Valid</v>
      </c>
      <c r="K215" t="s">
        <v>1575</v>
      </c>
      <c r="L215" t="s">
        <v>1576</v>
      </c>
      <c r="M215" t="s">
        <v>31</v>
      </c>
      <c r="N215" t="s">
        <v>1577</v>
      </c>
      <c r="O215" t="str">
        <f>IFERROR("IN" &amp; _xlfn.TEXTBEFORE(_xlfn.TEXTAFTER(UPPER(tblShipments5[[#This Row],[Gateway_clean]]),"IN")," ",1),"")</f>
        <v>INNSA1</v>
      </c>
      <c r="P215" t="str">
        <f>SUBSTITUTE(tblShipments5[[#This Row],[Gateway]], CHAR(10), " ")</f>
        <v xml:space="preserve">AWB No. Gateway Port Gateway EGM No. Gateway EGM Date Gateway Site ID Error Code N.A.  INNSA1  140724  2017-12-15 00:00:00.0  INNSA1  S </v>
      </c>
      <c r="Q215" t="s">
        <v>1578</v>
      </c>
    </row>
    <row r="216" spans="1:17" x14ac:dyDescent="0.35">
      <c r="A216" t="s">
        <v>8</v>
      </c>
      <c r="B216">
        <v>1852350</v>
      </c>
      <c r="C216" s="2" t="s">
        <v>1677</v>
      </c>
      <c r="D216" s="2" t="str">
        <f>LEFT(TRIM(MID(SUBSTITUTE(tblShipments5[[#This Row],[Details]],CHAR(10)," "), FIND(CHAR(10),tblShipments5[[#This Row],[Details]])+1, 50)), 10)</f>
        <v>0500050139</v>
      </c>
      <c r="E216" t="s">
        <v>1683</v>
      </c>
      <c r="F21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6" t="str">
        <f>IF(tblShipments5[[#This Row],[EGM no]]="", "Missing EGM", "EGM Submitted")</f>
        <v>EGM Submitted</v>
      </c>
      <c r="H216" t="str">
        <f>IF(OR(ISNUMBER(SEARCH("Released",tblShipments5[[#This Row],[ROSL]])),
      ISNUMBER(SEARCH("Scroll",tblShipments5[[#This Row],[ROSL]])),
      ISNUMBER(SEARCH("Y",tblShipments5[[#This Row],[ROSL]]))),
   "Released",
   "Not Released")</f>
        <v>Released</v>
      </c>
      <c r="I216" t="str">
        <f>IF(OR(tblShipments5[[#This Row],[EGM no]]="", tblShipments5[[#This Row],[EGM no]]="N.A."), "Not Submitted", "Submitted")</f>
        <v>Submitted</v>
      </c>
      <c r="J216" t="str">
        <f>IF(LEFT(tblShipments5[[#This Row],[Gateway_Extracted]],2)="IN","Valid","Invalid")</f>
        <v>Valid</v>
      </c>
      <c r="K216" t="s">
        <v>1659</v>
      </c>
      <c r="L216" t="s">
        <v>1684</v>
      </c>
      <c r="M216" t="s">
        <v>31</v>
      </c>
      <c r="N216" t="s">
        <v>1685</v>
      </c>
      <c r="O216" t="str">
        <f>IFERROR("IN" &amp; _xlfn.TEXTBEFORE(_xlfn.TEXTAFTER(UPPER(tblShipments5[[#This Row],[Gateway_clean]]),"IN")," ",1),"")</f>
        <v>INMUN1</v>
      </c>
      <c r="P216" t="str">
        <f>SUBSTITUTE(tblShipments5[[#This Row],[Gateway]], CHAR(10), " ")</f>
        <v xml:space="preserve">AWB No. Gateway Port Gateway EGM No. Gateway EGM Date Gateway Site ID Error Code N.A.  INMUN1  141264  2017-12-23 00:00:00.0  INMUN1  S </v>
      </c>
      <c r="Q216" t="s">
        <v>1686</v>
      </c>
    </row>
    <row r="217" spans="1:17" x14ac:dyDescent="0.35">
      <c r="A217" t="s">
        <v>8</v>
      </c>
      <c r="B217">
        <v>1255601</v>
      </c>
      <c r="C217" s="2" t="s">
        <v>1336</v>
      </c>
      <c r="D217" s="2" t="str">
        <f>LEFT(TRIM(MID(SUBSTITUTE(tblShipments5[[#This Row],[Details]],CHAR(10)," "), FIND(CHAR(10),tblShipments5[[#This Row],[Details]])+1, 50)), 10)</f>
        <v>0513021612</v>
      </c>
      <c r="E217" t="s">
        <v>1369</v>
      </c>
      <c r="F21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7" t="str">
        <f>IF(tblShipments5[[#This Row],[EGM no]]="", "Missing EGM", "EGM Submitted")</f>
        <v>EGM Submitted</v>
      </c>
      <c r="H217" t="str">
        <f>IF(OR(ISNUMBER(SEARCH("Released",tblShipments5[[#This Row],[ROSL]])),
      ISNUMBER(SEARCH("Scroll",tblShipments5[[#This Row],[ROSL]])),
      ISNUMBER(SEARCH("Y",tblShipments5[[#This Row],[ROSL]]))),
   "Released",
   "Not Released")</f>
        <v>Released</v>
      </c>
      <c r="I217" t="str">
        <f>IF(OR(tblShipments5[[#This Row],[EGM no]]="", tblShipments5[[#This Row],[EGM no]]="N.A."), "Not Submitted", "Submitted")</f>
        <v>Submitted</v>
      </c>
      <c r="J217" t="str">
        <f>IF(LEFT(tblShipments5[[#This Row],[Gateway_Extracted]],2)="IN","Valid","Invalid")</f>
        <v>Valid</v>
      </c>
      <c r="K217" t="s">
        <v>1364</v>
      </c>
      <c r="L217" t="s">
        <v>1370</v>
      </c>
      <c r="M217" t="s">
        <v>13</v>
      </c>
      <c r="N217" t="s">
        <v>1371</v>
      </c>
      <c r="O217" t="str">
        <f>IFERROR("IN" &amp; _xlfn.TEXTBEFORE(_xlfn.TEXTAFTER(UPPER(tblShipments5[[#This Row],[Gateway_clean]]),"IN")," ",1),"")</f>
        <v>INNSA1</v>
      </c>
      <c r="P217" t="str">
        <f>SUBSTITUTE(tblShipments5[[#This Row],[Gateway]], CHAR(10), " ")</f>
        <v xml:space="preserve">AWB No. Gateway Port Gateway EGM No. Gateway EGM Date Gateway Site ID Error Code N.A.  INNSA1  139792  2017-11-30 00:00:00.0  INNSA1  S </v>
      </c>
      <c r="Q217" t="s">
        <v>1372</v>
      </c>
    </row>
    <row r="218" spans="1:17" x14ac:dyDescent="0.35">
      <c r="A218" t="s">
        <v>8</v>
      </c>
      <c r="B218">
        <v>8035307</v>
      </c>
      <c r="C218" s="2" t="s">
        <v>295</v>
      </c>
      <c r="D218" s="2" t="str">
        <f>LEFT(TRIM(MID(SUBSTITUTE(tblShipments5[[#This Row],[Details]],CHAR(10)," "), FIND(CHAR(10),tblShipments5[[#This Row],[Details]])+1, 50)), 10)</f>
        <v>0513021612</v>
      </c>
      <c r="E218" t="s">
        <v>301</v>
      </c>
      <c r="F21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8" t="str">
        <f>IF(tblShipments5[[#This Row],[EGM no]]="", "Missing EGM", "EGM Submitted")</f>
        <v>EGM Submitted</v>
      </c>
      <c r="H218" t="str">
        <f>IF(OR(ISNUMBER(SEARCH("Released",tblShipments5[[#This Row],[ROSL]])),
      ISNUMBER(SEARCH("Scroll",tblShipments5[[#This Row],[ROSL]])),
      ISNUMBER(SEARCH("Y",tblShipments5[[#This Row],[ROSL]]))),
   "Released",
   "Not Released")</f>
        <v>Released</v>
      </c>
      <c r="I218" t="str">
        <f>IF(OR(tblShipments5[[#This Row],[EGM no]]="", tblShipments5[[#This Row],[EGM no]]="N.A."), "Not Submitted", "Submitted")</f>
        <v>Submitted</v>
      </c>
      <c r="J218" t="str">
        <f>IF(LEFT(tblShipments5[[#This Row],[Gateway_Extracted]],2)="IN","Valid","Invalid")</f>
        <v>Valid</v>
      </c>
      <c r="K218" t="s">
        <v>302</v>
      </c>
      <c r="L218" t="s">
        <v>303</v>
      </c>
      <c r="M218" t="s">
        <v>13</v>
      </c>
      <c r="N218" t="s">
        <v>304</v>
      </c>
      <c r="O218" t="str">
        <f>IFERROR("IN" &amp; _xlfn.TEXTBEFORE(_xlfn.TEXTAFTER(UPPER(tblShipments5[[#This Row],[Gateway_clean]]),"IN")," ",1),"")</f>
        <v>INNSA1</v>
      </c>
      <c r="P218" t="str">
        <f>SUBSTITUTE(tblShipments5[[#This Row],[Gateway]], CHAR(10), " ")</f>
        <v xml:space="preserve">AWB No. Gateway Port Gateway EGM No. Gateway EGM Date Gateway Site ID Error Code N.A.  INNSA1  133314  2017-08-16 00:00:00.0  INNSA1  S </v>
      </c>
      <c r="Q218" t="s">
        <v>305</v>
      </c>
    </row>
    <row r="219" spans="1:17" x14ac:dyDescent="0.35">
      <c r="A219" t="s">
        <v>8</v>
      </c>
      <c r="B219">
        <v>8290768</v>
      </c>
      <c r="C219" s="2" t="s">
        <v>479</v>
      </c>
      <c r="D219" s="2" t="str">
        <f>LEFT(TRIM(MID(SUBSTITUTE(tblShipments5[[#This Row],[Details]],CHAR(10)," "), FIND(CHAR(10),tblShipments5[[#This Row],[Details]])+1, 50)), 10)</f>
        <v>0517513668</v>
      </c>
      <c r="E219" t="s">
        <v>484</v>
      </c>
      <c r="F21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19" t="str">
        <f>IF(tblShipments5[[#This Row],[EGM no]]="", "Missing EGM", "EGM Submitted")</f>
        <v>EGM Submitted</v>
      </c>
      <c r="H219" t="str">
        <f>IF(OR(ISNUMBER(SEARCH("Released",tblShipments5[[#This Row],[ROSL]])),
      ISNUMBER(SEARCH("Scroll",tblShipments5[[#This Row],[ROSL]])),
      ISNUMBER(SEARCH("Y",tblShipments5[[#This Row],[ROSL]]))),
   "Released",
   "Not Released")</f>
        <v>Released</v>
      </c>
      <c r="I219" t="str">
        <f>IF(OR(tblShipments5[[#This Row],[EGM no]]="", tblShipments5[[#This Row],[EGM no]]="N.A."), "Not Submitted", "Submitted")</f>
        <v>Submitted</v>
      </c>
      <c r="J219" t="str">
        <f>IF(LEFT(tblShipments5[[#This Row],[Gateway_Extracted]],2)="IN","Valid","Invalid")</f>
        <v>Valid</v>
      </c>
      <c r="K219" t="s">
        <v>473</v>
      </c>
      <c r="L219" t="s">
        <v>485</v>
      </c>
      <c r="M219" t="s">
        <v>486</v>
      </c>
      <c r="N219" t="s">
        <v>487</v>
      </c>
      <c r="O219" t="str">
        <f>IFERROR("IN" &amp; _xlfn.TEXTBEFORE(_xlfn.TEXTAFTER(UPPER(tblShipments5[[#This Row],[Gateway_clean]]),"IN")," ",1),"")</f>
        <v>INPAV1</v>
      </c>
      <c r="P219" t="str">
        <f>SUBSTITUTE(tblShipments5[[#This Row],[Gateway]], CHAR(10), " ")</f>
        <v xml:space="preserve">AWB No. Gateway Port Gateway EGM No. Gateway EGM Date Gateway Site ID Error Code N.A.  INPAV1  132218  2017-07-26 00:00:00.0  INPAV1  S </v>
      </c>
      <c r="Q219" t="s">
        <v>456</v>
      </c>
    </row>
    <row r="220" spans="1:17" x14ac:dyDescent="0.35">
      <c r="A220" t="s">
        <v>8</v>
      </c>
      <c r="B220">
        <v>8290787</v>
      </c>
      <c r="C220" s="2" t="s">
        <v>479</v>
      </c>
      <c r="D220" s="2" t="str">
        <f>LEFT(TRIM(MID(SUBSTITUTE(tblShipments5[[#This Row],[Details]],CHAR(10)," "), FIND(CHAR(10),tblShipments5[[#This Row],[Details]])+1, 50)), 10)</f>
        <v>0517513668</v>
      </c>
      <c r="E220" t="s">
        <v>488</v>
      </c>
      <c r="F22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0" t="str">
        <f>IF(tblShipments5[[#This Row],[EGM no]]="", "Missing EGM", "EGM Submitted")</f>
        <v>EGM Submitted</v>
      </c>
      <c r="H220" t="str">
        <f>IF(OR(ISNUMBER(SEARCH("Released",tblShipments5[[#This Row],[ROSL]])),
      ISNUMBER(SEARCH("Scroll",tblShipments5[[#This Row],[ROSL]])),
      ISNUMBER(SEARCH("Y",tblShipments5[[#This Row],[ROSL]]))),
   "Released",
   "Not Released")</f>
        <v>Released</v>
      </c>
      <c r="I220" t="str">
        <f>IF(OR(tblShipments5[[#This Row],[EGM no]]="", tblShipments5[[#This Row],[EGM no]]="N.A."), "Not Submitted", "Submitted")</f>
        <v>Submitted</v>
      </c>
      <c r="J220" t="str">
        <f>IF(LEFT(tblShipments5[[#This Row],[Gateway_Extracted]],2)="IN","Valid","Invalid")</f>
        <v>Valid</v>
      </c>
      <c r="K220" t="s">
        <v>473</v>
      </c>
      <c r="L220" t="s">
        <v>485</v>
      </c>
      <c r="M220" t="s">
        <v>486</v>
      </c>
      <c r="N220" t="s">
        <v>487</v>
      </c>
      <c r="O220" t="str">
        <f>IFERROR("IN" &amp; _xlfn.TEXTBEFORE(_xlfn.TEXTAFTER(UPPER(tblShipments5[[#This Row],[Gateway_clean]]),"IN")," ",1),"")</f>
        <v>INPAV1</v>
      </c>
      <c r="P220" t="str">
        <f>SUBSTITUTE(tblShipments5[[#This Row],[Gateway]], CHAR(10), " ")</f>
        <v xml:space="preserve">AWB No. Gateway Port Gateway EGM No. Gateway EGM Date Gateway Site ID Error Code N.A.  INPAV1  132218  2017-07-26 00:00:00.0  INPAV1  S </v>
      </c>
      <c r="Q220" t="s">
        <v>456</v>
      </c>
    </row>
    <row r="221" spans="1:17" x14ac:dyDescent="0.35">
      <c r="A221" t="s">
        <v>8</v>
      </c>
      <c r="B221">
        <v>7852739</v>
      </c>
      <c r="C221" s="2" t="s">
        <v>191</v>
      </c>
      <c r="D221" s="2" t="str">
        <f>LEFT(TRIM(MID(SUBSTITUTE(tblShipments5[[#This Row],[Details]],CHAR(10)," "), FIND(CHAR(10),tblShipments5[[#This Row],[Details]])+1, 50)), 10)</f>
        <v>0500062609</v>
      </c>
      <c r="E221" t="s">
        <v>200</v>
      </c>
      <c r="F22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1" t="str">
        <f>IF(tblShipments5[[#This Row],[EGM no]]="", "Missing EGM", "EGM Submitted")</f>
        <v>EGM Submitted</v>
      </c>
      <c r="H221" t="str">
        <f>IF(OR(ISNUMBER(SEARCH("Released",tblShipments5[[#This Row],[ROSL]])),
      ISNUMBER(SEARCH("Scroll",tblShipments5[[#This Row],[ROSL]])),
      ISNUMBER(SEARCH("Y",tblShipments5[[#This Row],[ROSL]]))),
   "Released",
   "Not Released")</f>
        <v>Released</v>
      </c>
      <c r="I221" t="str">
        <f>IF(OR(tblShipments5[[#This Row],[EGM no]]="", tblShipments5[[#This Row],[EGM no]]="N.A."), "Not Submitted", "Submitted")</f>
        <v>Submitted</v>
      </c>
      <c r="J221" t="str">
        <f>IF(LEFT(tblShipments5[[#This Row],[Gateway_Extracted]],2)="IN","Valid","Invalid")</f>
        <v>Valid</v>
      </c>
      <c r="K221" t="s">
        <v>122</v>
      </c>
      <c r="L221" t="s">
        <v>201</v>
      </c>
      <c r="M221" t="s">
        <v>13</v>
      </c>
      <c r="N221" t="s">
        <v>202</v>
      </c>
      <c r="O221" t="str">
        <f>IFERROR("IN" &amp; _xlfn.TEXTBEFORE(_xlfn.TEXTAFTER(UPPER(tblShipments5[[#This Row],[Gateway_clean]]),"IN")," ",1),"")</f>
        <v>INMUN1</v>
      </c>
      <c r="P221" t="str">
        <f>SUBSTITUTE(tblShipments5[[#This Row],[Gateway]], CHAR(10), " ")</f>
        <v xml:space="preserve">AWB No. Gateway Port Gateway EGM No. Gateway EGM Date Gateway Site ID Error Code N.A.  INMUN1  133567  2017-08-18 00:00:00.0  INMUN1  S </v>
      </c>
      <c r="Q221" t="s">
        <v>203</v>
      </c>
    </row>
    <row r="222" spans="1:17" x14ac:dyDescent="0.35">
      <c r="A222" t="s">
        <v>8</v>
      </c>
      <c r="B222">
        <v>8091385</v>
      </c>
      <c r="C222" s="2" t="s">
        <v>334</v>
      </c>
      <c r="D222" s="2" t="str">
        <f>LEFT(TRIM(MID(SUBSTITUTE(tblShipments5[[#This Row],[Details]],CHAR(10)," "), FIND(CHAR(10),tblShipments5[[#This Row],[Details]])+1, 50)), 10)</f>
        <v>0512002835</v>
      </c>
      <c r="E222" t="s">
        <v>343</v>
      </c>
      <c r="F22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2" t="str">
        <f>IF(tblShipments5[[#This Row],[EGM no]]="", "Missing EGM", "EGM Submitted")</f>
        <v>EGM Submitted</v>
      </c>
      <c r="H222" t="str">
        <f>IF(OR(ISNUMBER(SEARCH("Released",tblShipments5[[#This Row],[ROSL]])),
      ISNUMBER(SEARCH("Scroll",tblShipments5[[#This Row],[ROSL]])),
      ISNUMBER(SEARCH("Y",tblShipments5[[#This Row],[ROSL]]))),
   "Released",
   "Not Released")</f>
        <v>Released</v>
      </c>
      <c r="I222" t="str">
        <f>IF(OR(tblShipments5[[#This Row],[EGM no]]="", tblShipments5[[#This Row],[EGM no]]="N.A."), "Not Submitted", "Submitted")</f>
        <v>Submitted</v>
      </c>
      <c r="J222" t="str">
        <f>IF(LEFT(tblShipments5[[#This Row],[Gateway_Extracted]],2)="IN","Valid","Invalid")</f>
        <v>Valid</v>
      </c>
      <c r="K222" t="s">
        <v>307</v>
      </c>
      <c r="L222" t="s">
        <v>344</v>
      </c>
      <c r="M222" t="s">
        <v>13</v>
      </c>
      <c r="N222" t="s">
        <v>345</v>
      </c>
      <c r="O222" t="str">
        <f>IFERROR("IN" &amp; _xlfn.TEXTBEFORE(_xlfn.TEXTAFTER(UPPER(tblShipments5[[#This Row],[Gateway_clean]]),"IN")," ",1),"")</f>
        <v>INMUN1</v>
      </c>
      <c r="P222" t="str">
        <f>SUBSTITUTE(tblShipments5[[#This Row],[Gateway]], CHAR(10), " ")</f>
        <v xml:space="preserve">AWB No. Gateway Port Gateway EGM No. Gateway EGM Date Gateway Site ID Error Code N.A.  INMUN1  N.A.  N.A.  N.A.  N.A. </v>
      </c>
      <c r="Q222" t="s">
        <v>244</v>
      </c>
    </row>
    <row r="223" spans="1:17" x14ac:dyDescent="0.35">
      <c r="A223" t="s">
        <v>8</v>
      </c>
      <c r="B223">
        <v>7877440</v>
      </c>
      <c r="C223" s="2" t="s">
        <v>208</v>
      </c>
      <c r="D223" s="2" t="str">
        <f>LEFT(TRIM(MID(SUBSTITUTE(tblShipments5[[#This Row],[Details]],CHAR(10)," "), FIND(CHAR(10),tblShipments5[[#This Row],[Details]])+1, 50)), 10)</f>
        <v>0515918024</v>
      </c>
      <c r="E223" t="s">
        <v>209</v>
      </c>
      <c r="F22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3" t="str">
        <f>IF(tblShipments5[[#This Row],[EGM no]]="", "Missing EGM", "EGM Submitted")</f>
        <v>EGM Submitted</v>
      </c>
      <c r="H223" t="str">
        <f>IF(OR(ISNUMBER(SEARCH("Released",tblShipments5[[#This Row],[ROSL]])),
      ISNUMBER(SEARCH("Scroll",tblShipments5[[#This Row],[ROSL]])),
      ISNUMBER(SEARCH("Y",tblShipments5[[#This Row],[ROSL]]))),
   "Released",
   "Not Released")</f>
        <v>Released</v>
      </c>
      <c r="I223" t="str">
        <f>IF(OR(tblShipments5[[#This Row],[EGM no]]="", tblShipments5[[#This Row],[EGM no]]="N.A."), "Not Submitted", "Submitted")</f>
        <v>Submitted</v>
      </c>
      <c r="J223" t="str">
        <f>IF(LEFT(tblShipments5[[#This Row],[Gateway_Extracted]],2)="IN","Valid","Invalid")</f>
        <v>Valid</v>
      </c>
      <c r="K223" t="s">
        <v>136</v>
      </c>
      <c r="L223" t="s">
        <v>210</v>
      </c>
      <c r="M223" t="s">
        <v>13</v>
      </c>
      <c r="N223" t="s">
        <v>211</v>
      </c>
      <c r="O223" t="str">
        <f>IFERROR("IN" &amp; _xlfn.TEXTBEFORE(_xlfn.TEXTAFTER(UPPER(tblShipments5[[#This Row],[Gateway_clean]]),"IN")," ",1),"")</f>
        <v>INMUN1</v>
      </c>
      <c r="P223" t="str">
        <f>SUBSTITUTE(tblShipments5[[#This Row],[Gateway]], CHAR(10), " ")</f>
        <v xml:space="preserve">AWB No. Gateway Port Gateway EGM No. Gateway EGM Date Gateway Site ID Error Code N.A.  INMUN1  137180  2017-10-18 00:00:00.0  INMUN1  ST </v>
      </c>
      <c r="Q223" t="s">
        <v>212</v>
      </c>
    </row>
    <row r="224" spans="1:17" x14ac:dyDescent="0.35">
      <c r="A224" t="s">
        <v>8</v>
      </c>
      <c r="B224">
        <v>8022473</v>
      </c>
      <c r="C224" s="2" t="s">
        <v>295</v>
      </c>
      <c r="D224" s="2" t="str">
        <f>LEFT(TRIM(MID(SUBSTITUTE(tblShipments5[[#This Row],[Details]],CHAR(10)," "), FIND(CHAR(10),tblShipments5[[#This Row],[Details]])+1, 50)), 10)</f>
        <v>0512062013</v>
      </c>
      <c r="E224" t="s">
        <v>296</v>
      </c>
      <c r="F22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4" t="str">
        <f>IF(tblShipments5[[#This Row],[EGM no]]="", "Missing EGM", "EGM Submitted")</f>
        <v>EGM Submitted</v>
      </c>
      <c r="H224" t="str">
        <f>IF(OR(ISNUMBER(SEARCH("Released",tblShipments5[[#This Row],[ROSL]])),
      ISNUMBER(SEARCH("Scroll",tblShipments5[[#This Row],[ROSL]])),
      ISNUMBER(SEARCH("Y",tblShipments5[[#This Row],[ROSL]]))),
   "Released",
   "Not Released")</f>
        <v>Released</v>
      </c>
      <c r="I224" t="str">
        <f>IF(OR(tblShipments5[[#This Row],[EGM no]]="", tblShipments5[[#This Row],[EGM no]]="N.A."), "Not Submitted", "Submitted")</f>
        <v>Submitted</v>
      </c>
      <c r="J224" t="str">
        <f>IF(LEFT(tblShipments5[[#This Row],[Gateway_Extracted]],2)="IN","Valid","Invalid")</f>
        <v>Valid</v>
      </c>
      <c r="K224" t="s">
        <v>297</v>
      </c>
      <c r="L224" t="s">
        <v>298</v>
      </c>
      <c r="M224" t="s">
        <v>13</v>
      </c>
      <c r="N224" t="s">
        <v>299</v>
      </c>
      <c r="O224" t="str">
        <f>IFERROR("IN" &amp; _xlfn.TEXTBEFORE(_xlfn.TEXTAFTER(UPPER(tblShipments5[[#This Row],[Gateway_clean]]),"IN")," ",1),"")</f>
        <v>INNSA1</v>
      </c>
      <c r="P224" t="str">
        <f>SUBSTITUTE(tblShipments5[[#This Row],[Gateway]], CHAR(10), " ")</f>
        <v xml:space="preserve">AWB No. Gateway Port Gateway EGM No. Gateway EGM Date Gateway Site ID Error Code N.A.  INNSA1  134040  2017-08-28 00:00:00.0  INNSA1  S </v>
      </c>
      <c r="Q224" t="s">
        <v>300</v>
      </c>
    </row>
    <row r="225" spans="1:17" x14ac:dyDescent="0.35">
      <c r="A225" t="s">
        <v>8</v>
      </c>
      <c r="B225">
        <v>9721864</v>
      </c>
      <c r="C225" s="2" t="s">
        <v>1156</v>
      </c>
      <c r="D225" s="2" t="str">
        <f>LEFT(TRIM(MID(SUBSTITUTE(tblShipments5[[#This Row],[Details]],CHAR(10)," "), FIND(CHAR(10),tblShipments5[[#This Row],[Details]])+1, 50)), 10)</f>
        <v>0598032801</v>
      </c>
      <c r="E225" t="s">
        <v>1157</v>
      </c>
      <c r="F22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5" t="str">
        <f>IF(tblShipments5[[#This Row],[EGM no]]="", "Missing EGM", "EGM Submitted")</f>
        <v>EGM Submitted</v>
      </c>
      <c r="H225" t="str">
        <f>IF(OR(ISNUMBER(SEARCH("Released",tblShipments5[[#This Row],[ROSL]])),
      ISNUMBER(SEARCH("Scroll",tblShipments5[[#This Row],[ROSL]])),
      ISNUMBER(SEARCH("Y",tblShipments5[[#This Row],[ROSL]]))),
   "Released",
   "Not Released")</f>
        <v>Released</v>
      </c>
      <c r="I225" t="str">
        <f>IF(OR(tblShipments5[[#This Row],[EGM no]]="", tblShipments5[[#This Row],[EGM no]]="N.A."), "Not Submitted", "Submitted")</f>
        <v>Submitted</v>
      </c>
      <c r="J225" t="str">
        <f>IF(LEFT(tblShipments5[[#This Row],[Gateway_Extracted]],2)="IN","Valid","Invalid")</f>
        <v>Valid</v>
      </c>
      <c r="K225" t="s">
        <v>1123</v>
      </c>
      <c r="L225" t="s">
        <v>1158</v>
      </c>
      <c r="M225" t="s">
        <v>13</v>
      </c>
      <c r="N225" t="s">
        <v>1159</v>
      </c>
      <c r="O225" t="str">
        <f>IFERROR("IN" &amp; _xlfn.TEXTBEFORE(_xlfn.TEXTAFTER(UPPER(tblShipments5[[#This Row],[Gateway_clean]]),"IN")," ",1),"")</f>
        <v>INMUN1</v>
      </c>
      <c r="P225" t="str">
        <f>SUBSTITUTE(tblShipments5[[#This Row],[Gateway]], CHAR(10), " ")</f>
        <v xml:space="preserve">AWB No. Gateway Port Gateway EGM No. Gateway EGM Date Gateway Site ID Error Code N.A.  INMUN1  138363  2017-11-07 00:00:00.0  INMUN1  S </v>
      </c>
      <c r="Q225" t="s">
        <v>1160</v>
      </c>
    </row>
    <row r="226" spans="1:17" x14ac:dyDescent="0.35">
      <c r="A226" t="s">
        <v>8</v>
      </c>
      <c r="B226">
        <v>9786910</v>
      </c>
      <c r="C226" s="2" t="s">
        <v>1188</v>
      </c>
      <c r="D226" s="2" t="str">
        <f>LEFT(TRIM(MID(SUBSTITUTE(tblShipments5[[#This Row],[Details]],CHAR(10)," "), FIND(CHAR(10),tblShipments5[[#This Row],[Details]])+1, 50)), 10)</f>
        <v>0515019372</v>
      </c>
      <c r="E226" t="s">
        <v>1189</v>
      </c>
      <c r="F22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6" t="str">
        <f>IF(tblShipments5[[#This Row],[EGM no]]="", "Missing EGM", "EGM Submitted")</f>
        <v>EGM Submitted</v>
      </c>
      <c r="H226" t="str">
        <f>IF(OR(ISNUMBER(SEARCH("Released",tblShipments5[[#This Row],[ROSL]])),
      ISNUMBER(SEARCH("Scroll",tblShipments5[[#This Row],[ROSL]])),
      ISNUMBER(SEARCH("Y",tblShipments5[[#This Row],[ROSL]]))),
   "Released",
   "Not Released")</f>
        <v>Released</v>
      </c>
      <c r="I226" t="str">
        <f>IF(OR(tblShipments5[[#This Row],[EGM no]]="", tblShipments5[[#This Row],[EGM no]]="N.A."), "Not Submitted", "Submitted")</f>
        <v>Submitted</v>
      </c>
      <c r="J226" t="str">
        <f>IF(LEFT(tblShipments5[[#This Row],[Gateway_Extracted]],2)="IN","Valid","Invalid")</f>
        <v>Valid</v>
      </c>
      <c r="K226" t="s">
        <v>1108</v>
      </c>
      <c r="L226" t="s">
        <v>1190</v>
      </c>
      <c r="M226" t="s">
        <v>13</v>
      </c>
      <c r="N226" t="s">
        <v>1191</v>
      </c>
      <c r="O226" t="str">
        <f>IFERROR("IN" &amp; _xlfn.TEXTBEFORE(_xlfn.TEXTAFTER(UPPER(tblShipments5[[#This Row],[Gateway_clean]]),"IN")," ",1),"")</f>
        <v>INMUN1</v>
      </c>
      <c r="P226" t="str">
        <f>SUBSTITUTE(tblShipments5[[#This Row],[Gateway]], CHAR(10), " ")</f>
        <v xml:space="preserve">AWB No. Gateway Port Gateway EGM No. Gateway EGM Date Gateway Site ID Error Code N.A.  INMUN1  139000  2017-11-17 00:00:00.0  INMUN1  S </v>
      </c>
      <c r="Q226" t="s">
        <v>1192</v>
      </c>
    </row>
    <row r="227" spans="1:17" x14ac:dyDescent="0.35">
      <c r="A227" t="s">
        <v>8</v>
      </c>
      <c r="B227">
        <v>1274037</v>
      </c>
      <c r="C227" s="2" t="s">
        <v>1373</v>
      </c>
      <c r="D227" s="2" t="str">
        <f>LEFT(TRIM(MID(SUBSTITUTE(tblShipments5[[#This Row],[Details]],CHAR(10)," "), FIND(CHAR(10),tblShipments5[[#This Row],[Details]])+1, 50)), 10)</f>
        <v>0504077104</v>
      </c>
      <c r="E227" t="s">
        <v>1378</v>
      </c>
      <c r="F22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7" t="str">
        <f>IF(tblShipments5[[#This Row],[EGM no]]="", "Missing EGM", "EGM Submitted")</f>
        <v>EGM Submitted</v>
      </c>
      <c r="H227" t="str">
        <f>IF(OR(ISNUMBER(SEARCH("Released",tblShipments5[[#This Row],[ROSL]])),
      ISNUMBER(SEARCH("Scroll",tblShipments5[[#This Row],[ROSL]])),
      ISNUMBER(SEARCH("Y",tblShipments5[[#This Row],[ROSL]]))),
   "Released",
   "Not Released")</f>
        <v>Released</v>
      </c>
      <c r="I227" t="str">
        <f>IF(OR(tblShipments5[[#This Row],[EGM no]]="", tblShipments5[[#This Row],[EGM no]]="N.A."), "Not Submitted", "Submitted")</f>
        <v>Submitted</v>
      </c>
      <c r="J227" t="str">
        <f>IF(LEFT(tblShipments5[[#This Row],[Gateway_Extracted]],2)="IN","Valid","Invalid")</f>
        <v>Valid</v>
      </c>
      <c r="K227" t="s">
        <v>1379</v>
      </c>
      <c r="L227" t="s">
        <v>1380</v>
      </c>
      <c r="M227" t="s">
        <v>13</v>
      </c>
      <c r="N227" t="s">
        <v>1381</v>
      </c>
      <c r="O227" t="str">
        <f>IFERROR("IN" &amp; _xlfn.TEXTBEFORE(_xlfn.TEXTAFTER(UPPER(tblShipments5[[#This Row],[Gateway_clean]]),"IN")," ",1),"")</f>
        <v>INMUN1</v>
      </c>
      <c r="P227" t="str">
        <f>SUBSTITUTE(tblShipments5[[#This Row],[Gateway]], CHAR(10), " ")</f>
        <v xml:space="preserve">AWB No. Gateway Port Gateway EGM No. Gateway EGM Date Gateway Site ID Error Code N.A.  INMUN1  140925  2017-12-19 00:00:00.0  INMUN1  S </v>
      </c>
      <c r="Q227" t="s">
        <v>1382</v>
      </c>
    </row>
    <row r="228" spans="1:17" x14ac:dyDescent="0.35">
      <c r="A228" t="s">
        <v>8</v>
      </c>
      <c r="B228">
        <v>7944561</v>
      </c>
      <c r="C228" s="2" t="s">
        <v>239</v>
      </c>
      <c r="D228" s="2" t="str">
        <f>LEFT(TRIM(MID(SUBSTITUTE(tblShipments5[[#This Row],[Details]],CHAR(10)," "), FIND(CHAR(10),tblShipments5[[#This Row],[Details]])+1, 50)), 10)</f>
        <v>0514026804</v>
      </c>
      <c r="E228" t="s">
        <v>247</v>
      </c>
      <c r="F22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8" t="str">
        <f>IF(tblShipments5[[#This Row],[EGM no]]="", "Missing EGM", "EGM Submitted")</f>
        <v>EGM Submitted</v>
      </c>
      <c r="H228" t="str">
        <f>IF(OR(ISNUMBER(SEARCH("Released",tblShipments5[[#This Row],[ROSL]])),
      ISNUMBER(SEARCH("Scroll",tblShipments5[[#This Row],[ROSL]])),
      ISNUMBER(SEARCH("Y",tblShipments5[[#This Row],[ROSL]]))),
   "Released",
   "Not Released")</f>
        <v>Released</v>
      </c>
      <c r="I228" t="str">
        <f>IF(OR(tblShipments5[[#This Row],[EGM no]]="", tblShipments5[[#This Row],[EGM no]]="N.A."), "Not Submitted", "Submitted")</f>
        <v>Submitted</v>
      </c>
      <c r="J228" t="str">
        <f>IF(LEFT(tblShipments5[[#This Row],[Gateway_Extracted]],2)="IN","Valid","Invalid")</f>
        <v>Valid</v>
      </c>
      <c r="K228" t="s">
        <v>248</v>
      </c>
      <c r="L228" t="s">
        <v>249</v>
      </c>
      <c r="M228" t="s">
        <v>13</v>
      </c>
      <c r="N228" t="s">
        <v>250</v>
      </c>
      <c r="O228" t="str">
        <f>IFERROR("IN" &amp; _xlfn.TEXTBEFORE(_xlfn.TEXTAFTER(UPPER(tblShipments5[[#This Row],[Gateway_clean]]),"IN")," ",1),"")</f>
        <v>INMUN1</v>
      </c>
      <c r="P228" t="str">
        <f>SUBSTITUTE(tblShipments5[[#This Row],[Gateway]], CHAR(10), " ")</f>
        <v xml:space="preserve">AWB No. Gateway Port Gateway EGM No. Gateway EGM Date Gateway Site ID Error Code N.A.  INMUN1  134209  2017-08-30 00:00:00.0  INMUN1  NC </v>
      </c>
      <c r="Q228" t="s">
        <v>251</v>
      </c>
    </row>
    <row r="229" spans="1:17" x14ac:dyDescent="0.35">
      <c r="A229" t="s">
        <v>8</v>
      </c>
      <c r="B229">
        <v>8898683</v>
      </c>
      <c r="C229" s="2" t="s">
        <v>835</v>
      </c>
      <c r="D229" s="2" t="str">
        <f>LEFT(TRIM(MID(SUBSTITUTE(tblShipments5[[#This Row],[Details]],CHAR(10)," "), FIND(CHAR(10),tblShipments5[[#This Row],[Details]])+1, 50)), 10)</f>
        <v>0594048621</v>
      </c>
      <c r="E229" t="s">
        <v>836</v>
      </c>
      <c r="F22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29" t="str">
        <f>IF(tblShipments5[[#This Row],[EGM no]]="", "Missing EGM", "EGM Submitted")</f>
        <v>EGM Submitted</v>
      </c>
      <c r="H229" t="str">
        <f>IF(OR(ISNUMBER(SEARCH("Released",tblShipments5[[#This Row],[ROSL]])),
      ISNUMBER(SEARCH("Scroll",tblShipments5[[#This Row],[ROSL]])),
      ISNUMBER(SEARCH("Y",tblShipments5[[#This Row],[ROSL]]))),
   "Released",
   "Not Released")</f>
        <v>Released</v>
      </c>
      <c r="I229" t="str">
        <f>IF(OR(tblShipments5[[#This Row],[EGM no]]="", tblShipments5[[#This Row],[EGM no]]="N.A."), "Not Submitted", "Submitted")</f>
        <v>Submitted</v>
      </c>
      <c r="J229" t="str">
        <f>IF(LEFT(tblShipments5[[#This Row],[Gateway_Extracted]],2)="IN","Valid","Invalid")</f>
        <v>Valid</v>
      </c>
      <c r="K229" t="s">
        <v>837</v>
      </c>
      <c r="L229" t="s">
        <v>838</v>
      </c>
      <c r="M229" t="s">
        <v>13</v>
      </c>
      <c r="N229" t="s">
        <v>839</v>
      </c>
      <c r="O229" t="str">
        <f>IFERROR("IN" &amp; _xlfn.TEXTBEFORE(_xlfn.TEXTAFTER(UPPER(tblShipments5[[#This Row],[Gateway_clean]]),"IN")," ",1),"")</f>
        <v>INMUN1</v>
      </c>
      <c r="P229" t="str">
        <f>SUBSTITUTE(tblShipments5[[#This Row],[Gateway]], CHAR(10), " ")</f>
        <v xml:space="preserve">AWB No. Gateway Port Gateway EGM No. Gateway EGM Date Gateway Site ID Error Code N.A.  INMUN1  135372  2017-09-19 00:00:00.0  INMUN1  S </v>
      </c>
      <c r="Q229" t="s">
        <v>840</v>
      </c>
    </row>
    <row r="230" spans="1:17" x14ac:dyDescent="0.35">
      <c r="A230" t="s">
        <v>8</v>
      </c>
      <c r="B230">
        <v>7849871</v>
      </c>
      <c r="C230" s="2" t="s">
        <v>191</v>
      </c>
      <c r="D230" s="2" t="str">
        <f>LEFT(TRIM(MID(SUBSTITUTE(tblShipments5[[#This Row],[Details]],CHAR(10)," "), FIND(CHAR(10),tblShipments5[[#This Row],[Details]])+1, 50)), 10)</f>
        <v>0593056868</v>
      </c>
      <c r="E230" t="s">
        <v>195</v>
      </c>
      <c r="F23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0" t="str">
        <f>IF(tblShipments5[[#This Row],[EGM no]]="", "Missing EGM", "EGM Submitted")</f>
        <v>EGM Submitted</v>
      </c>
      <c r="H230" t="str">
        <f>IF(OR(ISNUMBER(SEARCH("Released",tblShipments5[[#This Row],[ROSL]])),
      ISNUMBER(SEARCH("Scroll",tblShipments5[[#This Row],[ROSL]])),
      ISNUMBER(SEARCH("Y",tblShipments5[[#This Row],[ROSL]]))),
   "Released",
   "Not Released")</f>
        <v>Released</v>
      </c>
      <c r="I230" t="str">
        <f>IF(OR(tblShipments5[[#This Row],[EGM no]]="", tblShipments5[[#This Row],[EGM no]]="N.A."), "Not Submitted", "Submitted")</f>
        <v>Submitted</v>
      </c>
      <c r="J230" t="str">
        <f>IF(LEFT(tblShipments5[[#This Row],[Gateway_Extracted]],2)="IN","Valid","Invalid")</f>
        <v>Valid</v>
      </c>
      <c r="K230" t="s">
        <v>196</v>
      </c>
      <c r="L230" t="s">
        <v>197</v>
      </c>
      <c r="M230" t="s">
        <v>13</v>
      </c>
      <c r="N230" t="s">
        <v>198</v>
      </c>
      <c r="O230" t="str">
        <f>IFERROR("IN" &amp; _xlfn.TEXTBEFORE(_xlfn.TEXTAFTER(UPPER(tblShipments5[[#This Row],[Gateway_clean]]),"IN")," ",1),"")</f>
        <v>INMUN1</v>
      </c>
      <c r="P230" t="str">
        <f>SUBSTITUTE(tblShipments5[[#This Row],[Gateway]], CHAR(10), " ")</f>
        <v xml:space="preserve">AWB No. Gateway Port Gateway EGM No. Gateway EGM Date Gateway Site ID Error Code N.A.  INMUN1  133184  2017-08-11 00:00:00.0  INMUN1  S </v>
      </c>
      <c r="Q230" t="s">
        <v>199</v>
      </c>
    </row>
    <row r="231" spans="1:17" x14ac:dyDescent="0.35">
      <c r="A231" t="s">
        <v>8</v>
      </c>
      <c r="B231">
        <v>1223387</v>
      </c>
      <c r="C231" s="2" t="s">
        <v>1314</v>
      </c>
      <c r="D231" s="2" t="str">
        <f>LEFT(TRIM(MID(SUBSTITUTE(tblShipments5[[#This Row],[Details]],CHAR(10)," "), FIND(CHAR(10),tblShipments5[[#This Row],[Details]])+1, 50)), 10)</f>
        <v>0511068212</v>
      </c>
      <c r="E231" t="s">
        <v>1331</v>
      </c>
      <c r="F23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1" t="str">
        <f>IF(tblShipments5[[#This Row],[EGM no]]="", "Missing EGM", "EGM Submitted")</f>
        <v>EGM Submitted</v>
      </c>
      <c r="H231" t="str">
        <f>IF(OR(ISNUMBER(SEARCH("Released",tblShipments5[[#This Row],[ROSL]])),
      ISNUMBER(SEARCH("Scroll",tblShipments5[[#This Row],[ROSL]])),
      ISNUMBER(SEARCH("Y",tblShipments5[[#This Row],[ROSL]]))),
   "Released",
   "Not Released")</f>
        <v>Released</v>
      </c>
      <c r="I231" t="str">
        <f>IF(OR(tblShipments5[[#This Row],[EGM no]]="", tblShipments5[[#This Row],[EGM no]]="N.A."), "Not Submitted", "Submitted")</f>
        <v>Submitted</v>
      </c>
      <c r="J231" t="str">
        <f>IF(LEFT(tblShipments5[[#This Row],[Gateway_Extracted]],2)="IN","Valid","Invalid")</f>
        <v>Valid</v>
      </c>
      <c r="K231" t="s">
        <v>1332</v>
      </c>
      <c r="L231" t="s">
        <v>1333</v>
      </c>
      <c r="M231" t="s">
        <v>13</v>
      </c>
      <c r="N231" t="s">
        <v>1334</v>
      </c>
      <c r="O231" t="str">
        <f>IFERROR("IN" &amp; _xlfn.TEXTBEFORE(_xlfn.TEXTAFTER(UPPER(tblShipments5[[#This Row],[Gateway_clean]]),"IN")," ",1),"")</f>
        <v>INNSA1</v>
      </c>
      <c r="P231" t="str">
        <f>SUBSTITUTE(tblShipments5[[#This Row],[Gateway]], CHAR(10), " ")</f>
        <v xml:space="preserve">AWB No. Gateway Port Gateway EGM No. Gateway EGM Date Gateway Site ID Error Code N.A.  INNSA1  139773  2017-11-29 00:00:00.0  INNSA1  S </v>
      </c>
      <c r="Q231" t="s">
        <v>1335</v>
      </c>
    </row>
    <row r="232" spans="1:17" x14ac:dyDescent="0.35">
      <c r="A232" t="s">
        <v>8</v>
      </c>
      <c r="B232">
        <v>8338807</v>
      </c>
      <c r="C232" s="2" t="s">
        <v>498</v>
      </c>
      <c r="D232" s="2" t="str">
        <f>LEFT(TRIM(MID(SUBSTITUTE(tblShipments5[[#This Row],[Details]],CHAR(10)," "), FIND(CHAR(10),tblShipments5[[#This Row],[Details]])+1, 50)), 10)</f>
        <v>0516954725</v>
      </c>
      <c r="E232" t="s">
        <v>517</v>
      </c>
      <c r="F23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2" t="str">
        <f>IF(tblShipments5[[#This Row],[EGM no]]="", "Missing EGM", "EGM Submitted")</f>
        <v>EGM Submitted</v>
      </c>
      <c r="H232" t="str">
        <f>IF(OR(ISNUMBER(SEARCH("Released",tblShipments5[[#This Row],[ROSL]])),
      ISNUMBER(SEARCH("Scroll",tblShipments5[[#This Row],[ROSL]])),
      ISNUMBER(SEARCH("Y",tblShipments5[[#This Row],[ROSL]]))),
   "Released",
   "Not Released")</f>
        <v>Released</v>
      </c>
      <c r="I232" t="str">
        <f>IF(OR(tblShipments5[[#This Row],[EGM no]]="", tblShipments5[[#This Row],[EGM no]]="N.A."), "Not Submitted", "Submitted")</f>
        <v>Submitted</v>
      </c>
      <c r="J232" t="str">
        <f>IF(LEFT(tblShipments5[[#This Row],[Gateway_Extracted]],2)="IN","Valid","Invalid")</f>
        <v>Valid</v>
      </c>
      <c r="K232" t="s">
        <v>518</v>
      </c>
      <c r="L232" t="s">
        <v>519</v>
      </c>
      <c r="M232" t="s">
        <v>31</v>
      </c>
      <c r="N232" t="s">
        <v>520</v>
      </c>
      <c r="O232" t="str">
        <f>IFERROR("IN" &amp; _xlfn.TEXTBEFORE(_xlfn.TEXTAFTER(UPPER(tblShipments5[[#This Row],[Gateway_clean]]),"IN")," ",1),"")</f>
        <v>INMUN1</v>
      </c>
      <c r="P232" t="str">
        <f>SUBSTITUTE(tblShipments5[[#This Row],[Gateway]], CHAR(10), " ")</f>
        <v xml:space="preserve">AWB No. Gateway Port Gateway EGM No. Gateway EGM Date Gateway Site ID Error Code N.A.  INMUN1  134870  2017-09-11 00:00:00.0  INMUN1  S </v>
      </c>
      <c r="Q232" t="s">
        <v>521</v>
      </c>
    </row>
    <row r="233" spans="1:17" x14ac:dyDescent="0.35">
      <c r="A233" t="s">
        <v>8</v>
      </c>
      <c r="B233">
        <v>1310855</v>
      </c>
      <c r="C233" s="2" t="s">
        <v>1393</v>
      </c>
      <c r="D233" s="2" t="str">
        <f>LEFT(TRIM(MID(SUBSTITUTE(tblShipments5[[#This Row],[Details]],CHAR(10)," "), FIND(CHAR(10),tblShipments5[[#This Row],[Details]])+1, 50)), 10)</f>
        <v>0516954725</v>
      </c>
      <c r="E233" t="s">
        <v>1394</v>
      </c>
      <c r="F23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3" t="str">
        <f>IF(tblShipments5[[#This Row],[EGM no]]="", "Missing EGM", "EGM Submitted")</f>
        <v>EGM Submitted</v>
      </c>
      <c r="H233" t="str">
        <f>IF(OR(ISNUMBER(SEARCH("Released",tblShipments5[[#This Row],[ROSL]])),
      ISNUMBER(SEARCH("Scroll",tblShipments5[[#This Row],[ROSL]])),
      ISNUMBER(SEARCH("Y",tblShipments5[[#This Row],[ROSL]]))),
   "Released",
   "Not Released")</f>
        <v>Released</v>
      </c>
      <c r="I233" t="str">
        <f>IF(OR(tblShipments5[[#This Row],[EGM no]]="", tblShipments5[[#This Row],[EGM no]]="N.A."), "Not Submitted", "Submitted")</f>
        <v>Submitted</v>
      </c>
      <c r="J233" t="str">
        <f>IF(LEFT(tblShipments5[[#This Row],[Gateway_Extracted]],2)="IN","Valid","Invalid")</f>
        <v>Valid</v>
      </c>
      <c r="K233" t="s">
        <v>1395</v>
      </c>
      <c r="L233" t="s">
        <v>1396</v>
      </c>
      <c r="M233" t="s">
        <v>31</v>
      </c>
      <c r="N233" t="s">
        <v>1397</v>
      </c>
      <c r="O233" t="str">
        <f>IFERROR("IN" &amp; _xlfn.TEXTBEFORE(_xlfn.TEXTAFTER(UPPER(tblShipments5[[#This Row],[Gateway_clean]]),"IN")," ",1),"")</f>
        <v>INNSA1</v>
      </c>
      <c r="P233" t="str">
        <f>SUBSTITUTE(tblShipments5[[#This Row],[Gateway]], CHAR(10), " ")</f>
        <v xml:space="preserve">AWB No. Gateway Port Gateway EGM No. Gateway EGM Date Gateway Site ID Error Code N.A.  INNSA1  140041  2017-12-05 00:00:00.0  INNSA1  S </v>
      </c>
      <c r="Q233" t="s">
        <v>1398</v>
      </c>
    </row>
    <row r="234" spans="1:17" x14ac:dyDescent="0.35">
      <c r="A234" t="s">
        <v>8</v>
      </c>
      <c r="B234">
        <v>9096262</v>
      </c>
      <c r="C234" s="2" t="s">
        <v>939</v>
      </c>
      <c r="D234" s="2" t="str">
        <f>LEFT(TRIM(MID(SUBSTITUTE(tblShipments5[[#This Row],[Details]],CHAR(10)," "), FIND(CHAR(10),tblShipments5[[#This Row],[Details]])+1, 50)), 10)</f>
        <v>0588128180</v>
      </c>
      <c r="E234" t="s">
        <v>953</v>
      </c>
      <c r="F23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4" t="str">
        <f>IF(tblShipments5[[#This Row],[EGM no]]="", "Missing EGM", "EGM Submitted")</f>
        <v>EGM Submitted</v>
      </c>
      <c r="H234" t="str">
        <f>IF(OR(ISNUMBER(SEARCH("Released",tblShipments5[[#This Row],[ROSL]])),
      ISNUMBER(SEARCH("Scroll",tblShipments5[[#This Row],[ROSL]])),
      ISNUMBER(SEARCH("Y",tblShipments5[[#This Row],[ROSL]]))),
   "Released",
   "Not Released")</f>
        <v>Released</v>
      </c>
      <c r="I234" t="str">
        <f>IF(OR(tblShipments5[[#This Row],[EGM no]]="", tblShipments5[[#This Row],[EGM no]]="N.A."), "Not Submitted", "Submitted")</f>
        <v>Submitted</v>
      </c>
      <c r="J234" t="str">
        <f>IF(LEFT(tblShipments5[[#This Row],[Gateway_Extracted]],2)="IN","Valid","Invalid")</f>
        <v>Valid</v>
      </c>
      <c r="K234" t="s">
        <v>887</v>
      </c>
      <c r="L234" t="s">
        <v>954</v>
      </c>
      <c r="M234" t="s">
        <v>13</v>
      </c>
      <c r="N234" t="s">
        <v>955</v>
      </c>
      <c r="O234" t="str">
        <f>IFERROR("IN" &amp; _xlfn.TEXTBEFORE(_xlfn.TEXTAFTER(UPPER(tblShipments5[[#This Row],[Gateway_clean]]),"IN")," ",1),"")</f>
        <v>INMUN1</v>
      </c>
      <c r="P234" t="str">
        <f>SUBSTITUTE(tblShipments5[[#This Row],[Gateway]], CHAR(10), " ")</f>
        <v xml:space="preserve">AWB No. Gateway Port Gateway EGM No. Gateway EGM Date Gateway Site ID Error Code N.A.  INMUN1  136910  2017-10-13 00:00:00.0  INMUN1  S </v>
      </c>
      <c r="Q234" t="s">
        <v>956</v>
      </c>
    </row>
    <row r="235" spans="1:17" x14ac:dyDescent="0.35">
      <c r="A235" t="s">
        <v>8</v>
      </c>
      <c r="B235">
        <v>1350667</v>
      </c>
      <c r="C235" s="2" t="s">
        <v>1415</v>
      </c>
      <c r="D235" s="2" t="str">
        <f>LEFT(TRIM(MID(SUBSTITUTE(tblShipments5[[#This Row],[Details]],CHAR(10)," "), FIND(CHAR(10),tblShipments5[[#This Row],[Details]])+1, 50)), 10)</f>
        <v>0588128180</v>
      </c>
      <c r="E235" t="s">
        <v>1431</v>
      </c>
      <c r="F23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5" t="str">
        <f>IF(tblShipments5[[#This Row],[EGM no]]="", "Missing EGM", "EGM Submitted")</f>
        <v>EGM Submitted</v>
      </c>
      <c r="H235" t="str">
        <f>IF(OR(ISNUMBER(SEARCH("Released",tblShipments5[[#This Row],[ROSL]])),
      ISNUMBER(SEARCH("Scroll",tblShipments5[[#This Row],[ROSL]])),
      ISNUMBER(SEARCH("Y",tblShipments5[[#This Row],[ROSL]]))),
   "Released",
   "Not Released")</f>
        <v>Released</v>
      </c>
      <c r="I235" t="str">
        <f>IF(OR(tblShipments5[[#This Row],[EGM no]]="", tblShipments5[[#This Row],[EGM no]]="N.A."), "Not Submitted", "Submitted")</f>
        <v>Submitted</v>
      </c>
      <c r="J235" t="str">
        <f>IF(LEFT(tblShipments5[[#This Row],[Gateway_Extracted]],2)="IN","Valid","Invalid")</f>
        <v>Valid</v>
      </c>
      <c r="K235" t="s">
        <v>1432</v>
      </c>
      <c r="L235" t="s">
        <v>1433</v>
      </c>
      <c r="M235" t="s">
        <v>13</v>
      </c>
      <c r="N235" t="s">
        <v>1434</v>
      </c>
      <c r="O235" t="str">
        <f>IFERROR("IN" &amp; _xlfn.TEXTBEFORE(_xlfn.TEXTAFTER(UPPER(tblShipments5[[#This Row],[Gateway_clean]]),"IN")," ",1),"")</f>
        <v>INMUN1</v>
      </c>
      <c r="P235" t="str">
        <f>SUBSTITUTE(tblShipments5[[#This Row],[Gateway]], CHAR(10), " ")</f>
        <v xml:space="preserve">AWB No. Gateway Port Gateway EGM No. Gateway EGM Date Gateway Site ID Error Code N.A.  INMUN1  140703  2017-12-14 00:00:00.0  INMUN1  S </v>
      </c>
      <c r="Q235" t="s">
        <v>1435</v>
      </c>
    </row>
    <row r="236" spans="1:17" x14ac:dyDescent="0.35">
      <c r="A236" t="s">
        <v>8</v>
      </c>
      <c r="B236">
        <v>1899578</v>
      </c>
      <c r="C236" s="2" t="s">
        <v>1704</v>
      </c>
      <c r="D236" s="2" t="str">
        <f>LEFT(TRIM(MID(SUBSTITUTE(tblShipments5[[#This Row],[Details]],CHAR(10)," "), FIND(CHAR(10),tblShipments5[[#This Row],[Details]])+1, 50)), 10)</f>
        <v>0588128180</v>
      </c>
      <c r="E236" t="s">
        <v>1705</v>
      </c>
      <c r="F23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6" t="str">
        <f>IF(tblShipments5[[#This Row],[EGM no]]="", "Missing EGM", "EGM Submitted")</f>
        <v>EGM Submitted</v>
      </c>
      <c r="H236" t="str">
        <f>IF(OR(ISNUMBER(SEARCH("Released",tblShipments5[[#This Row],[ROSL]])),
      ISNUMBER(SEARCH("Scroll",tblShipments5[[#This Row],[ROSL]])),
      ISNUMBER(SEARCH("Y",tblShipments5[[#This Row],[ROSL]]))),
   "Released",
   "Not Released")</f>
        <v>Released</v>
      </c>
      <c r="I236" t="str">
        <f>IF(OR(tblShipments5[[#This Row],[EGM no]]="", tblShipments5[[#This Row],[EGM no]]="N.A."), "Not Submitted", "Submitted")</f>
        <v>Submitted</v>
      </c>
      <c r="J236" t="str">
        <f>IF(LEFT(tblShipments5[[#This Row],[Gateway_Extracted]],2)="IN","Valid","Invalid")</f>
        <v>Valid</v>
      </c>
      <c r="K236" t="s">
        <v>1706</v>
      </c>
      <c r="L236" t="s">
        <v>1668</v>
      </c>
      <c r="M236" t="s">
        <v>31</v>
      </c>
      <c r="N236" t="s">
        <v>1707</v>
      </c>
      <c r="O236" t="str">
        <f>IFERROR("IN" &amp; _xlfn.TEXTBEFORE(_xlfn.TEXTAFTER(UPPER(tblShipments5[[#This Row],[Gateway_clean]]),"IN")," ",1),"")</f>
        <v>INMUN1</v>
      </c>
      <c r="P236" t="str">
        <f>SUBSTITUTE(tblShipments5[[#This Row],[Gateway]], CHAR(10), " ")</f>
        <v xml:space="preserve">AWB No. Gateway Port Gateway EGM No. Gateway EGM Date Gateway Site ID Error Code N.A.  INMUN1  143166  2018-01-23 00:00:00.0  INMUN1  S </v>
      </c>
      <c r="Q236" t="s">
        <v>1670</v>
      </c>
    </row>
    <row r="237" spans="1:17" x14ac:dyDescent="0.35">
      <c r="A237" t="s">
        <v>8</v>
      </c>
      <c r="B237">
        <v>8086454</v>
      </c>
      <c r="C237" s="2" t="s">
        <v>334</v>
      </c>
      <c r="D237" s="2" t="str">
        <f>LEFT(TRIM(MID(SUBSTITUTE(tblShipments5[[#This Row],[Details]],CHAR(10)," "), FIND(CHAR(10),tblShipments5[[#This Row],[Details]])+1, 50)), 10)</f>
        <v>0509006191</v>
      </c>
      <c r="E237" t="s">
        <v>335</v>
      </c>
      <c r="F23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7" t="str">
        <f>IF(tblShipments5[[#This Row],[EGM no]]="", "Missing EGM", "EGM Submitted")</f>
        <v>EGM Submitted</v>
      </c>
      <c r="H237" t="str">
        <f>IF(OR(ISNUMBER(SEARCH("Released",tblShipments5[[#This Row],[ROSL]])),
      ISNUMBER(SEARCH("Scroll",tblShipments5[[#This Row],[ROSL]])),
      ISNUMBER(SEARCH("Y",tblShipments5[[#This Row],[ROSL]]))),
   "Released",
   "Not Released")</f>
        <v>Released</v>
      </c>
      <c r="I237" t="str">
        <f>IF(OR(tblShipments5[[#This Row],[EGM no]]="", tblShipments5[[#This Row],[EGM no]]="N.A."), "Not Submitted", "Submitted")</f>
        <v>Submitted</v>
      </c>
      <c r="J237" t="str">
        <f>IF(LEFT(tblShipments5[[#This Row],[Gateway_Extracted]],2)="IN","Valid","Invalid")</f>
        <v>Valid</v>
      </c>
      <c r="K237" t="s">
        <v>336</v>
      </c>
      <c r="L237" t="s">
        <v>337</v>
      </c>
      <c r="M237" t="s">
        <v>31</v>
      </c>
      <c r="N237" t="s">
        <v>338</v>
      </c>
      <c r="O237" t="str">
        <f>IFERROR("IN" &amp; _xlfn.TEXTBEFORE(_xlfn.TEXTAFTER(UPPER(tblShipments5[[#This Row],[Gateway_clean]]),"IN")," ",1),"")</f>
        <v>INNSA1</v>
      </c>
      <c r="P237" t="str">
        <f>SUBSTITUTE(tblShipments5[[#This Row],[Gateway]], CHAR(10), " ")</f>
        <v xml:space="preserve">AWB No. Gateway Port Gateway EGM No. Gateway EGM Date Gateway Site ID Error Code N.A.  INNSA1  133604  2017-08-19 00:00:00.0  INNSA1  S </v>
      </c>
      <c r="Q237" t="s">
        <v>339</v>
      </c>
    </row>
    <row r="238" spans="1:17" x14ac:dyDescent="0.35">
      <c r="A238" t="s">
        <v>8</v>
      </c>
      <c r="B238">
        <v>1254838</v>
      </c>
      <c r="C238" s="2" t="s">
        <v>1336</v>
      </c>
      <c r="D238" s="2" t="str">
        <f>LEFT(TRIM(MID(SUBSTITUTE(tblShipments5[[#This Row],[Details]],CHAR(10)," "), FIND(CHAR(10),tblShipments5[[#This Row],[Details]])+1, 50)), 10)</f>
        <v>0512064172</v>
      </c>
      <c r="E238" t="s">
        <v>1363</v>
      </c>
      <c r="F23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8" t="str">
        <f>IF(tblShipments5[[#This Row],[EGM no]]="", "Missing EGM", "EGM Submitted")</f>
        <v>EGM Submitted</v>
      </c>
      <c r="H238" t="str">
        <f>IF(OR(ISNUMBER(SEARCH("Released",tblShipments5[[#This Row],[ROSL]])),
      ISNUMBER(SEARCH("Scroll",tblShipments5[[#This Row],[ROSL]])),
      ISNUMBER(SEARCH("Y",tblShipments5[[#This Row],[ROSL]]))),
   "Released",
   "Not Released")</f>
        <v>Released</v>
      </c>
      <c r="I238" t="str">
        <f>IF(OR(tblShipments5[[#This Row],[EGM no]]="", tblShipments5[[#This Row],[EGM no]]="N.A."), "Not Submitted", "Submitted")</f>
        <v>Submitted</v>
      </c>
      <c r="J238" t="str">
        <f>IF(LEFT(tblShipments5[[#This Row],[Gateway_Extracted]],2)="IN","Valid","Invalid")</f>
        <v>Valid</v>
      </c>
      <c r="K238" t="s">
        <v>1364</v>
      </c>
      <c r="L238" t="s">
        <v>1365</v>
      </c>
      <c r="M238" t="s">
        <v>1366</v>
      </c>
      <c r="N238" t="s">
        <v>1367</v>
      </c>
      <c r="O238" t="str">
        <f>IFERROR("IN" &amp; _xlfn.TEXTBEFORE(_xlfn.TEXTAFTER(UPPER(tblShipments5[[#This Row],[Gateway_clean]]),"IN")," ",1),"")</f>
        <v>INMUN1</v>
      </c>
      <c r="P238" t="str">
        <f>SUBSTITUTE(tblShipments5[[#This Row],[Gateway]], CHAR(10), " ")</f>
        <v xml:space="preserve">AWB No. Gateway Port Gateway EGM No. Gateway EGM Date Gateway Site ID Error Code N.A.  INMUN1  140232  2017-12-07 00:00:00.0  INMUN1  S </v>
      </c>
      <c r="Q238" t="s">
        <v>1368</v>
      </c>
    </row>
    <row r="239" spans="1:17" x14ac:dyDescent="0.35">
      <c r="A239" t="s">
        <v>8</v>
      </c>
      <c r="B239">
        <v>8340706</v>
      </c>
      <c r="C239" s="2" t="s">
        <v>498</v>
      </c>
      <c r="D239" s="2" t="str">
        <f>LEFT(TRIM(MID(SUBSTITUTE(tblShipments5[[#This Row],[Details]],CHAR(10)," "), FIND(CHAR(10),tblShipments5[[#This Row],[Details]])+1, 50)), 10)</f>
        <v>0507081668</v>
      </c>
      <c r="E239" t="s">
        <v>527</v>
      </c>
      <c r="F23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39" t="str">
        <f>IF(tblShipments5[[#This Row],[EGM no]]="", "Missing EGM", "EGM Submitted")</f>
        <v>EGM Submitted</v>
      </c>
      <c r="H239" t="str">
        <f>IF(OR(ISNUMBER(SEARCH("Released",tblShipments5[[#This Row],[ROSL]])),
      ISNUMBER(SEARCH("Scroll",tblShipments5[[#This Row],[ROSL]])),
      ISNUMBER(SEARCH("Y",tblShipments5[[#This Row],[ROSL]]))),
   "Released",
   "Not Released")</f>
        <v>Released</v>
      </c>
      <c r="I239" t="str">
        <f>IF(OR(tblShipments5[[#This Row],[EGM no]]="", tblShipments5[[#This Row],[EGM no]]="N.A."), "Not Submitted", "Submitted")</f>
        <v>Submitted</v>
      </c>
      <c r="J239" t="str">
        <f>IF(LEFT(tblShipments5[[#This Row],[Gateway_Extracted]],2)="IN","Valid","Invalid")</f>
        <v>Valid</v>
      </c>
      <c r="K239" t="s">
        <v>528</v>
      </c>
      <c r="L239" t="s">
        <v>529</v>
      </c>
      <c r="M239" t="s">
        <v>13</v>
      </c>
      <c r="N239" t="s">
        <v>530</v>
      </c>
      <c r="O239" t="str">
        <f>IFERROR("IN" &amp; _xlfn.TEXTBEFORE(_xlfn.TEXTAFTER(UPPER(tblShipments5[[#This Row],[Gateway_clean]]),"IN")," ",1),"")</f>
        <v>INNSA1</v>
      </c>
      <c r="P239" t="str">
        <f>SUBSTITUTE(tblShipments5[[#This Row],[Gateway]], CHAR(10), " ")</f>
        <v xml:space="preserve">AWB No. Gateway Port Gateway EGM No. Gateway EGM Date Gateway Site ID Error Code N.A.  INNSA1  137304  2017-10-23 00:00:00.0  INNSA1  S </v>
      </c>
      <c r="Q239" t="s">
        <v>531</v>
      </c>
    </row>
    <row r="240" spans="1:17" x14ac:dyDescent="0.35">
      <c r="A240" t="s">
        <v>8</v>
      </c>
      <c r="B240">
        <v>1787183</v>
      </c>
      <c r="C240" s="2" t="s">
        <v>1633</v>
      </c>
      <c r="D240" s="2" t="str">
        <f>LEFT(TRIM(MID(SUBSTITUTE(tblShipments5[[#This Row],[Details]],CHAR(10)," "), FIND(CHAR(10),tblShipments5[[#This Row],[Details]])+1, 50)), 10)</f>
        <v>0513039759</v>
      </c>
      <c r="E240" t="s">
        <v>1649</v>
      </c>
      <c r="F24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0" t="str">
        <f>IF(tblShipments5[[#This Row],[EGM no]]="", "Missing EGM", "EGM Submitted")</f>
        <v>EGM Submitted</v>
      </c>
      <c r="H240" t="str">
        <f>IF(OR(ISNUMBER(SEARCH("Released",tblShipments5[[#This Row],[ROSL]])),
      ISNUMBER(SEARCH("Scroll",tblShipments5[[#This Row],[ROSL]])),
      ISNUMBER(SEARCH("Y",tblShipments5[[#This Row],[ROSL]]))),
   "Released",
   "Not Released")</f>
        <v>Released</v>
      </c>
      <c r="I240" t="str">
        <f>IF(OR(tblShipments5[[#This Row],[EGM no]]="", tblShipments5[[#This Row],[EGM no]]="N.A."), "Not Submitted", "Submitted")</f>
        <v>Submitted</v>
      </c>
      <c r="J240" t="str">
        <f>IF(LEFT(tblShipments5[[#This Row],[Gateway_Extracted]],2)="IN","Valid","Invalid")</f>
        <v>Valid</v>
      </c>
      <c r="K240" t="s">
        <v>1650</v>
      </c>
      <c r="L240" t="s">
        <v>1651</v>
      </c>
      <c r="M240" t="s">
        <v>13</v>
      </c>
      <c r="N240" t="s">
        <v>1652</v>
      </c>
      <c r="O240" t="str">
        <f>IFERROR("IN" &amp; _xlfn.TEXTBEFORE(_xlfn.TEXTAFTER(UPPER(tblShipments5[[#This Row],[Gateway_clean]]),"IN")," ",1),"")</f>
        <v>INMUN1</v>
      </c>
      <c r="P240" t="str">
        <f>SUBSTITUTE(tblShipments5[[#This Row],[Gateway]], CHAR(10), " ")</f>
        <v xml:space="preserve">AWB No. Gateway Port Gateway EGM No. Gateway EGM Date Gateway Site ID Error Code N.A.  INMUN1  141297  2017-12-26 00:00:00.0  INMUN1  S </v>
      </c>
      <c r="Q240" t="s">
        <v>1561</v>
      </c>
    </row>
    <row r="241" spans="1:17" x14ac:dyDescent="0.35">
      <c r="A241" t="s">
        <v>8</v>
      </c>
      <c r="B241">
        <v>8039228</v>
      </c>
      <c r="C241" s="2" t="s">
        <v>295</v>
      </c>
      <c r="D241" s="2" t="str">
        <f>LEFT(TRIM(MID(SUBSTITUTE(tblShipments5[[#This Row],[Details]],CHAR(10)," "), FIND(CHAR(10),tblShipments5[[#This Row],[Details]])+1, 50)), 10)</f>
        <v>0515042064</v>
      </c>
      <c r="E241" t="s">
        <v>306</v>
      </c>
      <c r="F24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1" t="str">
        <f>IF(tblShipments5[[#This Row],[EGM no]]="", "Missing EGM", "EGM Submitted")</f>
        <v>EGM Submitted</v>
      </c>
      <c r="H241" t="str">
        <f>IF(OR(ISNUMBER(SEARCH("Released",tblShipments5[[#This Row],[ROSL]])),
      ISNUMBER(SEARCH("Scroll",tblShipments5[[#This Row],[ROSL]])),
      ISNUMBER(SEARCH("Y",tblShipments5[[#This Row],[ROSL]]))),
   "Released",
   "Not Released")</f>
        <v>Released</v>
      </c>
      <c r="I241" t="str">
        <f>IF(OR(tblShipments5[[#This Row],[EGM no]]="", tblShipments5[[#This Row],[EGM no]]="N.A."), "Not Submitted", "Submitted")</f>
        <v>Submitted</v>
      </c>
      <c r="J241" t="str">
        <f>IF(LEFT(tblShipments5[[#This Row],[Gateway_Extracted]],2)="IN","Valid","Invalid")</f>
        <v>Valid</v>
      </c>
      <c r="K241" t="s">
        <v>307</v>
      </c>
      <c r="L241" t="s">
        <v>308</v>
      </c>
      <c r="M241" t="s">
        <v>13</v>
      </c>
      <c r="N241" t="s">
        <v>309</v>
      </c>
      <c r="O241" t="str">
        <f>IFERROR("IN" &amp; _xlfn.TEXTBEFORE(_xlfn.TEXTAFTER(UPPER(tblShipments5[[#This Row],[Gateway_clean]]),"IN")," ",1),"")</f>
        <v>INNSA1</v>
      </c>
      <c r="P241" t="str">
        <f>SUBSTITUTE(tblShipments5[[#This Row],[Gateway]], CHAR(10), " ")</f>
        <v xml:space="preserve">AWB No. Gateway Port Gateway EGM No. Gateway EGM Date Gateway Site ID Error Code N.A.  INNSA1  N.A.  N.A.  N.A.  N.A. </v>
      </c>
      <c r="Q241" t="s">
        <v>26</v>
      </c>
    </row>
    <row r="242" spans="1:17" x14ac:dyDescent="0.35">
      <c r="A242" t="s">
        <v>8</v>
      </c>
      <c r="B242">
        <v>8061134</v>
      </c>
      <c r="C242" s="2" t="s">
        <v>310</v>
      </c>
      <c r="D242" s="2" t="str">
        <f>LEFT(TRIM(MID(SUBSTITUTE(tblShipments5[[#This Row],[Details]],CHAR(10)," "), FIND(CHAR(10),tblShipments5[[#This Row],[Details]])+1, 50)), 10)</f>
        <v>0515042064</v>
      </c>
      <c r="E242" t="s">
        <v>316</v>
      </c>
      <c r="F24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2" t="str">
        <f>IF(tblShipments5[[#This Row],[EGM no]]="", "Missing EGM", "EGM Submitted")</f>
        <v>EGM Submitted</v>
      </c>
      <c r="H242" t="str">
        <f>IF(OR(ISNUMBER(SEARCH("Released",tblShipments5[[#This Row],[ROSL]])),
      ISNUMBER(SEARCH("Scroll",tblShipments5[[#This Row],[ROSL]])),
      ISNUMBER(SEARCH("Y",tblShipments5[[#This Row],[ROSL]]))),
   "Released",
   "Not Released")</f>
        <v>Released</v>
      </c>
      <c r="I242" t="str">
        <f>IF(OR(tblShipments5[[#This Row],[EGM no]]="", tblShipments5[[#This Row],[EGM no]]="N.A."), "Not Submitted", "Submitted")</f>
        <v>Submitted</v>
      </c>
      <c r="J242" t="str">
        <f>IF(LEFT(tblShipments5[[#This Row],[Gateway_Extracted]],2)="IN","Valid","Invalid")</f>
        <v>Valid</v>
      </c>
      <c r="K242" t="s">
        <v>317</v>
      </c>
      <c r="L242" t="s">
        <v>318</v>
      </c>
      <c r="M242" t="s">
        <v>13</v>
      </c>
      <c r="N242" t="s">
        <v>319</v>
      </c>
      <c r="O242" t="str">
        <f>IFERROR("IN" &amp; _xlfn.TEXTBEFORE(_xlfn.TEXTAFTER(UPPER(tblShipments5[[#This Row],[Gateway_clean]]),"IN")," ",1),"")</f>
        <v>INNSA1</v>
      </c>
      <c r="P242" t="str">
        <f>SUBSTITUTE(tblShipments5[[#This Row],[Gateway]], CHAR(10), " ")</f>
        <v xml:space="preserve">AWB No. Gateway Port Gateway EGM No. Gateway EGM Date Gateway Site ID Error Code N.A.  INNSA1  134474  2017-09-04 00:00:00.0  INNSA1  C </v>
      </c>
      <c r="Q242" t="s">
        <v>320</v>
      </c>
    </row>
    <row r="243" spans="1:17" x14ac:dyDescent="0.35">
      <c r="A243" t="s">
        <v>8</v>
      </c>
      <c r="B243">
        <v>7794172</v>
      </c>
      <c r="C243" s="2" t="s">
        <v>153</v>
      </c>
      <c r="D243" s="2" t="str">
        <f>LEFT(TRIM(MID(SUBSTITUTE(tblShipments5[[#This Row],[Details]],CHAR(10)," "), FIND(CHAR(10),tblShipments5[[#This Row],[Details]])+1, 50)), 10)</f>
        <v>0515042064</v>
      </c>
      <c r="E243" t="s">
        <v>158</v>
      </c>
      <c r="F24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3" t="str">
        <f>IF(tblShipments5[[#This Row],[EGM no]]="", "Missing EGM", "EGM Submitted")</f>
        <v>EGM Submitted</v>
      </c>
      <c r="H243" t="str">
        <f>IF(OR(ISNUMBER(SEARCH("Released",tblShipments5[[#This Row],[ROSL]])),
      ISNUMBER(SEARCH("Scroll",tblShipments5[[#This Row],[ROSL]])),
      ISNUMBER(SEARCH("Y",tblShipments5[[#This Row],[ROSL]]))),
   "Released",
   "Not Released")</f>
        <v>Released</v>
      </c>
      <c r="I243" t="str">
        <f>IF(OR(tblShipments5[[#This Row],[EGM no]]="", tblShipments5[[#This Row],[EGM no]]="N.A."), "Not Submitted", "Submitted")</f>
        <v>Submitted</v>
      </c>
      <c r="J243" t="str">
        <f>IF(LEFT(tblShipments5[[#This Row],[Gateway_Extracted]],2)="IN","Valid","Invalid")</f>
        <v>Valid</v>
      </c>
      <c r="K243" t="s">
        <v>159</v>
      </c>
      <c r="L243" t="s">
        <v>160</v>
      </c>
      <c r="M243" t="s">
        <v>13</v>
      </c>
      <c r="N243" t="s">
        <v>161</v>
      </c>
      <c r="O243" t="str">
        <f>IFERROR("IN" &amp; _xlfn.TEXTBEFORE(_xlfn.TEXTAFTER(UPPER(tblShipments5[[#This Row],[Gateway_clean]]),"IN")," ",1),"")</f>
        <v>INNSA1</v>
      </c>
      <c r="P243" t="str">
        <f>SUBSTITUTE(tblShipments5[[#This Row],[Gateway]], CHAR(10), " ")</f>
        <v xml:space="preserve">AWB No. Gateway Port Gateway EGM No. Gateway EGM Date Gateway Site ID Error Code N.A.  INNSA1  132991  2017-08-09 00:00:00.0  INNSA1  S </v>
      </c>
      <c r="Q243" t="s">
        <v>162</v>
      </c>
    </row>
    <row r="244" spans="1:17" x14ac:dyDescent="0.35">
      <c r="A244" t="s">
        <v>8</v>
      </c>
      <c r="B244">
        <v>9203657</v>
      </c>
      <c r="C244" s="2" t="s">
        <v>987</v>
      </c>
      <c r="D244" s="2" t="str">
        <f>LEFT(TRIM(MID(SUBSTITUTE(tblShipments5[[#This Row],[Details]],CHAR(10)," "), FIND(CHAR(10),tblShipments5[[#This Row],[Details]])+1, 50)), 10)</f>
        <v>0510012680</v>
      </c>
      <c r="E244" t="s">
        <v>988</v>
      </c>
      <c r="F24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4" t="str">
        <f>IF(tblShipments5[[#This Row],[EGM no]]="", "Missing EGM", "EGM Submitted")</f>
        <v>EGM Submitted</v>
      </c>
      <c r="H244" t="str">
        <f>IF(OR(ISNUMBER(SEARCH("Released",tblShipments5[[#This Row],[ROSL]])),
      ISNUMBER(SEARCH("Scroll",tblShipments5[[#This Row],[ROSL]])),
      ISNUMBER(SEARCH("Y",tblShipments5[[#This Row],[ROSL]]))),
   "Released",
   "Not Released")</f>
        <v>Released</v>
      </c>
      <c r="I244" t="str">
        <f>IF(OR(tblShipments5[[#This Row],[EGM no]]="", tblShipments5[[#This Row],[EGM no]]="N.A."), "Not Submitted", "Submitted")</f>
        <v>Submitted</v>
      </c>
      <c r="J244" t="str">
        <f>IF(LEFT(tblShipments5[[#This Row],[Gateway_Extracted]],2)="IN","Valid","Invalid")</f>
        <v>Valid</v>
      </c>
      <c r="K244" t="s">
        <v>989</v>
      </c>
      <c r="L244" t="s">
        <v>990</v>
      </c>
      <c r="M244" t="s">
        <v>31</v>
      </c>
      <c r="N244" t="s">
        <v>991</v>
      </c>
      <c r="O244" t="str">
        <f>IFERROR("IN" &amp; _xlfn.TEXTBEFORE(_xlfn.TEXTAFTER(UPPER(tblShipments5[[#This Row],[Gateway_clean]]),"IN")," ",1),"")</f>
        <v>INNSA1</v>
      </c>
      <c r="P244" t="str">
        <f>SUBSTITUTE(tblShipments5[[#This Row],[Gateway]], CHAR(10), " ")</f>
        <v xml:space="preserve">AWB No. Gateway Port Gateway EGM No. Gateway EGM Date Gateway Site ID Error Code N.A.  INNSA1  136204  2017-10-03 00:00:00.0  INNSA1  S </v>
      </c>
      <c r="Q244" t="s">
        <v>992</v>
      </c>
    </row>
    <row r="245" spans="1:17" x14ac:dyDescent="0.35">
      <c r="A245" t="s">
        <v>8</v>
      </c>
      <c r="B245">
        <v>8600398</v>
      </c>
      <c r="C245" s="2" t="s">
        <v>681</v>
      </c>
      <c r="D245" s="2" t="str">
        <f>LEFT(TRIM(MID(SUBSTITUTE(tblShipments5[[#This Row],[Details]],CHAR(10)," "), FIND(CHAR(10),tblShipments5[[#This Row],[Details]])+1, 50)), 10)</f>
        <v>0506004830</v>
      </c>
      <c r="E245" t="s">
        <v>682</v>
      </c>
      <c r="F24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5" t="str">
        <f>IF(tblShipments5[[#This Row],[EGM no]]="", "Missing EGM", "EGM Submitted")</f>
        <v>EGM Submitted</v>
      </c>
      <c r="H245" t="str">
        <f>IF(OR(ISNUMBER(SEARCH("Released",tblShipments5[[#This Row],[ROSL]])),
      ISNUMBER(SEARCH("Scroll",tblShipments5[[#This Row],[ROSL]])),
      ISNUMBER(SEARCH("Y",tblShipments5[[#This Row],[ROSL]]))),
   "Released",
   "Not Released")</f>
        <v>Released</v>
      </c>
      <c r="I245" t="str">
        <f>IF(OR(tblShipments5[[#This Row],[EGM no]]="", tblShipments5[[#This Row],[EGM no]]="N.A."), "Not Submitted", "Submitted")</f>
        <v>Submitted</v>
      </c>
      <c r="J245" t="str">
        <f>IF(LEFT(tblShipments5[[#This Row],[Gateway_Extracted]],2)="IN","Valid","Invalid")</f>
        <v>Valid</v>
      </c>
      <c r="K245" t="s">
        <v>659</v>
      </c>
      <c r="L245" t="s">
        <v>655</v>
      </c>
      <c r="M245" t="s">
        <v>13</v>
      </c>
      <c r="N245" t="s">
        <v>683</v>
      </c>
      <c r="O245" t="str">
        <f>IFERROR("IN" &amp; _xlfn.TEXTBEFORE(_xlfn.TEXTAFTER(UPPER(tblShipments5[[#This Row],[Gateway_clean]]),"IN")," ",1),"")</f>
        <v>INNSA1</v>
      </c>
      <c r="P245" t="str">
        <f>SUBSTITUTE(tblShipments5[[#This Row],[Gateway]], CHAR(10), " ")</f>
        <v xml:space="preserve">AWB No. Gateway Port Gateway EGM No. Gateway EGM Date Gateway Site ID Error Code N.A.  INNSA1  N.A.  N.A.  N.A.  N.A. </v>
      </c>
      <c r="Q245" t="s">
        <v>26</v>
      </c>
    </row>
    <row r="246" spans="1:17" x14ac:dyDescent="0.35">
      <c r="A246" t="s">
        <v>8</v>
      </c>
      <c r="B246">
        <v>8708114</v>
      </c>
      <c r="C246" s="2" t="s">
        <v>747</v>
      </c>
      <c r="D246" s="2" t="str">
        <f>LEFT(TRIM(MID(SUBSTITUTE(tblShipments5[[#This Row],[Details]],CHAR(10)," "), FIND(CHAR(10),tblShipments5[[#This Row],[Details]])+1, 50)), 10)</f>
        <v>0511035675</v>
      </c>
      <c r="E246" t="s">
        <v>752</v>
      </c>
      <c r="F24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6" t="str">
        <f>IF(tblShipments5[[#This Row],[EGM no]]="", "Missing EGM", "EGM Submitted")</f>
        <v>EGM Submitted</v>
      </c>
      <c r="H246" t="str">
        <f>IF(OR(ISNUMBER(SEARCH("Released",tblShipments5[[#This Row],[ROSL]])),
      ISNUMBER(SEARCH("Scroll",tblShipments5[[#This Row],[ROSL]])),
      ISNUMBER(SEARCH("Y",tblShipments5[[#This Row],[ROSL]]))),
   "Released",
   "Not Released")</f>
        <v>Released</v>
      </c>
      <c r="I246" t="str">
        <f>IF(OR(tblShipments5[[#This Row],[EGM no]]="", tblShipments5[[#This Row],[EGM no]]="N.A."), "Not Submitted", "Submitted")</f>
        <v>Submitted</v>
      </c>
      <c r="J246" t="str">
        <f>IF(LEFT(tblShipments5[[#This Row],[Gateway_Extracted]],2)="IN","Valid","Invalid")</f>
        <v>Valid</v>
      </c>
      <c r="K246" t="s">
        <v>753</v>
      </c>
      <c r="L246" t="s">
        <v>754</v>
      </c>
      <c r="M246" t="s">
        <v>31</v>
      </c>
      <c r="N246" t="s">
        <v>755</v>
      </c>
      <c r="O246" t="str">
        <f>IFERROR("IN" &amp; _xlfn.TEXTBEFORE(_xlfn.TEXTAFTER(UPPER(tblShipments5[[#This Row],[Gateway_clean]]),"IN")," ",1),"")</f>
        <v>INNSA1</v>
      </c>
      <c r="P246" t="str">
        <f>SUBSTITUTE(tblShipments5[[#This Row],[Gateway]], CHAR(10), " ")</f>
        <v xml:space="preserve">AWB No. Gateway Port Gateway EGM No. Gateway EGM Date Gateway Site ID Error Code N.A.  INNSA1  135349  2017-09-19 00:00:00.0  INNSA1  C </v>
      </c>
      <c r="Q246" t="s">
        <v>756</v>
      </c>
    </row>
    <row r="247" spans="1:17" x14ac:dyDescent="0.35">
      <c r="A247" t="s">
        <v>8</v>
      </c>
      <c r="B247">
        <v>1773615</v>
      </c>
      <c r="C247" s="2" t="s">
        <v>1633</v>
      </c>
      <c r="D247" s="2" t="str">
        <f>LEFT(TRIM(MID(SUBSTITUTE(tblShipments5[[#This Row],[Details]],CHAR(10)," "), FIND(CHAR(10),tblShipments5[[#This Row],[Details]])+1, 50)), 10)</f>
        <v>0500068241</v>
      </c>
      <c r="E247" t="s">
        <v>1639</v>
      </c>
      <c r="F24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7" t="str">
        <f>IF(tblShipments5[[#This Row],[EGM no]]="", "Missing EGM", "EGM Submitted")</f>
        <v>EGM Submitted</v>
      </c>
      <c r="H247" t="str">
        <f>IF(OR(ISNUMBER(SEARCH("Released",tblShipments5[[#This Row],[ROSL]])),
      ISNUMBER(SEARCH("Scroll",tblShipments5[[#This Row],[ROSL]])),
      ISNUMBER(SEARCH("Y",tblShipments5[[#This Row],[ROSL]]))),
   "Released",
   "Not Released")</f>
        <v>Released</v>
      </c>
      <c r="I247" t="str">
        <f>IF(OR(tblShipments5[[#This Row],[EGM no]]="", tblShipments5[[#This Row],[EGM no]]="N.A."), "Not Submitted", "Submitted")</f>
        <v>Submitted</v>
      </c>
      <c r="J247" t="str">
        <f>IF(LEFT(tblShipments5[[#This Row],[Gateway_Extracted]],2)="IN","Valid","Invalid")</f>
        <v>Valid</v>
      </c>
      <c r="K247" t="s">
        <v>1597</v>
      </c>
      <c r="L247" t="s">
        <v>1640</v>
      </c>
      <c r="M247" t="s">
        <v>13</v>
      </c>
      <c r="N247" t="s">
        <v>1641</v>
      </c>
      <c r="O247" t="str">
        <f>IFERROR("IN" &amp; _xlfn.TEXTBEFORE(_xlfn.TEXTAFTER(UPPER(tblShipments5[[#This Row],[Gateway_clean]]),"IN")," ",1),"")</f>
        <v>INNSA1</v>
      </c>
      <c r="P247" t="str">
        <f>SUBSTITUTE(tblShipments5[[#This Row],[Gateway]], CHAR(10), " ")</f>
        <v xml:space="preserve">AWB No. Gateway Port Gateway EGM No. Gateway EGM Date Gateway Site ID Error Code N.A.  INNSA1  141039  2017-12-20 00:00:00.0  INNSA1  S </v>
      </c>
      <c r="Q247" t="s">
        <v>1565</v>
      </c>
    </row>
    <row r="248" spans="1:17" x14ac:dyDescent="0.35">
      <c r="A248" t="s">
        <v>8</v>
      </c>
      <c r="B248">
        <v>9346238</v>
      </c>
      <c r="C248" s="2" t="s">
        <v>1032</v>
      </c>
      <c r="D248" s="2" t="str">
        <f>LEFT(TRIM(MID(SUBSTITUTE(tblShipments5[[#This Row],[Details]],CHAR(10)," "), FIND(CHAR(10),tblShipments5[[#This Row],[Details]])+1, 50)), 10)</f>
        <v>0594000319</v>
      </c>
      <c r="E248" t="s">
        <v>1037</v>
      </c>
      <c r="F24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8" t="str">
        <f>IF(tblShipments5[[#This Row],[EGM no]]="", "Missing EGM", "EGM Submitted")</f>
        <v>EGM Submitted</v>
      </c>
      <c r="H248" t="str">
        <f>IF(OR(ISNUMBER(SEARCH("Released",tblShipments5[[#This Row],[ROSL]])),
      ISNUMBER(SEARCH("Scroll",tblShipments5[[#This Row],[ROSL]])),
      ISNUMBER(SEARCH("Y",tblShipments5[[#This Row],[ROSL]]))),
   "Released",
   "Not Released")</f>
        <v>Released</v>
      </c>
      <c r="I248" t="str">
        <f>IF(OR(tblShipments5[[#This Row],[EGM no]]="", tblShipments5[[#This Row],[EGM no]]="N.A."), "Not Submitted", "Submitted")</f>
        <v>Submitted</v>
      </c>
      <c r="J248" t="str">
        <f>IF(LEFT(tblShipments5[[#This Row],[Gateway_Extracted]],2)="IN","Valid","Invalid")</f>
        <v>Valid</v>
      </c>
      <c r="K248" t="s">
        <v>1038</v>
      </c>
      <c r="L248" t="s">
        <v>1039</v>
      </c>
      <c r="M248" t="s">
        <v>31</v>
      </c>
      <c r="N248" t="s">
        <v>1040</v>
      </c>
      <c r="O248" t="str">
        <f>IFERROR("IN" &amp; _xlfn.TEXTBEFORE(_xlfn.TEXTAFTER(UPPER(tblShipments5[[#This Row],[Gateway_clean]]),"IN")," ",1),"")</f>
        <v>INNSA1</v>
      </c>
      <c r="P248" t="str">
        <f>SUBSTITUTE(tblShipments5[[#This Row],[Gateway]], CHAR(10), " ")</f>
        <v xml:space="preserve">AWB No. Gateway Port Gateway EGM No. Gateway EGM Date Gateway Site ID Error Code N.A.  INNSA1  136639  2017-10-10 00:00:00.0  INNSA1  S </v>
      </c>
      <c r="Q248" t="s">
        <v>1041</v>
      </c>
    </row>
    <row r="249" spans="1:17" x14ac:dyDescent="0.35">
      <c r="A249" t="s">
        <v>8</v>
      </c>
      <c r="B249">
        <v>8204016</v>
      </c>
      <c r="C249" s="2" t="s">
        <v>409</v>
      </c>
      <c r="D249" s="2" t="str">
        <f>LEFT(TRIM(MID(SUBSTITUTE(tblShipments5[[#This Row],[Details]],CHAR(10)," "), FIND(CHAR(10),tblShipments5[[#This Row],[Details]])+1, 50)), 10)</f>
        <v>0510085423</v>
      </c>
      <c r="E249" t="s">
        <v>414</v>
      </c>
      <c r="F24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49" t="str">
        <f>IF(tblShipments5[[#This Row],[EGM no]]="", "Missing EGM", "EGM Submitted")</f>
        <v>EGM Submitted</v>
      </c>
      <c r="H249" t="str">
        <f>IF(OR(ISNUMBER(SEARCH("Released",tblShipments5[[#This Row],[ROSL]])),
      ISNUMBER(SEARCH("Scroll",tblShipments5[[#This Row],[ROSL]])),
      ISNUMBER(SEARCH("Y",tblShipments5[[#This Row],[ROSL]]))),
   "Released",
   "Not Released")</f>
        <v>Released</v>
      </c>
      <c r="I249" t="str">
        <f>IF(OR(tblShipments5[[#This Row],[EGM no]]="", tblShipments5[[#This Row],[EGM no]]="N.A."), "Not Submitted", "Submitted")</f>
        <v>Submitted</v>
      </c>
      <c r="J249" t="str">
        <f>IF(LEFT(tblShipments5[[#This Row],[Gateway_Extracted]],2)="IN","Valid","Invalid")</f>
        <v>Valid</v>
      </c>
      <c r="K249" t="s">
        <v>406</v>
      </c>
      <c r="L249" t="s">
        <v>415</v>
      </c>
      <c r="M249" t="s">
        <v>13</v>
      </c>
      <c r="N249" t="s">
        <v>416</v>
      </c>
      <c r="O249" t="str">
        <f>IFERROR("IN" &amp; _xlfn.TEXTBEFORE(_xlfn.TEXTAFTER(UPPER(tblShipments5[[#This Row],[Gateway_clean]]),"IN")," ",1),"")</f>
        <v>INNSA1</v>
      </c>
      <c r="P249" t="str">
        <f>SUBSTITUTE(tblShipments5[[#This Row],[Gateway]], CHAR(10), " ")</f>
        <v xml:space="preserve">AWB No. Gateway Port Gateway EGM No. Gateway EGM Date Gateway Site ID Error Code N.A.  INNSA1  N.A.  N.A.  N.A.  N.A. </v>
      </c>
      <c r="Q249" t="s">
        <v>26</v>
      </c>
    </row>
    <row r="250" spans="1:17" x14ac:dyDescent="0.35">
      <c r="A250" t="s">
        <v>8</v>
      </c>
      <c r="B250">
        <v>9492580</v>
      </c>
      <c r="C250" s="2" t="s">
        <v>1061</v>
      </c>
      <c r="D250" s="2" t="str">
        <f>LEFT(TRIM(MID(SUBSTITUTE(tblShipments5[[#This Row],[Details]],CHAR(10)," "), FIND(CHAR(10),tblShipments5[[#This Row],[Details]])+1, 50)), 10)</f>
        <v>0510085423</v>
      </c>
      <c r="E250" t="s">
        <v>1062</v>
      </c>
      <c r="F25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0" t="str">
        <f>IF(tblShipments5[[#This Row],[EGM no]]="", "Missing EGM", "EGM Submitted")</f>
        <v>EGM Submitted</v>
      </c>
      <c r="H250" t="str">
        <f>IF(OR(ISNUMBER(SEARCH("Released",tblShipments5[[#This Row],[ROSL]])),
      ISNUMBER(SEARCH("Scroll",tblShipments5[[#This Row],[ROSL]])),
      ISNUMBER(SEARCH("Y",tblShipments5[[#This Row],[ROSL]]))),
   "Released",
   "Not Released")</f>
        <v>Released</v>
      </c>
      <c r="I250" t="str">
        <f>IF(OR(tblShipments5[[#This Row],[EGM no]]="", tblShipments5[[#This Row],[EGM no]]="N.A."), "Not Submitted", "Submitted")</f>
        <v>Submitted</v>
      </c>
      <c r="J250" t="str">
        <f>IF(LEFT(tblShipments5[[#This Row],[Gateway_Extracted]],2)="IN","Valid","Invalid")</f>
        <v>Valid</v>
      </c>
      <c r="K250" t="s">
        <v>1063</v>
      </c>
      <c r="L250" t="s">
        <v>1064</v>
      </c>
      <c r="M250" t="s">
        <v>13</v>
      </c>
      <c r="N250" t="s">
        <v>1065</v>
      </c>
      <c r="O250" t="str">
        <f>IFERROR("IN" &amp; _xlfn.TEXTBEFORE(_xlfn.TEXTAFTER(UPPER(tblShipments5[[#This Row],[Gateway_clean]]),"IN")," ",1),"")</f>
        <v>INNSA1</v>
      </c>
      <c r="P250" t="str">
        <f>SUBSTITUTE(tblShipments5[[#This Row],[Gateway]], CHAR(10), " ")</f>
        <v xml:space="preserve">AWB No. Gateway Port Gateway EGM No. Gateway EGM Date Gateway Site ID Error Code N.A.  INNSA1  137147  2017-10-18 00:00:00.0  INNSA1  C </v>
      </c>
      <c r="Q250" t="s">
        <v>1066</v>
      </c>
    </row>
    <row r="251" spans="1:17" x14ac:dyDescent="0.35">
      <c r="A251" t="s">
        <v>8</v>
      </c>
      <c r="B251">
        <v>8222240</v>
      </c>
      <c r="C251" s="2" t="s">
        <v>409</v>
      </c>
      <c r="D251" s="2" t="str">
        <f>LEFT(TRIM(MID(SUBSTITUTE(tblShipments5[[#This Row],[Details]],CHAR(10)," "), FIND(CHAR(10),tblShipments5[[#This Row],[Details]])+1, 50)), 10)</f>
        <v>0510059732</v>
      </c>
      <c r="E251" t="s">
        <v>431</v>
      </c>
      <c r="F25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1" t="str">
        <f>IF(tblShipments5[[#This Row],[EGM no]]="", "Missing EGM", "EGM Submitted")</f>
        <v>EGM Submitted</v>
      </c>
      <c r="H251" t="str">
        <f>IF(OR(ISNUMBER(SEARCH("Released",tblShipments5[[#This Row],[ROSL]])),
      ISNUMBER(SEARCH("Scroll",tblShipments5[[#This Row],[ROSL]])),
      ISNUMBER(SEARCH("Y",tblShipments5[[#This Row],[ROSL]]))),
   "Released",
   "Not Released")</f>
        <v>Released</v>
      </c>
      <c r="I251" t="str">
        <f>IF(OR(tblShipments5[[#This Row],[EGM no]]="", tblShipments5[[#This Row],[EGM no]]="N.A."), "Not Submitted", "Submitted")</f>
        <v>Submitted</v>
      </c>
      <c r="J251" t="str">
        <f>IF(LEFT(tblShipments5[[#This Row],[Gateway_Extracted]],2)="IN","Valid","Invalid")</f>
        <v>Valid</v>
      </c>
      <c r="K251" t="s">
        <v>432</v>
      </c>
      <c r="L251" t="s">
        <v>433</v>
      </c>
      <c r="M251" t="s">
        <v>31</v>
      </c>
      <c r="N251" t="s">
        <v>434</v>
      </c>
      <c r="O251" t="str">
        <f>IFERROR("IN" &amp; _xlfn.TEXTBEFORE(_xlfn.TEXTAFTER(UPPER(tblShipments5[[#This Row],[Gateway_clean]]),"IN")," ",1),"")</f>
        <v>INMUN1</v>
      </c>
      <c r="P251" t="str">
        <f>SUBSTITUTE(tblShipments5[[#This Row],[Gateway]], CHAR(10), " ")</f>
        <v xml:space="preserve">AWB No. Gateway Port Gateway EGM No. Gateway EGM Date Gateway Site ID Error Code N.A.  INMUN1  140358  2017-12-08 00:00:00.0  INMUN1  ST </v>
      </c>
      <c r="Q251" t="s">
        <v>435</v>
      </c>
    </row>
    <row r="252" spans="1:17" x14ac:dyDescent="0.35">
      <c r="A252" t="s">
        <v>8</v>
      </c>
      <c r="B252">
        <v>1181054</v>
      </c>
      <c r="C252" s="2" t="s">
        <v>1298</v>
      </c>
      <c r="D252" s="2" t="str">
        <f>LEFT(TRIM(MID(SUBSTITUTE(tblShipments5[[#This Row],[Details]],CHAR(10)," "), FIND(CHAR(10),tblShipments5[[#This Row],[Details]])+1, 50)), 10)</f>
        <v>0589043838</v>
      </c>
      <c r="E252" t="s">
        <v>1299</v>
      </c>
      <c r="F25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2" t="str">
        <f>IF(tblShipments5[[#This Row],[EGM no]]="", "Missing EGM", "EGM Submitted")</f>
        <v>EGM Submitted</v>
      </c>
      <c r="H252" t="str">
        <f>IF(OR(ISNUMBER(SEARCH("Released",tblShipments5[[#This Row],[ROSL]])),
      ISNUMBER(SEARCH("Scroll",tblShipments5[[#This Row],[ROSL]])),
      ISNUMBER(SEARCH("Y",tblShipments5[[#This Row],[ROSL]]))),
   "Released",
   "Not Released")</f>
        <v>Released</v>
      </c>
      <c r="I252" t="str">
        <f>IF(OR(tblShipments5[[#This Row],[EGM no]]="", tblShipments5[[#This Row],[EGM no]]="N.A."), "Not Submitted", "Submitted")</f>
        <v>Submitted</v>
      </c>
      <c r="J252" t="str">
        <f>IF(LEFT(tblShipments5[[#This Row],[Gateway_Extracted]],2)="IN","Valid","Invalid")</f>
        <v>Valid</v>
      </c>
      <c r="K252" t="s">
        <v>1300</v>
      </c>
      <c r="L252" t="s">
        <v>1301</v>
      </c>
      <c r="M252" t="s">
        <v>13</v>
      </c>
      <c r="N252" t="s">
        <v>1302</v>
      </c>
      <c r="O252" t="str">
        <f>IFERROR("IN" &amp; _xlfn.TEXTBEFORE(_xlfn.TEXTAFTER(UPPER(tblShipments5[[#This Row],[Gateway_clean]]),"IN")," ",1),"")</f>
        <v>INNSA1</v>
      </c>
      <c r="P252" t="str">
        <f>SUBSTITUTE(tblShipments5[[#This Row],[Gateway]], CHAR(10), " ")</f>
        <v xml:space="preserve">AWB No. Gateway Port Gateway EGM No. Gateway EGM Date Gateway Site ID Error Code N.A.  INNSA1  139557  2017-11-27 00:00:00.0  INNSA1  S </v>
      </c>
      <c r="Q252" t="s">
        <v>1303</v>
      </c>
    </row>
    <row r="253" spans="1:17" x14ac:dyDescent="0.35">
      <c r="A253" t="s">
        <v>8</v>
      </c>
      <c r="B253">
        <v>9597287</v>
      </c>
      <c r="C253" s="2" t="s">
        <v>1112</v>
      </c>
      <c r="D253" s="2" t="str">
        <f>LEFT(TRIM(MID(SUBSTITUTE(tblShipments5[[#This Row],[Details]],CHAR(10)," "), FIND(CHAR(10),tblShipments5[[#This Row],[Details]])+1, 50)), 10)</f>
        <v>0506059944</v>
      </c>
      <c r="E253" t="s">
        <v>1113</v>
      </c>
      <c r="F25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3" t="str">
        <f>IF(tblShipments5[[#This Row],[EGM no]]="", "Missing EGM", "EGM Submitted")</f>
        <v>EGM Submitted</v>
      </c>
      <c r="H253" t="str">
        <f>IF(OR(ISNUMBER(SEARCH("Released",tblShipments5[[#This Row],[ROSL]])),
      ISNUMBER(SEARCH("Scroll",tblShipments5[[#This Row],[ROSL]])),
      ISNUMBER(SEARCH("Y",tblShipments5[[#This Row],[ROSL]]))),
   "Released",
   "Not Released")</f>
        <v>Released</v>
      </c>
      <c r="I253" t="str">
        <f>IF(OR(tblShipments5[[#This Row],[EGM no]]="", tblShipments5[[#This Row],[EGM no]]="N.A."), "Not Submitted", "Submitted")</f>
        <v>Submitted</v>
      </c>
      <c r="J253" t="str">
        <f>IF(LEFT(tblShipments5[[#This Row],[Gateway_Extracted]],2)="IN","Valid","Invalid")</f>
        <v>Valid</v>
      </c>
      <c r="K253" t="s">
        <v>1094</v>
      </c>
      <c r="L253" t="s">
        <v>1114</v>
      </c>
      <c r="M253" t="s">
        <v>31</v>
      </c>
      <c r="N253" t="s">
        <v>1115</v>
      </c>
      <c r="O253" t="str">
        <f>IFERROR("IN" &amp; _xlfn.TEXTBEFORE(_xlfn.TEXTAFTER(UPPER(tblShipments5[[#This Row],[Gateway_clean]]),"IN")," ",1),"")</f>
        <v>INNSA1</v>
      </c>
      <c r="P253" t="str">
        <f>SUBSTITUTE(tblShipments5[[#This Row],[Gateway]], CHAR(10), " ")</f>
        <v xml:space="preserve">AWB No. Gateway Port Gateway EGM No. Gateway EGM Date Gateway Site ID Error Code N.A.  INNSA1  137830  2017-10-30 00:00:00.0  INNSA1  S </v>
      </c>
      <c r="Q253" t="s">
        <v>1116</v>
      </c>
    </row>
    <row r="254" spans="1:17" x14ac:dyDescent="0.35">
      <c r="A254" t="s">
        <v>8</v>
      </c>
      <c r="B254">
        <v>8375057</v>
      </c>
      <c r="C254" s="2" t="s">
        <v>532</v>
      </c>
      <c r="D254" s="2" t="str">
        <f>LEFT(TRIM(MID(SUBSTITUTE(tblShipments5[[#This Row],[Details]],CHAR(10)," "), FIND(CHAR(10),tblShipments5[[#This Row],[Details]])+1, 50)), 10)</f>
        <v>0506035182</v>
      </c>
      <c r="E254" t="s">
        <v>544</v>
      </c>
      <c r="F25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4" t="str">
        <f>IF(tblShipments5[[#This Row],[EGM no]]="", "Missing EGM", "EGM Submitted")</f>
        <v>EGM Submitted</v>
      </c>
      <c r="H254" t="str">
        <f>IF(OR(ISNUMBER(SEARCH("Released",tblShipments5[[#This Row],[ROSL]])),
      ISNUMBER(SEARCH("Scroll",tblShipments5[[#This Row],[ROSL]])),
      ISNUMBER(SEARCH("Y",tblShipments5[[#This Row],[ROSL]]))),
   "Released",
   "Not Released")</f>
        <v>Released</v>
      </c>
      <c r="I254" t="str">
        <f>IF(OR(tblShipments5[[#This Row],[EGM no]]="", tblShipments5[[#This Row],[EGM no]]="N.A."), "Not Submitted", "Submitted")</f>
        <v>Submitted</v>
      </c>
      <c r="J254" t="str">
        <f>IF(LEFT(tblShipments5[[#This Row],[Gateway_Extracted]],2)="IN","Valid","Invalid")</f>
        <v>Valid</v>
      </c>
      <c r="K254" t="s">
        <v>545</v>
      </c>
      <c r="L254" t="s">
        <v>546</v>
      </c>
      <c r="M254" t="s">
        <v>13</v>
      </c>
      <c r="N254" t="s">
        <v>547</v>
      </c>
      <c r="O254" t="str">
        <f>IFERROR("IN" &amp; _xlfn.TEXTBEFORE(_xlfn.TEXTAFTER(UPPER(tblShipments5[[#This Row],[Gateway_clean]]),"IN")," ",1),"")</f>
        <v>INMUN1</v>
      </c>
      <c r="P254" t="str">
        <f>SUBSTITUTE(tblShipments5[[#This Row],[Gateway]], CHAR(10), " ")</f>
        <v xml:space="preserve">AWB No. Gateway Port Gateway EGM No. Gateway EGM Date Gateway Site ID Error Code N.A.  INMUN1  N.A.  N.A.  N.A.  N.A. </v>
      </c>
      <c r="Q254" t="s">
        <v>244</v>
      </c>
    </row>
    <row r="255" spans="1:17" x14ac:dyDescent="0.35">
      <c r="A255" t="s">
        <v>8</v>
      </c>
      <c r="B255">
        <v>8235656</v>
      </c>
      <c r="C255" s="2" t="s">
        <v>442</v>
      </c>
      <c r="D255" s="2" t="str">
        <f>LEFT(TRIM(MID(SUBSTITUTE(tblShipments5[[#This Row],[Details]],CHAR(10)," "), FIND(CHAR(10),tblShipments5[[#This Row],[Details]])+1, 50)), 10)</f>
        <v>0510064663</v>
      </c>
      <c r="E255" t="s">
        <v>447</v>
      </c>
      <c r="F25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5" t="str">
        <f>IF(tblShipments5[[#This Row],[EGM no]]="", "Missing EGM", "EGM Submitted")</f>
        <v>EGM Submitted</v>
      </c>
      <c r="H255" t="str">
        <f>IF(OR(ISNUMBER(SEARCH("Released",tblShipments5[[#This Row],[ROSL]])),
      ISNUMBER(SEARCH("Scroll",tblShipments5[[#This Row],[ROSL]])),
      ISNUMBER(SEARCH("Y",tblShipments5[[#This Row],[ROSL]]))),
   "Released",
   "Not Released")</f>
        <v>Released</v>
      </c>
      <c r="I255" t="str">
        <f>IF(OR(tblShipments5[[#This Row],[EGM no]]="", tblShipments5[[#This Row],[EGM no]]="N.A."), "Not Submitted", "Submitted")</f>
        <v>Submitted</v>
      </c>
      <c r="J255" t="str">
        <f>IF(LEFT(tblShipments5[[#This Row],[Gateway_Extracted]],2)="IN","Valid","Invalid")</f>
        <v>Valid</v>
      </c>
      <c r="K255" t="s">
        <v>382</v>
      </c>
      <c r="L255" t="s">
        <v>448</v>
      </c>
      <c r="M255" t="s">
        <v>449</v>
      </c>
      <c r="N255" t="s">
        <v>450</v>
      </c>
      <c r="O255" t="str">
        <f>IFERROR("IN" &amp; _xlfn.TEXTBEFORE(_xlfn.TEXTAFTER(UPPER(tblShipments5[[#This Row],[Gateway_clean]]),"IN")," ",1),"")</f>
        <v>INMUN1</v>
      </c>
      <c r="P255" t="str">
        <f>SUBSTITUTE(tblShipments5[[#This Row],[Gateway]], CHAR(10), " ")</f>
        <v xml:space="preserve">AWB No. Gateway Port Gateway EGM No. Gateway EGM Date Gateway Site ID Error Code N.A.  INMUN1  134795  2017-09-08 00:00:00.0  INMUN1  S </v>
      </c>
      <c r="Q255" t="s">
        <v>451</v>
      </c>
    </row>
    <row r="256" spans="1:17" x14ac:dyDescent="0.35">
      <c r="A256" t="s">
        <v>8</v>
      </c>
      <c r="B256">
        <v>7804407</v>
      </c>
      <c r="C256" s="2" t="s">
        <v>153</v>
      </c>
      <c r="D256" s="2" t="str">
        <f>LEFT(TRIM(MID(SUBSTITUTE(tblShipments5[[#This Row],[Details]],CHAR(10)," "), FIND(CHAR(10),tblShipments5[[#This Row],[Details]])+1, 50)), 10)</f>
        <v>0511034661</v>
      </c>
      <c r="E256" t="s">
        <v>176</v>
      </c>
      <c r="F25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6" t="str">
        <f>IF(tblShipments5[[#This Row],[EGM no]]="", "Missing EGM", "EGM Submitted")</f>
        <v>EGM Submitted</v>
      </c>
      <c r="H256" t="str">
        <f>IF(OR(ISNUMBER(SEARCH("Released",tblShipments5[[#This Row],[ROSL]])),
      ISNUMBER(SEARCH("Scroll",tblShipments5[[#This Row],[ROSL]])),
      ISNUMBER(SEARCH("Y",tblShipments5[[#This Row],[ROSL]]))),
   "Released",
   "Not Released")</f>
        <v>Released</v>
      </c>
      <c r="I256" t="str">
        <f>IF(OR(tblShipments5[[#This Row],[EGM no]]="", tblShipments5[[#This Row],[EGM no]]="N.A."), "Not Submitted", "Submitted")</f>
        <v>Submitted</v>
      </c>
      <c r="J256" t="str">
        <f>IF(LEFT(tblShipments5[[#This Row],[Gateway_Extracted]],2)="IN","Valid","Invalid")</f>
        <v>Valid</v>
      </c>
      <c r="K256" t="s">
        <v>177</v>
      </c>
      <c r="L256" t="s">
        <v>178</v>
      </c>
      <c r="M256" t="s">
        <v>31</v>
      </c>
      <c r="N256" t="s">
        <v>179</v>
      </c>
      <c r="O256" t="str">
        <f>IFERROR("IN" &amp; _xlfn.TEXTBEFORE(_xlfn.TEXTAFTER(UPPER(tblShipments5[[#This Row],[Gateway_clean]]),"IN")," ",1),"")</f>
        <v>INNSA1</v>
      </c>
      <c r="P256" t="str">
        <f>SUBSTITUTE(tblShipments5[[#This Row],[Gateway]], CHAR(10), " ")</f>
        <v xml:space="preserve">AWB No. Gateway Port Gateway EGM No. Gateway EGM Date Gateway Site ID Error Code N.A.  INNSA1  132332  2017-07-28 00:00:00.0  INNSA1  S </v>
      </c>
      <c r="Q256" t="s">
        <v>180</v>
      </c>
    </row>
    <row r="257" spans="1:17" x14ac:dyDescent="0.35">
      <c r="A257" t="s">
        <v>8</v>
      </c>
      <c r="B257">
        <v>9161051</v>
      </c>
      <c r="C257" s="2" t="s">
        <v>981</v>
      </c>
      <c r="D257" s="2" t="str">
        <f>LEFT(TRIM(MID(SUBSTITUTE(tblShipments5[[#This Row],[Details]],CHAR(10)," "), FIND(CHAR(10),tblShipments5[[#This Row],[Details]])+1, 50)), 10)</f>
        <v>0511034661</v>
      </c>
      <c r="E257" t="s">
        <v>982</v>
      </c>
      <c r="F25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7" t="str">
        <f>IF(tblShipments5[[#This Row],[EGM no]]="", "Missing EGM", "EGM Submitted")</f>
        <v>EGM Submitted</v>
      </c>
      <c r="H257" t="str">
        <f>IF(OR(ISNUMBER(SEARCH("Released",tblShipments5[[#This Row],[ROSL]])),
      ISNUMBER(SEARCH("Scroll",tblShipments5[[#This Row],[ROSL]])),
      ISNUMBER(SEARCH("Y",tblShipments5[[#This Row],[ROSL]]))),
   "Released",
   "Not Released")</f>
        <v>Released</v>
      </c>
      <c r="I257" t="str">
        <f>IF(OR(tblShipments5[[#This Row],[EGM no]]="", tblShipments5[[#This Row],[EGM no]]="N.A."), "Not Submitted", "Submitted")</f>
        <v>Submitted</v>
      </c>
      <c r="J257" t="str">
        <f>IF(LEFT(tblShipments5[[#This Row],[Gateway_Extracted]],2)="IN","Valid","Invalid")</f>
        <v>Valid</v>
      </c>
      <c r="K257" t="s">
        <v>983</v>
      </c>
      <c r="L257" t="s">
        <v>984</v>
      </c>
      <c r="M257" t="s">
        <v>31</v>
      </c>
      <c r="N257" t="s">
        <v>985</v>
      </c>
      <c r="O257" t="str">
        <f>IFERROR("IN" &amp; _xlfn.TEXTBEFORE(_xlfn.TEXTAFTER(UPPER(tblShipments5[[#This Row],[Gateway_clean]]),"IN")," ",1),"")</f>
        <v>INNSA1</v>
      </c>
      <c r="P257" t="str">
        <f>SUBSTITUTE(tblShipments5[[#This Row],[Gateway]], CHAR(10), " ")</f>
        <v xml:space="preserve">AWB No. Gateway Port Gateway EGM No. Gateway EGM Date Gateway Site ID Error Code N.A.  INNSA1  136151  2017-10-03 00:00:00.0  INNSA1  S </v>
      </c>
      <c r="Q257" t="s">
        <v>986</v>
      </c>
    </row>
    <row r="258" spans="1:17" x14ac:dyDescent="0.35">
      <c r="A258" t="s">
        <v>8</v>
      </c>
      <c r="B258">
        <v>7759192</v>
      </c>
      <c r="C258" s="2" t="s">
        <v>120</v>
      </c>
      <c r="D258" s="2" t="str">
        <f>LEFT(TRIM(MID(SUBSTITUTE(tblShipments5[[#This Row],[Details]],CHAR(10)," "), FIND(CHAR(10),tblShipments5[[#This Row],[Details]])+1, 50)), 10)</f>
        <v>0598005498</v>
      </c>
      <c r="E258" t="s">
        <v>121</v>
      </c>
      <c r="F25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8" t="str">
        <f>IF(tblShipments5[[#This Row],[EGM no]]="", "Missing EGM", "EGM Submitted")</f>
        <v>EGM Submitted</v>
      </c>
      <c r="H258" t="str">
        <f>IF(OR(ISNUMBER(SEARCH("Released",tblShipments5[[#This Row],[ROSL]])),
      ISNUMBER(SEARCH("Scroll",tblShipments5[[#This Row],[ROSL]])),
      ISNUMBER(SEARCH("Y",tblShipments5[[#This Row],[ROSL]]))),
   "Released",
   "Not Released")</f>
        <v>Released</v>
      </c>
      <c r="I258" t="str">
        <f>IF(OR(tblShipments5[[#This Row],[EGM no]]="", tblShipments5[[#This Row],[EGM no]]="N.A."), "Not Submitted", "Submitted")</f>
        <v>Submitted</v>
      </c>
      <c r="J258" t="str">
        <f>IF(LEFT(tblShipments5[[#This Row],[Gateway_Extracted]],2)="IN","Valid","Invalid")</f>
        <v>Valid</v>
      </c>
      <c r="K258" t="s">
        <v>122</v>
      </c>
      <c r="L258" t="s">
        <v>123</v>
      </c>
      <c r="M258" t="s">
        <v>13</v>
      </c>
      <c r="N258" t="s">
        <v>124</v>
      </c>
      <c r="O258" t="str">
        <f>IFERROR("IN" &amp; _xlfn.TEXTBEFORE(_xlfn.TEXTAFTER(UPPER(tblShipments5[[#This Row],[Gateway_clean]]),"IN")," ",1),"")</f>
        <v>INPAV1</v>
      </c>
      <c r="P258" t="str">
        <f>SUBSTITUTE(tblShipments5[[#This Row],[Gateway]], CHAR(10), " ")</f>
        <v xml:space="preserve">AWB No. Gateway Port Gateway EGM No. Gateway EGM Date Gateway Site ID Error Code N.A.  INPAV1  132210  2017-07-26 00:00:00.0  INPAV1  S </v>
      </c>
      <c r="Q258" t="s">
        <v>125</v>
      </c>
    </row>
    <row r="259" spans="1:17" x14ac:dyDescent="0.35">
      <c r="A259" t="s">
        <v>8</v>
      </c>
      <c r="B259">
        <v>8615986</v>
      </c>
      <c r="C259" s="2" t="s">
        <v>681</v>
      </c>
      <c r="D259" s="2" t="str">
        <f>LEFT(TRIM(MID(SUBSTITUTE(tblShipments5[[#This Row],[Details]],CHAR(10)," "), FIND(CHAR(10),tblShipments5[[#This Row],[Details]])+1, 50)), 10)</f>
        <v>0598059113</v>
      </c>
      <c r="E259" t="s">
        <v>722</v>
      </c>
      <c r="F25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59" t="str">
        <f>IF(tblShipments5[[#This Row],[EGM no]]="", "Missing EGM", "EGM Submitted")</f>
        <v>EGM Submitted</v>
      </c>
      <c r="H259" t="str">
        <f>IF(OR(ISNUMBER(SEARCH("Released",tblShipments5[[#This Row],[ROSL]])),
      ISNUMBER(SEARCH("Scroll",tblShipments5[[#This Row],[ROSL]])),
      ISNUMBER(SEARCH("Y",tblShipments5[[#This Row],[ROSL]]))),
   "Released",
   "Not Released")</f>
        <v>Released</v>
      </c>
      <c r="I259" t="str">
        <f>IF(OR(tblShipments5[[#This Row],[EGM no]]="", tblShipments5[[#This Row],[EGM no]]="N.A."), "Not Submitted", "Submitted")</f>
        <v>Submitted</v>
      </c>
      <c r="J259" t="str">
        <f>IF(LEFT(tblShipments5[[#This Row],[Gateway_Extracted]],2)="IN","Valid","Invalid")</f>
        <v>Valid</v>
      </c>
      <c r="K259" t="s">
        <v>723</v>
      </c>
      <c r="L259" t="s">
        <v>724</v>
      </c>
      <c r="M259" t="s">
        <v>13</v>
      </c>
      <c r="N259" t="s">
        <v>725</v>
      </c>
      <c r="O259" t="str">
        <f>IFERROR("IN" &amp; _xlfn.TEXTBEFORE(_xlfn.TEXTAFTER(UPPER(tblShipments5[[#This Row],[Gateway_clean]]),"IN")," ",1),"")</f>
        <v>INMUN1</v>
      </c>
      <c r="P259" t="str">
        <f>SUBSTITUTE(tblShipments5[[#This Row],[Gateway]], CHAR(10), " ")</f>
        <v xml:space="preserve">AWB No. Gateway Port Gateway EGM No. Gateway EGM Date Gateway Site ID Error Code N.A.  INMUN1  134919  2017-09-12 00:00:00.0  INMUN1  S </v>
      </c>
      <c r="Q259" t="s">
        <v>726</v>
      </c>
    </row>
    <row r="260" spans="1:17" x14ac:dyDescent="0.35">
      <c r="A260" t="s">
        <v>8</v>
      </c>
      <c r="B260">
        <v>9029616</v>
      </c>
      <c r="C260" s="2" t="s">
        <v>917</v>
      </c>
      <c r="D260" s="2" t="str">
        <f>LEFT(TRIM(MID(SUBSTITUTE(tblShipments5[[#This Row],[Details]],CHAR(10)," "), FIND(CHAR(10),tblShipments5[[#This Row],[Details]])+1, 50)), 10)</f>
        <v>0598059113</v>
      </c>
      <c r="E260" t="s">
        <v>918</v>
      </c>
      <c r="F26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0" t="str">
        <f>IF(tblShipments5[[#This Row],[EGM no]]="", "Missing EGM", "EGM Submitted")</f>
        <v>EGM Submitted</v>
      </c>
      <c r="H260" t="str">
        <f>IF(OR(ISNUMBER(SEARCH("Released",tblShipments5[[#This Row],[ROSL]])),
      ISNUMBER(SEARCH("Scroll",tblShipments5[[#This Row],[ROSL]])),
      ISNUMBER(SEARCH("Y",tblShipments5[[#This Row],[ROSL]]))),
   "Released",
   "Not Released")</f>
        <v>Released</v>
      </c>
      <c r="I260" t="str">
        <f>IF(OR(tblShipments5[[#This Row],[EGM no]]="", tblShipments5[[#This Row],[EGM no]]="N.A."), "Not Submitted", "Submitted")</f>
        <v>Submitted</v>
      </c>
      <c r="J260" t="str">
        <f>IF(LEFT(tblShipments5[[#This Row],[Gateway_Extracted]],2)="IN","Valid","Invalid")</f>
        <v>Valid</v>
      </c>
      <c r="K260" t="s">
        <v>919</v>
      </c>
      <c r="L260" t="s">
        <v>920</v>
      </c>
      <c r="M260" t="s">
        <v>13</v>
      </c>
      <c r="N260" t="s">
        <v>921</v>
      </c>
      <c r="O260" t="str">
        <f>IFERROR("IN" &amp; _xlfn.TEXTBEFORE(_xlfn.TEXTAFTER(UPPER(tblShipments5[[#This Row],[Gateway_clean]]),"IN")," ",1),"")</f>
        <v>INMUN1</v>
      </c>
      <c r="P260" t="str">
        <f>SUBSTITUTE(tblShipments5[[#This Row],[Gateway]], CHAR(10), " ")</f>
        <v xml:space="preserve">AWB No. Gateway Port Gateway EGM No. Gateway EGM Date Gateway Site ID Error Code N.A.  INMUN1  136518  2017-10-09 00:00:00.0  INMUN1  S </v>
      </c>
      <c r="Q260" t="s">
        <v>922</v>
      </c>
    </row>
    <row r="261" spans="1:17" x14ac:dyDescent="0.35">
      <c r="A261" t="s">
        <v>8</v>
      </c>
      <c r="B261">
        <v>1469621</v>
      </c>
      <c r="C261" s="2" t="s">
        <v>1459</v>
      </c>
      <c r="D261" s="2" t="str">
        <f>LEFT(TRIM(MID(SUBSTITUTE(tblShipments5[[#This Row],[Details]],CHAR(10)," "), FIND(CHAR(10),tblShipments5[[#This Row],[Details]])+1, 50)), 10)</f>
        <v>0598059113</v>
      </c>
      <c r="E261" t="s">
        <v>1470</v>
      </c>
      <c r="F26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1" t="str">
        <f>IF(tblShipments5[[#This Row],[EGM no]]="", "Missing EGM", "EGM Submitted")</f>
        <v>EGM Submitted</v>
      </c>
      <c r="H261" t="str">
        <f>IF(OR(ISNUMBER(SEARCH("Released",tblShipments5[[#This Row],[ROSL]])),
      ISNUMBER(SEARCH("Scroll",tblShipments5[[#This Row],[ROSL]])),
      ISNUMBER(SEARCH("Y",tblShipments5[[#This Row],[ROSL]]))),
   "Released",
   "Not Released")</f>
        <v>Released</v>
      </c>
      <c r="I261" t="str">
        <f>IF(OR(tblShipments5[[#This Row],[EGM no]]="", tblShipments5[[#This Row],[EGM no]]="N.A."), "Not Submitted", "Submitted")</f>
        <v>Submitted</v>
      </c>
      <c r="J261" t="str">
        <f>IF(LEFT(tblShipments5[[#This Row],[Gateway_Extracted]],2)="IN","Valid","Invalid")</f>
        <v>Valid</v>
      </c>
      <c r="K261" t="s">
        <v>1471</v>
      </c>
      <c r="L261" t="s">
        <v>1472</v>
      </c>
      <c r="M261" t="s">
        <v>13</v>
      </c>
      <c r="N261" t="s">
        <v>1473</v>
      </c>
      <c r="O261" t="str">
        <f>IFERROR("IN" &amp; _xlfn.TEXTBEFORE(_xlfn.TEXTAFTER(UPPER(tblShipments5[[#This Row],[Gateway_clean]]),"IN")," ",1),"")</f>
        <v>INMUN1</v>
      </c>
      <c r="P261" t="str">
        <f>SUBSTITUTE(tblShipments5[[#This Row],[Gateway]], CHAR(10), " ")</f>
        <v xml:space="preserve">AWB No. Gateway Port Gateway EGM No. Gateway EGM Date Gateway Site ID Error Code N.A.  INMUN1  141077  2017-12-21 00:00:00.0  INMUN1  S </v>
      </c>
      <c r="Q261" t="s">
        <v>1474</v>
      </c>
    </row>
    <row r="262" spans="1:17" x14ac:dyDescent="0.35">
      <c r="A262" t="s">
        <v>8</v>
      </c>
      <c r="B262">
        <v>9093386</v>
      </c>
      <c r="C262" s="2" t="s">
        <v>939</v>
      </c>
      <c r="D262" s="2" t="str">
        <f>LEFT(TRIM(MID(SUBSTITUTE(tblShipments5[[#This Row],[Details]],CHAR(10)," "), FIND(CHAR(10),tblShipments5[[#This Row],[Details]])+1, 50)), 10)</f>
        <v>0516502123</v>
      </c>
      <c r="E262" t="s">
        <v>949</v>
      </c>
      <c r="F26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2" t="str">
        <f>IF(tblShipments5[[#This Row],[EGM no]]="", "Missing EGM", "EGM Submitted")</f>
        <v>EGM Submitted</v>
      </c>
      <c r="H262" t="str">
        <f>IF(OR(ISNUMBER(SEARCH("Released",tblShipments5[[#This Row],[ROSL]])),
      ISNUMBER(SEARCH("Scroll",tblShipments5[[#This Row],[ROSL]])),
      ISNUMBER(SEARCH("Y",tblShipments5[[#This Row],[ROSL]]))),
   "Released",
   "Not Released")</f>
        <v>Released</v>
      </c>
      <c r="I262" t="str">
        <f>IF(OR(tblShipments5[[#This Row],[EGM no]]="", tblShipments5[[#This Row],[EGM no]]="N.A."), "Not Submitted", "Submitted")</f>
        <v>Submitted</v>
      </c>
      <c r="J262" t="str">
        <f>IF(LEFT(tblShipments5[[#This Row],[Gateway_Extracted]],2)="IN","Valid","Invalid")</f>
        <v>Valid</v>
      </c>
      <c r="K262" t="s">
        <v>930</v>
      </c>
      <c r="L262" t="s">
        <v>950</v>
      </c>
      <c r="M262" t="s">
        <v>13</v>
      </c>
      <c r="N262" t="s">
        <v>951</v>
      </c>
      <c r="O262" t="str">
        <f>IFERROR("IN" &amp; _xlfn.TEXTBEFORE(_xlfn.TEXTAFTER(UPPER(tblShipments5[[#This Row],[Gateway_clean]]),"IN")," ",1),"")</f>
        <v>INMUN1</v>
      </c>
      <c r="P262" t="str">
        <f>SUBSTITUTE(tblShipments5[[#This Row],[Gateway]], CHAR(10), " ")</f>
        <v xml:space="preserve">AWB No. Gateway Port Gateway EGM No. Gateway EGM Date Gateway Site ID Error Code N.A.  INMUN1  140361  2017-12-08 00:00:00.0  INMUN1  S </v>
      </c>
      <c r="Q262" t="s">
        <v>952</v>
      </c>
    </row>
    <row r="263" spans="1:17" x14ac:dyDescent="0.35">
      <c r="A263" t="s">
        <v>8</v>
      </c>
      <c r="B263">
        <v>7968231</v>
      </c>
      <c r="C263" s="2" t="s">
        <v>255</v>
      </c>
      <c r="D263" s="2" t="str">
        <f>LEFT(TRIM(MID(SUBSTITUTE(tblShipments5[[#This Row],[Details]],CHAR(10)," "), FIND(CHAR(10),tblShipments5[[#This Row],[Details]])+1, 50)), 10)</f>
        <v>0517546981</v>
      </c>
      <c r="E263" t="s">
        <v>267</v>
      </c>
      <c r="F26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3" t="str">
        <f>IF(tblShipments5[[#This Row],[EGM no]]="", "Missing EGM", "EGM Submitted")</f>
        <v>EGM Submitted</v>
      </c>
      <c r="H263" t="str">
        <f>IF(OR(ISNUMBER(SEARCH("Released",tblShipments5[[#This Row],[ROSL]])),
      ISNUMBER(SEARCH("Scroll",tblShipments5[[#This Row],[ROSL]])),
      ISNUMBER(SEARCH("Y",tblShipments5[[#This Row],[ROSL]]))),
   "Released",
   "Not Released")</f>
        <v>Released</v>
      </c>
      <c r="I263" t="str">
        <f>IF(OR(tblShipments5[[#This Row],[EGM no]]="", tblShipments5[[#This Row],[EGM no]]="N.A."), "Not Submitted", "Submitted")</f>
        <v>Submitted</v>
      </c>
      <c r="J263" t="str">
        <f>IF(LEFT(tblShipments5[[#This Row],[Gateway_Extracted]],2)="IN","Valid","Invalid")</f>
        <v>Valid</v>
      </c>
      <c r="K263" t="s">
        <v>268</v>
      </c>
      <c r="L263" t="s">
        <v>269</v>
      </c>
      <c r="M263" t="s">
        <v>31</v>
      </c>
      <c r="N263" t="s">
        <v>270</v>
      </c>
      <c r="O263" t="str">
        <f>IFERROR("IN" &amp; _xlfn.TEXTBEFORE(_xlfn.TEXTAFTER(UPPER(tblShipments5[[#This Row],[Gateway_clean]]),"IN")," ",1),"")</f>
        <v>INMUN1</v>
      </c>
      <c r="P263" t="str">
        <f>SUBSTITUTE(tblShipments5[[#This Row],[Gateway]], CHAR(10), " ")</f>
        <v xml:space="preserve">AWB No. Gateway Port Gateway EGM No. Gateway EGM Date Gateway Site ID Error Code N.A.  INMUN1  137180  2017-10-18 00:00:00.0  INMUN1  ST </v>
      </c>
      <c r="Q263" t="s">
        <v>212</v>
      </c>
    </row>
    <row r="264" spans="1:17" x14ac:dyDescent="0.35">
      <c r="A264" t="s">
        <v>8</v>
      </c>
      <c r="B264">
        <v>7183827</v>
      </c>
      <c r="C264" s="2" t="s">
        <v>21</v>
      </c>
      <c r="D264" s="2" t="str">
        <f>LEFT(TRIM(MID(SUBSTITUTE(tblShipments5[[#This Row],[Details]],CHAR(10)," "), FIND(CHAR(10),tblShipments5[[#This Row],[Details]])+1, 50)), 10)</f>
        <v>0506074994</v>
      </c>
      <c r="E264" t="s">
        <v>22</v>
      </c>
      <c r="F26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4" t="str">
        <f>IF(tblShipments5[[#This Row],[EGM no]]="", "Missing EGM", "EGM Submitted")</f>
        <v>EGM Submitted</v>
      </c>
      <c r="H264" t="str">
        <f>IF(OR(ISNUMBER(SEARCH("Released",tblShipments5[[#This Row],[ROSL]])),
      ISNUMBER(SEARCH("Scroll",tblShipments5[[#This Row],[ROSL]])),
      ISNUMBER(SEARCH("Y",tblShipments5[[#This Row],[ROSL]]))),
   "Released",
   "Not Released")</f>
        <v>Released</v>
      </c>
      <c r="I264" t="str">
        <f>IF(OR(tblShipments5[[#This Row],[EGM no]]="", tblShipments5[[#This Row],[EGM no]]="N.A."), "Not Submitted", "Submitted")</f>
        <v>Submitted</v>
      </c>
      <c r="J264" t="str">
        <f>IF(LEFT(tblShipments5[[#This Row],[Gateway_Extracted]],2)="IN","Valid","Invalid")</f>
        <v>Valid</v>
      </c>
      <c r="K264" t="s">
        <v>23</v>
      </c>
      <c r="L264" t="s">
        <v>24</v>
      </c>
      <c r="M264" t="s">
        <v>13</v>
      </c>
      <c r="N264" t="s">
        <v>25</v>
      </c>
      <c r="O264" t="str">
        <f>IFERROR("IN" &amp; _xlfn.TEXTBEFORE(_xlfn.TEXTAFTER(UPPER(tblShipments5[[#This Row],[Gateway_clean]]),"IN")," ",1),"")</f>
        <v>INNSA1</v>
      </c>
      <c r="P264" t="str">
        <f>SUBSTITUTE(tblShipments5[[#This Row],[Gateway]], CHAR(10), " ")</f>
        <v xml:space="preserve">AWB No. Gateway Port Gateway EGM No. Gateway EGM Date Gateway Site ID Error Code N.A.  INNSA1  N.A.  N.A.  N.A.  N.A. </v>
      </c>
      <c r="Q264" t="s">
        <v>26</v>
      </c>
    </row>
    <row r="265" spans="1:17" x14ac:dyDescent="0.35">
      <c r="A265" t="s">
        <v>8</v>
      </c>
      <c r="B265">
        <v>1509191</v>
      </c>
      <c r="C265" s="2" t="s">
        <v>1499</v>
      </c>
      <c r="D265" s="2" t="str">
        <f>LEFT(TRIM(MID(SUBSTITUTE(tblShipments5[[#This Row],[Details]],CHAR(10)," "), FIND(CHAR(10),tblShipments5[[#This Row],[Details]])+1, 50)), 10)</f>
        <v>0515934062</v>
      </c>
      <c r="E265" t="s">
        <v>1500</v>
      </c>
      <c r="F26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5" t="str">
        <f>IF(tblShipments5[[#This Row],[EGM no]]="", "Missing EGM", "EGM Submitted")</f>
        <v>EGM Submitted</v>
      </c>
      <c r="H265" t="str">
        <f>IF(OR(ISNUMBER(SEARCH("Released",tblShipments5[[#This Row],[ROSL]])),
      ISNUMBER(SEARCH("Scroll",tblShipments5[[#This Row],[ROSL]])),
      ISNUMBER(SEARCH("Y",tblShipments5[[#This Row],[ROSL]]))),
   "Released",
   "Not Released")</f>
        <v>Released</v>
      </c>
      <c r="I265" t="str">
        <f>IF(OR(tblShipments5[[#This Row],[EGM no]]="", tblShipments5[[#This Row],[EGM no]]="N.A."), "Not Submitted", "Submitted")</f>
        <v>Submitted</v>
      </c>
      <c r="J265" t="str">
        <f>IF(LEFT(tblShipments5[[#This Row],[Gateway_Extracted]],2)="IN","Valid","Invalid")</f>
        <v>Invalid</v>
      </c>
      <c r="K265" t="s">
        <v>1501</v>
      </c>
      <c r="L265" t="s">
        <v>1502</v>
      </c>
      <c r="M265" t="s">
        <v>13</v>
      </c>
      <c r="N265" t="s">
        <v>1503</v>
      </c>
      <c r="O265" t="str">
        <f>IFERROR("IN" &amp; _xlfn.TEXTBEFORE(_xlfn.TEXTAFTER(UPPER(tblShipments5[[#This Row],[Gateway_clean]]),"IN")," ",1),"")</f>
        <v/>
      </c>
      <c r="P265" t="str">
        <f>SUBSTITUTE(tblShipments5[[#This Row],[Gateway]], CHAR(10), " ")</f>
        <v>Please Wait....</v>
      </c>
      <c r="Q265" t="s">
        <v>105</v>
      </c>
    </row>
    <row r="266" spans="1:17" x14ac:dyDescent="0.35">
      <c r="A266" t="s">
        <v>8</v>
      </c>
      <c r="B266">
        <v>9353344</v>
      </c>
      <c r="C266" s="2" t="s">
        <v>1032</v>
      </c>
      <c r="D266" s="2" t="str">
        <f>LEFT(TRIM(MID(SUBSTITUTE(tblShipments5[[#This Row],[Details]],CHAR(10)," "), FIND(CHAR(10),tblShipments5[[#This Row],[Details]])+1, 50)), 10)</f>
        <v>0500054339</v>
      </c>
      <c r="E266" t="s">
        <v>1042</v>
      </c>
      <c r="F26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6" t="str">
        <f>IF(tblShipments5[[#This Row],[EGM no]]="", "Missing EGM", "EGM Submitted")</f>
        <v>EGM Submitted</v>
      </c>
      <c r="H266" t="str">
        <f>IF(OR(ISNUMBER(SEARCH("Released",tblShipments5[[#This Row],[ROSL]])),
      ISNUMBER(SEARCH("Scroll",tblShipments5[[#This Row],[ROSL]])),
      ISNUMBER(SEARCH("Y",tblShipments5[[#This Row],[ROSL]]))),
   "Released",
   "Not Released")</f>
        <v>Released</v>
      </c>
      <c r="I266" t="str">
        <f>IF(OR(tblShipments5[[#This Row],[EGM no]]="", tblShipments5[[#This Row],[EGM no]]="N.A."), "Not Submitted", "Submitted")</f>
        <v>Submitted</v>
      </c>
      <c r="J266" t="str">
        <f>IF(LEFT(tblShipments5[[#This Row],[Gateway_Extracted]],2)="IN","Valid","Invalid")</f>
        <v>Valid</v>
      </c>
      <c r="K266" t="s">
        <v>1029</v>
      </c>
      <c r="L266" t="s">
        <v>1043</v>
      </c>
      <c r="M266" t="s">
        <v>31</v>
      </c>
      <c r="N266" t="s">
        <v>1044</v>
      </c>
      <c r="O266" t="str">
        <f>IFERROR("IN" &amp; _xlfn.TEXTBEFORE(_xlfn.TEXTAFTER(UPPER(tblShipments5[[#This Row],[Gateway_clean]]),"IN")," ",1),"")</f>
        <v>INMUN1</v>
      </c>
      <c r="P266" t="str">
        <f>SUBSTITUTE(tblShipments5[[#This Row],[Gateway]], CHAR(10), " ")</f>
        <v xml:space="preserve">AWB No. Gateway Port Gateway EGM No. Gateway EGM Date Gateway Site ID Error Code N.A.  INMUN1  137573  2017-10-25 00:00:00.0  INMUN1  S </v>
      </c>
      <c r="Q266" t="s">
        <v>1045</v>
      </c>
    </row>
    <row r="267" spans="1:17" x14ac:dyDescent="0.35">
      <c r="A267" t="s">
        <v>8</v>
      </c>
      <c r="B267">
        <v>7751210</v>
      </c>
      <c r="C267" s="2" t="s">
        <v>106</v>
      </c>
      <c r="D267" s="2" t="str">
        <f>LEFT(TRIM(MID(SUBSTITUTE(tblShipments5[[#This Row],[Details]],CHAR(10)," "), FIND(CHAR(10),tblShipments5[[#This Row],[Details]])+1, 50)), 10)</f>
        <v>0596061315</v>
      </c>
      <c r="E267" t="s">
        <v>117</v>
      </c>
      <c r="F26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7" t="str">
        <f>IF(tblShipments5[[#This Row],[EGM no]]="", "Missing EGM", "EGM Submitted")</f>
        <v>EGM Submitted</v>
      </c>
      <c r="H267" t="str">
        <f>IF(OR(ISNUMBER(SEARCH("Released",tblShipments5[[#This Row],[ROSL]])),
      ISNUMBER(SEARCH("Scroll",tblShipments5[[#This Row],[ROSL]])),
      ISNUMBER(SEARCH("Y",tblShipments5[[#This Row],[ROSL]]))),
   "Released",
   "Not Released")</f>
        <v>Released</v>
      </c>
      <c r="I267" t="str">
        <f>IF(OR(tblShipments5[[#This Row],[EGM no]]="", tblShipments5[[#This Row],[EGM no]]="N.A."), "Not Submitted", "Submitted")</f>
        <v>Submitted</v>
      </c>
      <c r="J267" t="str">
        <f>IF(LEFT(tblShipments5[[#This Row],[Gateway_Extracted]],2)="IN","Valid","Invalid")</f>
        <v>Valid</v>
      </c>
      <c r="K267" t="s">
        <v>83</v>
      </c>
      <c r="L267" t="s">
        <v>118</v>
      </c>
      <c r="M267" t="s">
        <v>13</v>
      </c>
      <c r="N267" t="s">
        <v>119</v>
      </c>
      <c r="O267" t="str">
        <f>IFERROR("IN" &amp; _xlfn.TEXTBEFORE(_xlfn.TEXTAFTER(UPPER(tblShipments5[[#This Row],[Gateway_clean]]),"IN")," ",1),"")</f>
        <v>INNSA1</v>
      </c>
      <c r="P267" t="str">
        <f>SUBSTITUTE(tblShipments5[[#This Row],[Gateway]], CHAR(10), " ")</f>
        <v xml:space="preserve">AWB No. Gateway Port Gateway EGM No. Gateway EGM Date Gateway Site ID Error Code N.A.  INNSA1  N.A.  N.A.  N.A.  N.A. </v>
      </c>
      <c r="Q267" t="s">
        <v>26</v>
      </c>
    </row>
    <row r="268" spans="1:17" x14ac:dyDescent="0.35">
      <c r="A268" t="s">
        <v>8</v>
      </c>
      <c r="B268">
        <v>8581999</v>
      </c>
      <c r="C268" s="2" t="s">
        <v>657</v>
      </c>
      <c r="D268" s="2" t="str">
        <f>LEFT(TRIM(MID(SUBSTITUTE(tblShipments5[[#This Row],[Details]],CHAR(10)," "), FIND(CHAR(10),tblShipments5[[#This Row],[Details]])+1, 50)), 10)</f>
        <v>0515060291</v>
      </c>
      <c r="E268" t="s">
        <v>668</v>
      </c>
      <c r="F26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8" t="str">
        <f>IF(tblShipments5[[#This Row],[EGM no]]="", "Missing EGM", "EGM Submitted")</f>
        <v>EGM Submitted</v>
      </c>
      <c r="H268" t="str">
        <f>IF(OR(ISNUMBER(SEARCH("Released",tblShipments5[[#This Row],[ROSL]])),
      ISNUMBER(SEARCH("Scroll",tblShipments5[[#This Row],[ROSL]])),
      ISNUMBER(SEARCH("Y",tblShipments5[[#This Row],[ROSL]]))),
   "Released",
   "Not Released")</f>
        <v>Released</v>
      </c>
      <c r="I268" t="str">
        <f>IF(OR(tblShipments5[[#This Row],[EGM no]]="", tblShipments5[[#This Row],[EGM no]]="N.A."), "Not Submitted", "Submitted")</f>
        <v>Submitted</v>
      </c>
      <c r="J268" t="str">
        <f>IF(LEFT(tblShipments5[[#This Row],[Gateway_Extracted]],2)="IN","Valid","Invalid")</f>
        <v>Valid</v>
      </c>
      <c r="K268" t="s">
        <v>669</v>
      </c>
      <c r="L268" t="s">
        <v>670</v>
      </c>
      <c r="M268" t="s">
        <v>13</v>
      </c>
      <c r="N268" t="s">
        <v>671</v>
      </c>
      <c r="O268" t="str">
        <f>IFERROR("IN" &amp; _xlfn.TEXTBEFORE(_xlfn.TEXTAFTER(UPPER(tblShipments5[[#This Row],[Gateway_clean]]),"IN")," ",1),"")</f>
        <v>INNSA1</v>
      </c>
      <c r="P268" t="str">
        <f>SUBSTITUTE(tblShipments5[[#This Row],[Gateway]], CHAR(10), " ")</f>
        <v xml:space="preserve">AWB No. Gateway Port Gateway EGM No. Gateway EGM Date Gateway Site ID Error Code N.A.  INNSA1  135192  2017-09-15 00:00:00.0  INNSA1  S </v>
      </c>
      <c r="Q268" t="s">
        <v>672</v>
      </c>
    </row>
    <row r="269" spans="1:17" x14ac:dyDescent="0.35">
      <c r="A269" t="s">
        <v>8</v>
      </c>
      <c r="B269">
        <v>8775656</v>
      </c>
      <c r="C269" s="2" t="s">
        <v>784</v>
      </c>
      <c r="D269" s="2" t="str">
        <f>LEFT(TRIM(MID(SUBSTITUTE(tblShipments5[[#This Row],[Details]],CHAR(10)," "), FIND(CHAR(10),tblShipments5[[#This Row],[Details]])+1, 50)), 10)</f>
        <v>0501045813</v>
      </c>
      <c r="E269" t="s">
        <v>785</v>
      </c>
      <c r="F26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69" t="str">
        <f>IF(tblShipments5[[#This Row],[EGM no]]="", "Missing EGM", "EGM Submitted")</f>
        <v>EGM Submitted</v>
      </c>
      <c r="H269" t="str">
        <f>IF(OR(ISNUMBER(SEARCH("Released",tblShipments5[[#This Row],[ROSL]])),
      ISNUMBER(SEARCH("Scroll",tblShipments5[[#This Row],[ROSL]])),
      ISNUMBER(SEARCH("Y",tblShipments5[[#This Row],[ROSL]]))),
   "Released",
   "Not Released")</f>
        <v>Released</v>
      </c>
      <c r="I269" t="str">
        <f>IF(OR(tblShipments5[[#This Row],[EGM no]]="", tblShipments5[[#This Row],[EGM no]]="N.A."), "Not Submitted", "Submitted")</f>
        <v>Submitted</v>
      </c>
      <c r="J269" t="str">
        <f>IF(LEFT(tblShipments5[[#This Row],[Gateway_Extracted]],2)="IN","Valid","Invalid")</f>
        <v>Valid</v>
      </c>
      <c r="K269" t="s">
        <v>786</v>
      </c>
      <c r="L269" t="s">
        <v>787</v>
      </c>
      <c r="M269" t="s">
        <v>31</v>
      </c>
      <c r="N269" t="s">
        <v>788</v>
      </c>
      <c r="O269" t="str">
        <f>IFERROR("IN" &amp; _xlfn.TEXTBEFORE(_xlfn.TEXTAFTER(UPPER(tblShipments5[[#This Row],[Gateway_clean]]),"IN")," ",1),"")</f>
        <v>INNSA1</v>
      </c>
      <c r="P269" t="str">
        <f>SUBSTITUTE(tblShipments5[[#This Row],[Gateway]], CHAR(10), " ")</f>
        <v xml:space="preserve">AWB No. Gateway Port Gateway EGM No. Gateway EGM Date Gateway Site ID Error Code N.A.  INNSA1  136144  2017-10-03 00:00:00.0  INNSA1  C </v>
      </c>
      <c r="Q269" t="s">
        <v>789</v>
      </c>
    </row>
    <row r="270" spans="1:17" x14ac:dyDescent="0.35">
      <c r="A270" t="s">
        <v>8</v>
      </c>
      <c r="B270">
        <v>8913772</v>
      </c>
      <c r="C270" s="2" t="s">
        <v>835</v>
      </c>
      <c r="D270" s="2" t="str">
        <f>LEFT(TRIM(MID(SUBSTITUTE(tblShipments5[[#This Row],[Details]],CHAR(10)," "), FIND(CHAR(10),tblShipments5[[#This Row],[Details]])+1, 50)), 10)</f>
        <v>0510005021</v>
      </c>
      <c r="E270" t="s">
        <v>856</v>
      </c>
      <c r="F27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0" t="str">
        <f>IF(tblShipments5[[#This Row],[EGM no]]="", "Missing EGM", "EGM Submitted")</f>
        <v>EGM Submitted</v>
      </c>
      <c r="H270" t="str">
        <f>IF(OR(ISNUMBER(SEARCH("Released",tblShipments5[[#This Row],[ROSL]])),
      ISNUMBER(SEARCH("Scroll",tblShipments5[[#This Row],[ROSL]])),
      ISNUMBER(SEARCH("Y",tblShipments5[[#This Row],[ROSL]]))),
   "Released",
   "Not Released")</f>
        <v>Released</v>
      </c>
      <c r="I270" t="str">
        <f>IF(OR(tblShipments5[[#This Row],[EGM no]]="", tblShipments5[[#This Row],[EGM no]]="N.A."), "Not Submitted", "Submitted")</f>
        <v>Submitted</v>
      </c>
      <c r="J270" t="str">
        <f>IF(LEFT(tblShipments5[[#This Row],[Gateway_Extracted]],2)="IN","Valid","Invalid")</f>
        <v>Valid</v>
      </c>
      <c r="K270" t="s">
        <v>857</v>
      </c>
      <c r="L270" t="s">
        <v>858</v>
      </c>
      <c r="M270" t="s">
        <v>31</v>
      </c>
      <c r="N270" t="s">
        <v>859</v>
      </c>
      <c r="O270" t="str">
        <f>IFERROR("IN" &amp; _xlfn.TEXTBEFORE(_xlfn.TEXTAFTER(UPPER(tblShipments5[[#This Row],[Gateway_clean]]),"IN")," ",1),"")</f>
        <v>INMUN1</v>
      </c>
      <c r="P270" t="str">
        <f>SUBSTITUTE(tblShipments5[[#This Row],[Gateway]], CHAR(10), " ")</f>
        <v xml:space="preserve">AWB No. Gateway Port Gateway EGM No. Gateway EGM Date Gateway Site ID Error Code N.A.  INMUN1  137768  2017-10-28 00:00:00.0  INMUN1  S </v>
      </c>
      <c r="Q270" t="s">
        <v>860</v>
      </c>
    </row>
    <row r="271" spans="1:17" x14ac:dyDescent="0.35">
      <c r="A271" t="s">
        <v>8</v>
      </c>
      <c r="B271">
        <v>1197442</v>
      </c>
      <c r="C271" s="2" t="s">
        <v>1298</v>
      </c>
      <c r="D271" s="2" t="str">
        <f>LEFT(TRIM(MID(SUBSTITUTE(tblShipments5[[#This Row],[Details]],CHAR(10)," "), FIND(CHAR(10),tblShipments5[[#This Row],[Details]])+1, 50)), 10)</f>
        <v>0592006832</v>
      </c>
      <c r="E271" t="s">
        <v>1309</v>
      </c>
      <c r="F27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1" t="str">
        <f>IF(tblShipments5[[#This Row],[EGM no]]="", "Missing EGM", "EGM Submitted")</f>
        <v>EGM Submitted</v>
      </c>
      <c r="H271" t="str">
        <f>IF(OR(ISNUMBER(SEARCH("Released",tblShipments5[[#This Row],[ROSL]])),
      ISNUMBER(SEARCH("Scroll",tblShipments5[[#This Row],[ROSL]])),
      ISNUMBER(SEARCH("Y",tblShipments5[[#This Row],[ROSL]]))),
   "Released",
   "Not Released")</f>
        <v>Released</v>
      </c>
      <c r="I271" t="str">
        <f>IF(OR(tblShipments5[[#This Row],[EGM no]]="", tblShipments5[[#This Row],[EGM no]]="N.A."), "Not Submitted", "Submitted")</f>
        <v>Submitted</v>
      </c>
      <c r="J271" t="str">
        <f>IF(LEFT(tblShipments5[[#This Row],[Gateway_Extracted]],2)="IN","Valid","Invalid")</f>
        <v>Valid</v>
      </c>
      <c r="K271" t="s">
        <v>1310</v>
      </c>
      <c r="L271" t="s">
        <v>1311</v>
      </c>
      <c r="M271" t="s">
        <v>31</v>
      </c>
      <c r="N271" t="s">
        <v>1312</v>
      </c>
      <c r="O271" t="str">
        <f>IFERROR("IN" &amp; _xlfn.TEXTBEFORE(_xlfn.TEXTAFTER(UPPER(tblShipments5[[#This Row],[Gateway_clean]]),"IN")," ",1),"")</f>
        <v>INNSA1</v>
      </c>
      <c r="P271" t="str">
        <f>SUBSTITUTE(tblShipments5[[#This Row],[Gateway]], CHAR(10), " ")</f>
        <v xml:space="preserve">AWB No. Gateway Port Gateway EGM No. Gateway EGM Date Gateway Site ID Error Code N.A.  INNSA1  139757  2017-11-29 00:00:00.0  INNSA1  S </v>
      </c>
      <c r="Q271" t="s">
        <v>1313</v>
      </c>
    </row>
    <row r="272" spans="1:17" x14ac:dyDescent="0.35">
      <c r="A272" t="s">
        <v>8</v>
      </c>
      <c r="B272">
        <v>8469058</v>
      </c>
      <c r="C272" s="2" t="s">
        <v>590</v>
      </c>
      <c r="D272" s="2" t="str">
        <f>LEFT(TRIM(MID(SUBSTITUTE(tblShipments5[[#This Row],[Details]],CHAR(10)," "), FIND(CHAR(10),tblShipments5[[#This Row],[Details]])+1, 50)), 10)</f>
        <v>0594004373</v>
      </c>
      <c r="E272" t="s">
        <v>607</v>
      </c>
      <c r="F27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2" t="str">
        <f>IF(tblShipments5[[#This Row],[EGM no]]="", "Missing EGM", "EGM Submitted")</f>
        <v>EGM Submitted</v>
      </c>
      <c r="H272" t="str">
        <f>IF(OR(ISNUMBER(SEARCH("Released",tblShipments5[[#This Row],[ROSL]])),
      ISNUMBER(SEARCH("Scroll",tblShipments5[[#This Row],[ROSL]])),
      ISNUMBER(SEARCH("Y",tblShipments5[[#This Row],[ROSL]]))),
   "Released",
   "Not Released")</f>
        <v>Released</v>
      </c>
      <c r="I272" t="str">
        <f>IF(OR(tblShipments5[[#This Row],[EGM no]]="", tblShipments5[[#This Row],[EGM no]]="N.A."), "Not Submitted", "Submitted")</f>
        <v>Submitted</v>
      </c>
      <c r="J272" t="str">
        <f>IF(LEFT(tblShipments5[[#This Row],[Gateway_Extracted]],2)="IN","Valid","Invalid")</f>
        <v>Valid</v>
      </c>
      <c r="K272" t="s">
        <v>534</v>
      </c>
      <c r="L272" t="s">
        <v>608</v>
      </c>
      <c r="M272" t="s">
        <v>13</v>
      </c>
      <c r="N272" t="s">
        <v>609</v>
      </c>
      <c r="O272" t="str">
        <f>IFERROR("IN" &amp; _xlfn.TEXTBEFORE(_xlfn.TEXTAFTER(UPPER(tblShipments5[[#This Row],[Gateway_clean]]),"IN")," ",1),"")</f>
        <v>INMUN1</v>
      </c>
      <c r="P272" t="str">
        <f>SUBSTITUTE(tblShipments5[[#This Row],[Gateway]], CHAR(10), " ")</f>
        <v xml:space="preserve">AWB No. Gateway Port Gateway EGM No. Gateway EGM Date Gateway Site ID Error Code N.A.  INMUN1  135390  2017-09-19 00:00:00.0  INMUN1  S </v>
      </c>
      <c r="Q272" t="s">
        <v>610</v>
      </c>
    </row>
    <row r="273" spans="1:17" x14ac:dyDescent="0.35">
      <c r="A273" t="s">
        <v>8</v>
      </c>
      <c r="B273">
        <v>9736929</v>
      </c>
      <c r="C273" s="2" t="s">
        <v>1168</v>
      </c>
      <c r="D273" s="2" t="str">
        <f>LEFT(TRIM(MID(SUBSTITUTE(tblShipments5[[#This Row],[Details]],CHAR(10)," "), FIND(CHAR(10),tblShipments5[[#This Row],[Details]])+1, 50)), 10)</f>
        <v>0515019933</v>
      </c>
      <c r="E273" t="s">
        <v>1169</v>
      </c>
      <c r="F27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3" t="str">
        <f>IF(tblShipments5[[#This Row],[EGM no]]="", "Missing EGM", "EGM Submitted")</f>
        <v>EGM Submitted</v>
      </c>
      <c r="H273" t="str">
        <f>IF(OR(ISNUMBER(SEARCH("Released",tblShipments5[[#This Row],[ROSL]])),
      ISNUMBER(SEARCH("Scroll",tblShipments5[[#This Row],[ROSL]])),
      ISNUMBER(SEARCH("Y",tblShipments5[[#This Row],[ROSL]]))),
   "Released",
   "Not Released")</f>
        <v>Released</v>
      </c>
      <c r="I273" t="str">
        <f>IF(OR(tblShipments5[[#This Row],[EGM no]]="", tblShipments5[[#This Row],[EGM no]]="N.A."), "Not Submitted", "Submitted")</f>
        <v>Submitted</v>
      </c>
      <c r="J273" t="str">
        <f>IF(LEFT(tblShipments5[[#This Row],[Gateway_Extracted]],2)="IN","Valid","Invalid")</f>
        <v>Valid</v>
      </c>
      <c r="K273" t="s">
        <v>1123</v>
      </c>
      <c r="L273" t="s">
        <v>1170</v>
      </c>
      <c r="M273" t="s">
        <v>13</v>
      </c>
      <c r="N273" t="s">
        <v>1171</v>
      </c>
      <c r="O273" t="str">
        <f>IFERROR("IN" &amp; _xlfn.TEXTBEFORE(_xlfn.TEXTAFTER(UPPER(tblShipments5[[#This Row],[Gateway_clean]]),"IN")," ",1),"")</f>
        <v>INMUN1</v>
      </c>
      <c r="P273" t="str">
        <f>SUBSTITUTE(tblShipments5[[#This Row],[Gateway]], CHAR(10), " ")</f>
        <v xml:space="preserve">AWB No. Gateway Port Gateway EGM No. Gateway EGM Date Gateway Site ID Error Code N.A.  INMUN1  141255  2017-12-23 00:00:00.0  INMUN1  S </v>
      </c>
      <c r="Q273" t="s">
        <v>1172</v>
      </c>
    </row>
    <row r="274" spans="1:17" x14ac:dyDescent="0.35">
      <c r="A274" t="s">
        <v>8</v>
      </c>
      <c r="B274">
        <v>1809398</v>
      </c>
      <c r="C274" s="2" t="s">
        <v>1657</v>
      </c>
      <c r="D274" s="2" t="str">
        <f>LEFT(TRIM(MID(SUBSTITUTE(tblShipments5[[#This Row],[Details]],CHAR(10)," "), FIND(CHAR(10),tblShipments5[[#This Row],[Details]])+1, 50)), 10)</f>
        <v>0509025765</v>
      </c>
      <c r="E274" t="s">
        <v>1662</v>
      </c>
      <c r="F27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4" t="str">
        <f>IF(tblShipments5[[#This Row],[EGM no]]="", "Missing EGM", "EGM Submitted")</f>
        <v>EGM Submitted</v>
      </c>
      <c r="H274" t="str">
        <f>IF(OR(ISNUMBER(SEARCH("Released",tblShipments5[[#This Row],[ROSL]])),
      ISNUMBER(SEARCH("Scroll",tblShipments5[[#This Row],[ROSL]])),
      ISNUMBER(SEARCH("Y",tblShipments5[[#This Row],[ROSL]]))),
   "Released",
   "Not Released")</f>
        <v>Released</v>
      </c>
      <c r="I274" t="str">
        <f>IF(OR(tblShipments5[[#This Row],[EGM no]]="", tblShipments5[[#This Row],[EGM no]]="N.A."), "Not Submitted", "Submitted")</f>
        <v>Submitted</v>
      </c>
      <c r="J274" t="str">
        <f>IF(LEFT(tblShipments5[[#This Row],[Gateway_Extracted]],2)="IN","Valid","Invalid")</f>
        <v>Valid</v>
      </c>
      <c r="K274" t="s">
        <v>1635</v>
      </c>
      <c r="L274" t="s">
        <v>1663</v>
      </c>
      <c r="M274" t="s">
        <v>31</v>
      </c>
      <c r="N274" t="s">
        <v>1664</v>
      </c>
      <c r="O274" t="str">
        <f>IFERROR("IN" &amp; _xlfn.TEXTBEFORE(_xlfn.TEXTAFTER(UPPER(tblShipments5[[#This Row],[Gateway_clean]]),"IN")," ",1),"")</f>
        <v>INNSA1</v>
      </c>
      <c r="P274" t="str">
        <f>SUBSTITUTE(tblShipments5[[#This Row],[Gateway]], CHAR(10), " ")</f>
        <v xml:space="preserve">AWB No. Gateway Port Gateway EGM No. Gateway EGM Date Gateway Site ID Error Code N.A.  INNSA1  141394  2017-12-26 00:00:00.0  INNSA1  S </v>
      </c>
      <c r="Q274" t="s">
        <v>1665</v>
      </c>
    </row>
    <row r="275" spans="1:17" x14ac:dyDescent="0.35">
      <c r="A275" t="s">
        <v>8</v>
      </c>
      <c r="B275">
        <v>7955843</v>
      </c>
      <c r="C275" s="2" t="s">
        <v>255</v>
      </c>
      <c r="D275" s="2" t="str">
        <f>LEFT(TRIM(MID(SUBSTITUTE(tblShipments5[[#This Row],[Details]],CHAR(10)," "), FIND(CHAR(10),tblShipments5[[#This Row],[Details]])+1, 50)), 10)</f>
        <v>0509025765</v>
      </c>
      <c r="E275" t="s">
        <v>256</v>
      </c>
      <c r="F27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5" t="str">
        <f>IF(tblShipments5[[#This Row],[EGM no]]="", "Missing EGM", "EGM Submitted")</f>
        <v>EGM Submitted</v>
      </c>
      <c r="H275" t="str">
        <f>IF(OR(ISNUMBER(SEARCH("Released",tblShipments5[[#This Row],[ROSL]])),
      ISNUMBER(SEARCH("Scroll",tblShipments5[[#This Row],[ROSL]])),
      ISNUMBER(SEARCH("Y",tblShipments5[[#This Row],[ROSL]]))),
   "Released",
   "Not Released")</f>
        <v>Released</v>
      </c>
      <c r="I275" t="str">
        <f>IF(OR(tblShipments5[[#This Row],[EGM no]]="", tblShipments5[[#This Row],[EGM no]]="N.A."), "Not Submitted", "Submitted")</f>
        <v>Submitted</v>
      </c>
      <c r="J275" t="str">
        <f>IF(LEFT(tblShipments5[[#This Row],[Gateway_Extracted]],2)="IN","Valid","Invalid")</f>
        <v>Valid</v>
      </c>
      <c r="K275" t="s">
        <v>257</v>
      </c>
      <c r="L275" t="s">
        <v>258</v>
      </c>
      <c r="M275" t="s">
        <v>13</v>
      </c>
      <c r="N275" t="s">
        <v>259</v>
      </c>
      <c r="O275" t="str">
        <f>IFERROR("IN" &amp; _xlfn.TEXTBEFORE(_xlfn.TEXTAFTER(UPPER(tblShipments5[[#This Row],[Gateway_clean]]),"IN")," ",1),"")</f>
        <v>INNSA1</v>
      </c>
      <c r="P275" t="str">
        <f>SUBSTITUTE(tblShipments5[[#This Row],[Gateway]], CHAR(10), " ")</f>
        <v xml:space="preserve">AWB No. Gateway Port Gateway EGM No. Gateway EGM Date Gateway Site ID Error Code N.A.  INNSA1  N.A.  N.A.  N.A.  N.A. </v>
      </c>
      <c r="Q275" t="s">
        <v>26</v>
      </c>
    </row>
    <row r="276" spans="1:17" x14ac:dyDescent="0.35">
      <c r="A276" t="s">
        <v>8</v>
      </c>
      <c r="B276">
        <v>9137886</v>
      </c>
      <c r="C276" s="2" t="s">
        <v>968</v>
      </c>
      <c r="D276" s="2" t="str">
        <f>LEFT(TRIM(MID(SUBSTITUTE(tblShipments5[[#This Row],[Details]],CHAR(10)," "), FIND(CHAR(10),tblShipments5[[#This Row],[Details]])+1, 50)), 10)</f>
        <v>0509025765</v>
      </c>
      <c r="E276" t="s">
        <v>973</v>
      </c>
      <c r="F27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6" t="str">
        <f>IF(tblShipments5[[#This Row],[EGM no]]="", "Missing EGM", "EGM Submitted")</f>
        <v>EGM Submitted</v>
      </c>
      <c r="H276" t="str">
        <f>IF(OR(ISNUMBER(SEARCH("Released",tblShipments5[[#This Row],[ROSL]])),
      ISNUMBER(SEARCH("Scroll",tblShipments5[[#This Row],[ROSL]])),
      ISNUMBER(SEARCH("Y",tblShipments5[[#This Row],[ROSL]]))),
   "Released",
   "Not Released")</f>
        <v>Released</v>
      </c>
      <c r="I276" t="str">
        <f>IF(OR(tblShipments5[[#This Row],[EGM no]]="", tblShipments5[[#This Row],[EGM no]]="N.A."), "Not Submitted", "Submitted")</f>
        <v>Submitted</v>
      </c>
      <c r="J276" t="str">
        <f>IF(LEFT(tblShipments5[[#This Row],[Gateway_Extracted]],2)="IN","Valid","Invalid")</f>
        <v>Valid</v>
      </c>
      <c r="K276" t="s">
        <v>935</v>
      </c>
      <c r="L276" t="s">
        <v>974</v>
      </c>
      <c r="M276" t="s">
        <v>31</v>
      </c>
      <c r="N276" t="s">
        <v>975</v>
      </c>
      <c r="O276" t="str">
        <f>IFERROR("IN" &amp; _xlfn.TEXTBEFORE(_xlfn.TEXTAFTER(UPPER(tblShipments5[[#This Row],[Gateway_clean]]),"IN")," ",1),"")</f>
        <v>INNSA1</v>
      </c>
      <c r="P276" t="str">
        <f>SUBSTITUTE(tblShipments5[[#This Row],[Gateway]], CHAR(10), " ")</f>
        <v xml:space="preserve">AWB No. Gateway Port Gateway EGM No. Gateway EGM Date Gateway Site ID Error Code N.A.  INNSA1  136648  2017-10-10 00:00:00.0  INNSA1  C </v>
      </c>
      <c r="Q276" t="s">
        <v>976</v>
      </c>
    </row>
    <row r="277" spans="1:17" x14ac:dyDescent="0.35">
      <c r="A277" t="s">
        <v>8</v>
      </c>
      <c r="B277">
        <v>7984652</v>
      </c>
      <c r="C277" s="2" t="s">
        <v>284</v>
      </c>
      <c r="D277" s="2" t="str">
        <f>LEFT(TRIM(MID(SUBSTITUTE(tblShipments5[[#This Row],[Details]],CHAR(10)," "), FIND(CHAR(10),tblShipments5[[#This Row],[Details]])+1, 50)), 10)</f>
        <v>0510040519</v>
      </c>
      <c r="E277" t="s">
        <v>285</v>
      </c>
      <c r="F27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7" t="str">
        <f>IF(tblShipments5[[#This Row],[EGM no]]="", "Missing EGM", "EGM Submitted")</f>
        <v>EGM Submitted</v>
      </c>
      <c r="H277" t="str">
        <f>IF(OR(ISNUMBER(SEARCH("Released",tblShipments5[[#This Row],[ROSL]])),
      ISNUMBER(SEARCH("Scroll",tblShipments5[[#This Row],[ROSL]])),
      ISNUMBER(SEARCH("Y",tblShipments5[[#This Row],[ROSL]]))),
   "Released",
   "Not Released")</f>
        <v>Released</v>
      </c>
      <c r="I277" t="str">
        <f>IF(OR(tblShipments5[[#This Row],[EGM no]]="", tblShipments5[[#This Row],[EGM no]]="N.A."), "Not Submitted", "Submitted")</f>
        <v>Submitted</v>
      </c>
      <c r="J277" t="str">
        <f>IF(LEFT(tblShipments5[[#This Row],[Gateway_Extracted]],2)="IN","Valid","Invalid")</f>
        <v>Valid</v>
      </c>
      <c r="K277" t="s">
        <v>286</v>
      </c>
      <c r="L277" t="s">
        <v>287</v>
      </c>
      <c r="M277" t="s">
        <v>13</v>
      </c>
      <c r="N277" t="s">
        <v>288</v>
      </c>
      <c r="O277" t="str">
        <f>IFERROR("IN" &amp; _xlfn.TEXTBEFORE(_xlfn.TEXTAFTER(UPPER(tblShipments5[[#This Row],[Gateway_clean]]),"IN")," ",1),"")</f>
        <v>INNSA1</v>
      </c>
      <c r="P277" t="str">
        <f>SUBSTITUTE(tblShipments5[[#This Row],[Gateway]], CHAR(10), " ")</f>
        <v xml:space="preserve">AWB No. Gateway Port Gateway EGM No. Gateway EGM Date Gateway Site ID Error Code N.A.  INNSA1  133031  2017-08-10 00:00:00.0  INNSA1  S </v>
      </c>
      <c r="Q277" t="s">
        <v>289</v>
      </c>
    </row>
    <row r="278" spans="1:17" ht="58" x14ac:dyDescent="0.35">
      <c r="A278" t="s">
        <v>8</v>
      </c>
      <c r="B278">
        <v>8502112</v>
      </c>
      <c r="C278" s="2" t="s">
        <v>633</v>
      </c>
      <c r="D278" s="2" t="str">
        <f>LEFT(TRIM(MID(SUBSTITUTE(tblShipments5[[#This Row],[Details]],CHAR(10)," "), FIND(CHAR(10),tblShipments5[[#This Row],[Details]])+1, 50)), 10)</f>
        <v>0512059152</v>
      </c>
      <c r="E278" s="1" t="s">
        <v>634</v>
      </c>
      <c r="F278" s="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8" s="1" t="str">
        <f>IF(tblShipments5[[#This Row],[EGM no]]="", "Missing EGM", "EGM Submitted")</f>
        <v>EGM Submitted</v>
      </c>
      <c r="H278" s="1" t="str">
        <f>IF(OR(ISNUMBER(SEARCH("Released",tblShipments5[[#This Row],[ROSL]])),
      ISNUMBER(SEARCH("Scroll",tblShipments5[[#This Row],[ROSL]])),
      ISNUMBER(SEARCH("Y",tblShipments5[[#This Row],[ROSL]]))),
   "Released",
   "Not Released")</f>
        <v>Released</v>
      </c>
      <c r="I278" s="1" t="str">
        <f>IF(OR(tblShipments5[[#This Row],[EGM no]]="", tblShipments5[[#This Row],[EGM no]]="N.A."), "Not Submitted", "Submitted")</f>
        <v>Submitted</v>
      </c>
      <c r="J278" s="1" t="str">
        <f>IF(LEFT(tblShipments5[[#This Row],[Gateway_Extracted]],2)="IN","Valid","Invalid")</f>
        <v>Valid</v>
      </c>
      <c r="K278" t="s">
        <v>635</v>
      </c>
      <c r="L278" t="s">
        <v>636</v>
      </c>
      <c r="M278" t="s">
        <v>13</v>
      </c>
      <c r="N278" t="s">
        <v>637</v>
      </c>
      <c r="O278" t="str">
        <f>IFERROR("IN" &amp; _xlfn.TEXTBEFORE(_xlfn.TEXTAFTER(UPPER(tblShipments5[[#This Row],[Gateway_clean]]),"IN")," ",1),"")</f>
        <v>INMUN1</v>
      </c>
      <c r="P278" t="str">
        <f>SUBSTITUTE(tblShipments5[[#This Row],[Gateway]], CHAR(10), " ")</f>
        <v xml:space="preserve">AWB No. Gateway Port Gateway EGM No. Gateway EGM Date Gateway Site ID Error Code N.A.  INMUN1  N.A.  N.A.  N.A.  N.A. </v>
      </c>
      <c r="Q278" t="s">
        <v>244</v>
      </c>
    </row>
    <row r="279" spans="1:17" x14ac:dyDescent="0.35">
      <c r="A279" t="s">
        <v>8</v>
      </c>
      <c r="B279">
        <v>8216744</v>
      </c>
      <c r="C279" s="2" t="s">
        <v>409</v>
      </c>
      <c r="D279" s="2" t="str">
        <f>LEFT(TRIM(MID(SUBSTITUTE(tblShipments5[[#This Row],[Details]],CHAR(10)," "), FIND(CHAR(10),tblShipments5[[#This Row],[Details]])+1, 50)), 10)</f>
        <v>0591046270</v>
      </c>
      <c r="E279" t="s">
        <v>422</v>
      </c>
      <c r="F27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79" t="str">
        <f>IF(tblShipments5[[#This Row],[EGM no]]="", "Missing EGM", "EGM Submitted")</f>
        <v>EGM Submitted</v>
      </c>
      <c r="H279" t="str">
        <f>IF(OR(ISNUMBER(SEARCH("Released",tblShipments5[[#This Row],[ROSL]])),
      ISNUMBER(SEARCH("Scroll",tblShipments5[[#This Row],[ROSL]])),
      ISNUMBER(SEARCH("Y",tblShipments5[[#This Row],[ROSL]]))),
   "Released",
   "Not Released")</f>
        <v>Released</v>
      </c>
      <c r="I279" t="str">
        <f>IF(OR(tblShipments5[[#This Row],[EGM no]]="", tblShipments5[[#This Row],[EGM no]]="N.A."), "Not Submitted", "Submitted")</f>
        <v>Submitted</v>
      </c>
      <c r="J279" t="str">
        <f>IF(LEFT(tblShipments5[[#This Row],[Gateway_Extracted]],2)="IN","Valid","Invalid")</f>
        <v>Valid</v>
      </c>
      <c r="K279" t="s">
        <v>394</v>
      </c>
      <c r="L279" t="s">
        <v>423</v>
      </c>
      <c r="M279" t="s">
        <v>13</v>
      </c>
      <c r="N279" t="s">
        <v>424</v>
      </c>
      <c r="O279" t="str">
        <f>IFERROR("IN" &amp; _xlfn.TEXTBEFORE(_xlfn.TEXTAFTER(UPPER(tblShipments5[[#This Row],[Gateway_clean]]),"IN")," ",1),"")</f>
        <v>INMUN1</v>
      </c>
      <c r="P279" t="str">
        <f>SUBSTITUTE(tblShipments5[[#This Row],[Gateway]], CHAR(10), " ")</f>
        <v xml:space="preserve">AWB No. Gateway Port Gateway EGM No. Gateway EGM Date Gateway Site ID Error Code N.A.  INMUN1  135378  2017-09-19 00:00:00.0  INMUN1  S </v>
      </c>
      <c r="Q279" t="s">
        <v>425</v>
      </c>
    </row>
    <row r="280" spans="1:17" x14ac:dyDescent="0.35">
      <c r="A280" t="s">
        <v>8</v>
      </c>
      <c r="B280">
        <v>9049883</v>
      </c>
      <c r="C280" s="2" t="s">
        <v>917</v>
      </c>
      <c r="D280" s="2" t="str">
        <f>LEFT(TRIM(MID(SUBSTITUTE(tblShipments5[[#This Row],[Details]],CHAR(10)," "), FIND(CHAR(10),tblShipments5[[#This Row],[Details]])+1, 50)), 10)</f>
        <v>0506012905</v>
      </c>
      <c r="E280" t="s">
        <v>923</v>
      </c>
      <c r="F28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0" t="str">
        <f>IF(tblShipments5[[#This Row],[EGM no]]="", "Missing EGM", "EGM Submitted")</f>
        <v>EGM Submitted</v>
      </c>
      <c r="H280" t="str">
        <f>IF(OR(ISNUMBER(SEARCH("Released",tblShipments5[[#This Row],[ROSL]])),
      ISNUMBER(SEARCH("Scroll",tblShipments5[[#This Row],[ROSL]])),
      ISNUMBER(SEARCH("Y",tblShipments5[[#This Row],[ROSL]]))),
   "Released",
   "Not Released")</f>
        <v>Released</v>
      </c>
      <c r="I280" t="str">
        <f>IF(OR(tblShipments5[[#This Row],[EGM no]]="", tblShipments5[[#This Row],[EGM no]]="N.A."), "Not Submitted", "Submitted")</f>
        <v>Submitted</v>
      </c>
      <c r="J280" t="str">
        <f>IF(LEFT(tblShipments5[[#This Row],[Gateway_Extracted]],2)="IN","Valid","Invalid")</f>
        <v>Valid</v>
      </c>
      <c r="K280" t="s">
        <v>924</v>
      </c>
      <c r="L280" t="s">
        <v>925</v>
      </c>
      <c r="M280" t="s">
        <v>31</v>
      </c>
      <c r="N280" t="s">
        <v>926</v>
      </c>
      <c r="O280" t="str">
        <f>IFERROR("IN" &amp; _xlfn.TEXTBEFORE(_xlfn.TEXTAFTER(UPPER(tblShipments5[[#This Row],[Gateway_clean]]),"IN")," ",1),"")</f>
        <v>INNSA1</v>
      </c>
      <c r="P280" t="str">
        <f>SUBSTITUTE(tblShipments5[[#This Row],[Gateway]], CHAR(10), " ")</f>
        <v xml:space="preserve">AWB No. Gateway Port Gateway EGM No. Gateway EGM Date Gateway Site ID Error Code N.A.  INNSA1  136163  2017-10-03 00:00:00.0  INNSA1  C </v>
      </c>
      <c r="Q280" t="s">
        <v>927</v>
      </c>
    </row>
    <row r="281" spans="1:17" x14ac:dyDescent="0.35">
      <c r="A281" t="s">
        <v>8</v>
      </c>
      <c r="B281">
        <v>1023575</v>
      </c>
      <c r="C281" s="2" t="s">
        <v>1228</v>
      </c>
      <c r="D281" s="2" t="str">
        <f>LEFT(TRIM(MID(SUBSTITUTE(tblShipments5[[#This Row],[Details]],CHAR(10)," "), FIND(CHAR(10),tblShipments5[[#This Row],[Details]])+1, 50)), 10)</f>
        <v>0506012905</v>
      </c>
      <c r="E281" t="s">
        <v>1229</v>
      </c>
      <c r="F28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1" t="str">
        <f>IF(tblShipments5[[#This Row],[EGM no]]="", "Missing EGM", "EGM Submitted")</f>
        <v>EGM Submitted</v>
      </c>
      <c r="H281" t="str">
        <f>IF(OR(ISNUMBER(SEARCH("Released",tblShipments5[[#This Row],[ROSL]])),
      ISNUMBER(SEARCH("Scroll",tblShipments5[[#This Row],[ROSL]])),
      ISNUMBER(SEARCH("Y",tblShipments5[[#This Row],[ROSL]]))),
   "Released",
   "Not Released")</f>
        <v>Released</v>
      </c>
      <c r="I281" t="str">
        <f>IF(OR(tblShipments5[[#This Row],[EGM no]]="", tblShipments5[[#This Row],[EGM no]]="N.A."), "Not Submitted", "Submitted")</f>
        <v>Submitted</v>
      </c>
      <c r="J281" t="str">
        <f>IF(LEFT(tblShipments5[[#This Row],[Gateway_Extracted]],2)="IN","Valid","Invalid")</f>
        <v>Valid</v>
      </c>
      <c r="K281" t="s">
        <v>1230</v>
      </c>
      <c r="L281" t="s">
        <v>1231</v>
      </c>
      <c r="M281" t="s">
        <v>31</v>
      </c>
      <c r="N281" t="s">
        <v>1232</v>
      </c>
      <c r="O281" t="str">
        <f>IFERROR("IN" &amp; _xlfn.TEXTBEFORE(_xlfn.TEXTAFTER(UPPER(tblShipments5[[#This Row],[Gateway_clean]]),"IN")," ",1),"")</f>
        <v>INNSA1</v>
      </c>
      <c r="P281" t="str">
        <f>SUBSTITUTE(tblShipments5[[#This Row],[Gateway]], CHAR(10), " ")</f>
        <v xml:space="preserve">AWB No. Gateway Port Gateway EGM No. Gateway EGM Date Gateway Site ID Error Code N.A.  INNSA1  139142  2017-11-20 00:00:00.0  INNSA1  S </v>
      </c>
      <c r="Q281" t="s">
        <v>1233</v>
      </c>
    </row>
    <row r="282" spans="1:17" x14ac:dyDescent="0.35">
      <c r="A282" t="s">
        <v>8</v>
      </c>
      <c r="B282">
        <v>8228343</v>
      </c>
      <c r="C282" s="2" t="s">
        <v>409</v>
      </c>
      <c r="D282" s="2" t="str">
        <f>LEFT(TRIM(MID(SUBSTITUTE(tblShipments5[[#This Row],[Details]],CHAR(10)," "), FIND(CHAR(10),tblShipments5[[#This Row],[Details]])+1, 50)), 10)</f>
        <v>0500075158</v>
      </c>
      <c r="E282" t="s">
        <v>436</v>
      </c>
      <c r="F28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2" t="str">
        <f>IF(tblShipments5[[#This Row],[EGM no]]="", "Missing EGM", "EGM Submitted")</f>
        <v>EGM Submitted</v>
      </c>
      <c r="H282" t="str">
        <f>IF(OR(ISNUMBER(SEARCH("Released",tblShipments5[[#This Row],[ROSL]])),
      ISNUMBER(SEARCH("Scroll",tblShipments5[[#This Row],[ROSL]])),
      ISNUMBER(SEARCH("Y",tblShipments5[[#This Row],[ROSL]]))),
   "Released",
   "Not Released")</f>
        <v>Released</v>
      </c>
      <c r="I282" t="str">
        <f>IF(OR(tblShipments5[[#This Row],[EGM no]]="", tblShipments5[[#This Row],[EGM no]]="N.A."), "Not Submitted", "Submitted")</f>
        <v>Submitted</v>
      </c>
      <c r="J282" t="str">
        <f>IF(LEFT(tblShipments5[[#This Row],[Gateway_Extracted]],2)="IN","Valid","Invalid")</f>
        <v>Valid</v>
      </c>
      <c r="K282" t="s">
        <v>437</v>
      </c>
      <c r="L282" t="s">
        <v>438</v>
      </c>
      <c r="M282" t="s">
        <v>439</v>
      </c>
      <c r="N282" t="s">
        <v>440</v>
      </c>
      <c r="O282" t="str">
        <f>IFERROR("IN" &amp; _xlfn.TEXTBEFORE(_xlfn.TEXTAFTER(UPPER(tblShipments5[[#This Row],[Gateway_clean]]),"IN")," ",1),"")</f>
        <v>INMUN1</v>
      </c>
      <c r="P282" t="str">
        <f>SUBSTITUTE(tblShipments5[[#This Row],[Gateway]], CHAR(10), " ")</f>
        <v xml:space="preserve">AWB No. Gateway Port Gateway EGM No. Gateway EGM Date Gateway Site ID Error Code N.A.  INMUN1  134796  2017-09-08 00:00:00.0  INMUN1  S </v>
      </c>
      <c r="Q282" t="s">
        <v>441</v>
      </c>
    </row>
    <row r="283" spans="1:17" x14ac:dyDescent="0.35">
      <c r="A283" t="s">
        <v>8</v>
      </c>
      <c r="B283">
        <v>8361009</v>
      </c>
      <c r="C283" s="2" t="s">
        <v>532</v>
      </c>
      <c r="D283" s="2" t="str">
        <f>LEFT(TRIM(MID(SUBSTITUTE(tblShipments5[[#This Row],[Details]],CHAR(10)," "), FIND(CHAR(10),tblShipments5[[#This Row],[Details]])+1, 50)), 10)</f>
        <v>0500075158</v>
      </c>
      <c r="E283" t="s">
        <v>537</v>
      </c>
      <c r="F28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3" t="str">
        <f>IF(tblShipments5[[#This Row],[EGM no]]="", "Missing EGM", "EGM Submitted")</f>
        <v>EGM Submitted</v>
      </c>
      <c r="H283" t="str">
        <f>IF(OR(ISNUMBER(SEARCH("Released",tblShipments5[[#This Row],[ROSL]])),
      ISNUMBER(SEARCH("Scroll",tblShipments5[[#This Row],[ROSL]])),
      ISNUMBER(SEARCH("Y",tblShipments5[[#This Row],[ROSL]]))),
   "Released",
   "Not Released")</f>
        <v>Released</v>
      </c>
      <c r="I283" t="str">
        <f>IF(OR(tblShipments5[[#This Row],[EGM no]]="", tblShipments5[[#This Row],[EGM no]]="N.A."), "Not Submitted", "Submitted")</f>
        <v>Submitted</v>
      </c>
      <c r="J283" t="str">
        <f>IF(LEFT(tblShipments5[[#This Row],[Gateway_Extracted]],2)="IN","Valid","Invalid")</f>
        <v>Valid</v>
      </c>
      <c r="K283" t="s">
        <v>394</v>
      </c>
      <c r="L283" t="s">
        <v>500</v>
      </c>
      <c r="M283" t="s">
        <v>538</v>
      </c>
      <c r="N283" t="s">
        <v>539</v>
      </c>
      <c r="O283" t="str">
        <f>IFERROR("IN" &amp; _xlfn.TEXTBEFORE(_xlfn.TEXTAFTER(UPPER(tblShipments5[[#This Row],[Gateway_clean]]),"IN")," ",1),"")</f>
        <v>INMUN1</v>
      </c>
      <c r="P283" t="str">
        <f>SUBSTITUTE(tblShipments5[[#This Row],[Gateway]], CHAR(10), " ")</f>
        <v xml:space="preserve">AWB No. Gateway Port Gateway EGM No. Gateway EGM Date Gateway Site ID Error Code N.A.  INMUN1  132131  2017-07-25 00:00:00.0  INMUN1  S </v>
      </c>
      <c r="Q283" t="s">
        <v>502</v>
      </c>
    </row>
    <row r="284" spans="1:17" x14ac:dyDescent="0.35">
      <c r="A284" t="s">
        <v>8</v>
      </c>
      <c r="B284">
        <v>9425848</v>
      </c>
      <c r="C284" s="2" t="s">
        <v>1049</v>
      </c>
      <c r="D284" s="2" t="str">
        <f>LEFT(TRIM(MID(SUBSTITUTE(tblShipments5[[#This Row],[Details]],CHAR(10)," "), FIND(CHAR(10),tblShipments5[[#This Row],[Details]])+1, 50)), 10)</f>
        <v>0500075158</v>
      </c>
      <c r="E284" t="s">
        <v>1050</v>
      </c>
      <c r="F28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4" t="str">
        <f>IF(tblShipments5[[#This Row],[EGM no]]="", "Missing EGM", "EGM Submitted")</f>
        <v>EGM Submitted</v>
      </c>
      <c r="H284" t="str">
        <f>IF(OR(ISNUMBER(SEARCH("Released",tblShipments5[[#This Row],[ROSL]])),
      ISNUMBER(SEARCH("Scroll",tblShipments5[[#This Row],[ROSL]])),
      ISNUMBER(SEARCH("Y",tblShipments5[[#This Row],[ROSL]]))),
   "Released",
   "Not Released")</f>
        <v>Released</v>
      </c>
      <c r="I284" t="str">
        <f>IF(OR(tblShipments5[[#This Row],[EGM no]]="", tblShipments5[[#This Row],[EGM no]]="N.A."), "Not Submitted", "Submitted")</f>
        <v>Submitted</v>
      </c>
      <c r="J284" t="str">
        <f>IF(LEFT(tblShipments5[[#This Row],[Gateway_Extracted]],2)="IN","Valid","Invalid")</f>
        <v>Valid</v>
      </c>
      <c r="K284" t="s">
        <v>1051</v>
      </c>
      <c r="L284" t="s">
        <v>1052</v>
      </c>
      <c r="M284" t="s">
        <v>1053</v>
      </c>
      <c r="N284" t="s">
        <v>1054</v>
      </c>
      <c r="O284" t="str">
        <f>IFERROR("IN" &amp; _xlfn.TEXTBEFORE(_xlfn.TEXTAFTER(UPPER(tblShipments5[[#This Row],[Gateway_clean]]),"IN")," ",1),"")</f>
        <v>INMUN1</v>
      </c>
      <c r="P284" t="str">
        <f>SUBSTITUTE(tblShipments5[[#This Row],[Gateway]], CHAR(10), " ")</f>
        <v xml:space="preserve">AWB No. Gateway Port Gateway EGM No. Gateway EGM Date Gateway Site ID Error Code N.A.  INMUN1  N.A.  N.A.  N.A.  N.A. </v>
      </c>
      <c r="Q284" t="s">
        <v>244</v>
      </c>
    </row>
    <row r="285" spans="1:17" x14ac:dyDescent="0.35">
      <c r="A285" t="s">
        <v>8</v>
      </c>
      <c r="B285">
        <v>9791045</v>
      </c>
      <c r="C285" s="2" t="s">
        <v>1188</v>
      </c>
      <c r="D285" s="2" t="str">
        <f>LEFT(TRIM(MID(SUBSTITUTE(tblShipments5[[#This Row],[Details]],CHAR(10)," "), FIND(CHAR(10),tblShipments5[[#This Row],[Details]])+1, 50)), 10)</f>
        <v>0500075158</v>
      </c>
      <c r="E285" t="s">
        <v>1193</v>
      </c>
      <c r="F28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5" t="str">
        <f>IF(tblShipments5[[#This Row],[EGM no]]="", "Missing EGM", "EGM Submitted")</f>
        <v>EGM Submitted</v>
      </c>
      <c r="H285" t="str">
        <f>IF(OR(ISNUMBER(SEARCH("Released",tblShipments5[[#This Row],[ROSL]])),
      ISNUMBER(SEARCH("Scroll",tblShipments5[[#This Row],[ROSL]])),
      ISNUMBER(SEARCH("Y",tblShipments5[[#This Row],[ROSL]]))),
   "Released",
   "Not Released")</f>
        <v>Released</v>
      </c>
      <c r="I285" t="str">
        <f>IF(OR(tblShipments5[[#This Row],[EGM no]]="", tblShipments5[[#This Row],[EGM no]]="N.A."), "Not Submitted", "Submitted")</f>
        <v>Submitted</v>
      </c>
      <c r="J285" t="str">
        <f>IF(LEFT(tblShipments5[[#This Row],[Gateway_Extracted]],2)="IN","Valid","Invalid")</f>
        <v>Valid</v>
      </c>
      <c r="K285" t="s">
        <v>1108</v>
      </c>
      <c r="L285" t="s">
        <v>1194</v>
      </c>
      <c r="M285" t="s">
        <v>1195</v>
      </c>
      <c r="N285" t="s">
        <v>1196</v>
      </c>
      <c r="O285" t="str">
        <f>IFERROR("IN" &amp; _xlfn.TEXTBEFORE(_xlfn.TEXTAFTER(UPPER(tblShipments5[[#This Row],[Gateway_clean]]),"IN")," ",1),"")</f>
        <v>INMUN1</v>
      </c>
      <c r="P285" t="str">
        <f>SUBSTITUTE(tblShipments5[[#This Row],[Gateway]], CHAR(10), " ")</f>
        <v xml:space="preserve">AWB No. Gateway Port Gateway EGM No. Gateway EGM Date Gateway Site ID Error Code N.A.  INMUN1  138685  2017-11-13 00:00:00.0  INMUN1  S </v>
      </c>
      <c r="Q285" t="s">
        <v>1197</v>
      </c>
    </row>
    <row r="286" spans="1:17" x14ac:dyDescent="0.35">
      <c r="A286" t="s">
        <v>8</v>
      </c>
      <c r="B286">
        <v>1064566</v>
      </c>
      <c r="C286" s="2" t="s">
        <v>1251</v>
      </c>
      <c r="D286" s="2" t="str">
        <f>LEFT(TRIM(MID(SUBSTITUTE(tblShipments5[[#This Row],[Details]],CHAR(10)," "), FIND(CHAR(10),tblShipments5[[#This Row],[Details]])+1, 50)), 10)</f>
        <v>0500075158</v>
      </c>
      <c r="E286" t="s">
        <v>1262</v>
      </c>
      <c r="F28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6" t="str">
        <f>IF(tblShipments5[[#This Row],[EGM no]]="", "Missing EGM", "EGM Submitted")</f>
        <v>EGM Submitted</v>
      </c>
      <c r="H286" t="str">
        <f>IF(OR(ISNUMBER(SEARCH("Released",tblShipments5[[#This Row],[ROSL]])),
      ISNUMBER(SEARCH("Scroll",tblShipments5[[#This Row],[ROSL]])),
      ISNUMBER(SEARCH("Y",tblShipments5[[#This Row],[ROSL]]))),
   "Released",
   "Not Released")</f>
        <v>Released</v>
      </c>
      <c r="I286" t="str">
        <f>IF(OR(tblShipments5[[#This Row],[EGM no]]="", tblShipments5[[#This Row],[EGM no]]="N.A."), "Not Submitted", "Submitted")</f>
        <v>Submitted</v>
      </c>
      <c r="J286" t="str">
        <f>IF(LEFT(tblShipments5[[#This Row],[Gateway_Extracted]],2)="IN","Valid","Invalid")</f>
        <v>Invalid</v>
      </c>
      <c r="K286" t="s">
        <v>1263</v>
      </c>
      <c r="L286" t="s">
        <v>1264</v>
      </c>
      <c r="M286" t="s">
        <v>1265</v>
      </c>
      <c r="N286" t="s">
        <v>1266</v>
      </c>
      <c r="O286" t="str">
        <f>IFERROR("IN" &amp; _xlfn.TEXTBEFORE(_xlfn.TEXTAFTER(UPPER(tblShipments5[[#This Row],[Gateway_clean]]),"IN")," ",1),"")</f>
        <v/>
      </c>
      <c r="P286" t="str">
        <f>SUBSTITUTE(tblShipments5[[#This Row],[Gateway]], CHAR(10), " ")</f>
        <v>Please Wait....</v>
      </c>
      <c r="Q286" t="s">
        <v>105</v>
      </c>
    </row>
    <row r="287" spans="1:17" x14ac:dyDescent="0.35">
      <c r="A287" t="s">
        <v>8</v>
      </c>
      <c r="B287">
        <v>1249499</v>
      </c>
      <c r="C287" s="2" t="s">
        <v>1336</v>
      </c>
      <c r="D287" s="2" t="str">
        <f>LEFT(TRIM(MID(SUBSTITUTE(tblShipments5[[#This Row],[Details]],CHAR(10)," "), FIND(CHAR(10),tblShipments5[[#This Row],[Details]])+1, 50)), 10)</f>
        <v>0500075158</v>
      </c>
      <c r="E287" t="s">
        <v>1347</v>
      </c>
      <c r="F28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7" t="str">
        <f>IF(tblShipments5[[#This Row],[EGM no]]="", "Missing EGM", "EGM Submitted")</f>
        <v>EGM Submitted</v>
      </c>
      <c r="H287" t="str">
        <f>IF(OR(ISNUMBER(SEARCH("Released",tblShipments5[[#This Row],[ROSL]])),
      ISNUMBER(SEARCH("Scroll",tblShipments5[[#This Row],[ROSL]])),
      ISNUMBER(SEARCH("Y",tblShipments5[[#This Row],[ROSL]]))),
   "Released",
   "Not Released")</f>
        <v>Released</v>
      </c>
      <c r="I287" t="str">
        <f>IF(OR(tblShipments5[[#This Row],[EGM no]]="", tblShipments5[[#This Row],[EGM no]]="N.A."), "Not Submitted", "Submitted")</f>
        <v>Submitted</v>
      </c>
      <c r="J287" t="str">
        <f>IF(LEFT(tblShipments5[[#This Row],[Gateway_Extracted]],2)="IN","Valid","Invalid")</f>
        <v>Valid</v>
      </c>
      <c r="K287" t="s">
        <v>1343</v>
      </c>
      <c r="L287" t="s">
        <v>1348</v>
      </c>
      <c r="M287" t="s">
        <v>1349</v>
      </c>
      <c r="N287" t="s">
        <v>1350</v>
      </c>
      <c r="O287" t="str">
        <f>IFERROR("IN" &amp; _xlfn.TEXTBEFORE(_xlfn.TEXTAFTER(UPPER(tblShipments5[[#This Row],[Gateway_clean]]),"IN")," ",1),"")</f>
        <v>INMUN1</v>
      </c>
      <c r="P287" t="str">
        <f>SUBSTITUTE(tblShipments5[[#This Row],[Gateway]], CHAR(10), " ")</f>
        <v xml:space="preserve">AWB No. Gateway Port Gateway EGM No. Gateway EGM Date Gateway Site ID Error Code N.A.  INMUN1  138172  2017-11-03 00:00:00.0  INMUN1  S </v>
      </c>
      <c r="Q287" t="s">
        <v>1341</v>
      </c>
    </row>
    <row r="288" spans="1:17" x14ac:dyDescent="0.35">
      <c r="A288" t="s">
        <v>8</v>
      </c>
      <c r="B288">
        <v>1249514</v>
      </c>
      <c r="C288" s="2" t="s">
        <v>1336</v>
      </c>
      <c r="D288" s="2" t="str">
        <f>LEFT(TRIM(MID(SUBSTITUTE(tblShipments5[[#This Row],[Details]],CHAR(10)," "), FIND(CHAR(10),tblShipments5[[#This Row],[Details]])+1, 50)), 10)</f>
        <v>0500075158</v>
      </c>
      <c r="E288" t="s">
        <v>1351</v>
      </c>
      <c r="F28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8" t="str">
        <f>IF(tblShipments5[[#This Row],[EGM no]]="", "Missing EGM", "EGM Submitted")</f>
        <v>EGM Submitted</v>
      </c>
      <c r="H288" t="str">
        <f>IF(OR(ISNUMBER(SEARCH("Released",tblShipments5[[#This Row],[ROSL]])),
      ISNUMBER(SEARCH("Scroll",tblShipments5[[#This Row],[ROSL]])),
      ISNUMBER(SEARCH("Y",tblShipments5[[#This Row],[ROSL]]))),
   "Released",
   "Not Released")</f>
        <v>Released</v>
      </c>
      <c r="I288" t="str">
        <f>IF(OR(tblShipments5[[#This Row],[EGM no]]="", tblShipments5[[#This Row],[EGM no]]="N.A."), "Not Submitted", "Submitted")</f>
        <v>Submitted</v>
      </c>
      <c r="J288" t="str">
        <f>IF(LEFT(tblShipments5[[#This Row],[Gateway_Extracted]],2)="IN","Valid","Invalid")</f>
        <v>Valid</v>
      </c>
      <c r="K288" t="s">
        <v>1343</v>
      </c>
      <c r="L288" t="s">
        <v>1348</v>
      </c>
      <c r="M288" t="s">
        <v>1352</v>
      </c>
      <c r="N288" t="s">
        <v>1353</v>
      </c>
      <c r="O288" t="str">
        <f>IFERROR("IN" &amp; _xlfn.TEXTBEFORE(_xlfn.TEXTAFTER(UPPER(tblShipments5[[#This Row],[Gateway_clean]]),"IN")," ",1),"")</f>
        <v>INMUN1</v>
      </c>
      <c r="P288" t="str">
        <f>SUBSTITUTE(tblShipments5[[#This Row],[Gateway]], CHAR(10), " ")</f>
        <v xml:space="preserve">AWB No. Gateway Port Gateway EGM No. Gateway EGM Date Gateway Site ID Error Code N.A.  INMUN1  138172  2017-11-03 00:00:00.0  INMUN1  S </v>
      </c>
      <c r="Q288" t="s">
        <v>1341</v>
      </c>
    </row>
    <row r="289" spans="1:17" x14ac:dyDescent="0.35">
      <c r="A289" t="s">
        <v>8</v>
      </c>
      <c r="B289">
        <v>7718281</v>
      </c>
      <c r="C289" s="2" t="s">
        <v>87</v>
      </c>
      <c r="D289" s="2" t="str">
        <f>LEFT(TRIM(MID(SUBSTITUTE(tblShipments5[[#This Row],[Details]],CHAR(10)," "), FIND(CHAR(10),tblShipments5[[#This Row],[Details]])+1, 50)), 10)</f>
        <v>0588055964</v>
      </c>
      <c r="E289" t="s">
        <v>96</v>
      </c>
      <c r="F28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89" t="str">
        <f>IF(tblShipments5[[#This Row],[EGM no]]="", "Missing EGM", "EGM Submitted")</f>
        <v>EGM Submitted</v>
      </c>
      <c r="H289" t="str">
        <f>IF(OR(ISNUMBER(SEARCH("Released",tblShipments5[[#This Row],[ROSL]])),
      ISNUMBER(SEARCH("Scroll",tblShipments5[[#This Row],[ROSL]])),
      ISNUMBER(SEARCH("Y",tblShipments5[[#This Row],[ROSL]]))),
   "Released",
   "Not Released")</f>
        <v>Released</v>
      </c>
      <c r="I289" t="str">
        <f>IF(OR(tblShipments5[[#This Row],[EGM no]]="", tblShipments5[[#This Row],[EGM no]]="N.A."), "Not Submitted", "Submitted")</f>
        <v>Submitted</v>
      </c>
      <c r="J289" t="str">
        <f>IF(LEFT(tblShipments5[[#This Row],[Gateway_Extracted]],2)="IN","Valid","Invalid")</f>
        <v>Valid</v>
      </c>
      <c r="K289" t="s">
        <v>97</v>
      </c>
      <c r="L289" t="s">
        <v>98</v>
      </c>
      <c r="M289" t="s">
        <v>13</v>
      </c>
      <c r="N289" t="s">
        <v>99</v>
      </c>
      <c r="O289" t="str">
        <f>IFERROR("IN" &amp; _xlfn.TEXTBEFORE(_xlfn.TEXTAFTER(UPPER(tblShipments5[[#This Row],[Gateway_clean]]),"IN")," ",1),"")</f>
        <v>INNSA1</v>
      </c>
      <c r="P289" t="str">
        <f>SUBSTITUTE(tblShipments5[[#This Row],[Gateway]], CHAR(10), " ")</f>
        <v xml:space="preserve">AWB No. Gateway Port Gateway EGM No. Gateway EGM Date Gateway Site ID Error Code N.A.  INNSA1  133033  2017-08-10 00:00:00.0  INNSA1  C </v>
      </c>
      <c r="Q289" t="s">
        <v>100</v>
      </c>
    </row>
    <row r="290" spans="1:17" x14ac:dyDescent="0.35">
      <c r="A290" t="s">
        <v>8</v>
      </c>
      <c r="B290">
        <v>8749638</v>
      </c>
      <c r="C290" s="2" t="s">
        <v>762</v>
      </c>
      <c r="D290" s="2" t="str">
        <f>LEFT(TRIM(MID(SUBSTITUTE(tblShipments5[[#This Row],[Details]],CHAR(10)," "), FIND(CHAR(10),tblShipments5[[#This Row],[Details]])+1, 50)), 10)</f>
        <v>0593067517</v>
      </c>
      <c r="E290" t="s">
        <v>763</v>
      </c>
      <c r="F29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0" t="str">
        <f>IF(tblShipments5[[#This Row],[EGM no]]="", "Missing EGM", "EGM Submitted")</f>
        <v>EGM Submitted</v>
      </c>
      <c r="H290" t="str">
        <f>IF(OR(ISNUMBER(SEARCH("Released",tblShipments5[[#This Row],[ROSL]])),
      ISNUMBER(SEARCH("Scroll",tblShipments5[[#This Row],[ROSL]])),
      ISNUMBER(SEARCH("Y",tblShipments5[[#This Row],[ROSL]]))),
   "Released",
   "Not Released")</f>
        <v>Released</v>
      </c>
      <c r="I290" t="str">
        <f>IF(OR(tblShipments5[[#This Row],[EGM no]]="", tblShipments5[[#This Row],[EGM no]]="N.A."), "Not Submitted", "Submitted")</f>
        <v>Submitted</v>
      </c>
      <c r="J290" t="str">
        <f>IF(LEFT(tblShipments5[[#This Row],[Gateway_Extracted]],2)="IN","Valid","Invalid")</f>
        <v>Valid</v>
      </c>
      <c r="K290" t="s">
        <v>764</v>
      </c>
      <c r="L290" t="s">
        <v>765</v>
      </c>
      <c r="M290" t="s">
        <v>13</v>
      </c>
      <c r="N290" t="s">
        <v>766</v>
      </c>
      <c r="O290" t="str">
        <f>IFERROR("IN" &amp; _xlfn.TEXTBEFORE(_xlfn.TEXTAFTER(UPPER(tblShipments5[[#This Row],[Gateway_clean]]),"IN")," ",1),"")</f>
        <v>INMUN1</v>
      </c>
      <c r="P290" t="str">
        <f>SUBSTITUTE(tblShipments5[[#This Row],[Gateway]], CHAR(10), " ")</f>
        <v xml:space="preserve">AWB No. Gateway Port Gateway EGM No. Gateway EGM Date Gateway Site ID Error Code N.A.  INMUN1  136169  2017-10-03 00:00:00.0  INMUN1  S </v>
      </c>
      <c r="Q290" t="s">
        <v>767</v>
      </c>
    </row>
    <row r="291" spans="1:17" x14ac:dyDescent="0.35">
      <c r="A291" t="s">
        <v>8</v>
      </c>
      <c r="B291">
        <v>9531547</v>
      </c>
      <c r="C291" s="2" t="s">
        <v>1072</v>
      </c>
      <c r="D291" s="2" t="str">
        <f>LEFT(TRIM(MID(SUBSTITUTE(tblShipments5[[#This Row],[Details]],CHAR(10)," "), FIND(CHAR(10),tblShipments5[[#This Row],[Details]])+1, 50)), 10)</f>
        <v>0500048967</v>
      </c>
      <c r="E291" t="s">
        <v>1078</v>
      </c>
      <c r="F29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1" t="str">
        <f>IF(tblShipments5[[#This Row],[EGM no]]="", "Missing EGM", "EGM Submitted")</f>
        <v>EGM Submitted</v>
      </c>
      <c r="H291" t="str">
        <f>IF(OR(ISNUMBER(SEARCH("Released",tblShipments5[[#This Row],[ROSL]])),
      ISNUMBER(SEARCH("Scroll",tblShipments5[[#This Row],[ROSL]])),
      ISNUMBER(SEARCH("Y",tblShipments5[[#This Row],[ROSL]]))),
   "Released",
   "Not Released")</f>
        <v>Released</v>
      </c>
      <c r="I291" t="str">
        <f>IF(OR(tblShipments5[[#This Row],[EGM no]]="", tblShipments5[[#This Row],[EGM no]]="N.A."), "Not Submitted", "Submitted")</f>
        <v>Submitted</v>
      </c>
      <c r="J291" t="str">
        <f>IF(LEFT(tblShipments5[[#This Row],[Gateway_Extracted]],2)="IN","Valid","Invalid")</f>
        <v>Valid</v>
      </c>
      <c r="K291" t="s">
        <v>1079</v>
      </c>
      <c r="L291" t="s">
        <v>1080</v>
      </c>
      <c r="M291" t="s">
        <v>31</v>
      </c>
      <c r="N291" t="s">
        <v>1081</v>
      </c>
      <c r="O291" t="str">
        <f>IFERROR("IN" &amp; _xlfn.TEXTBEFORE(_xlfn.TEXTAFTER(UPPER(tblShipments5[[#This Row],[Gateway_clean]]),"IN")," ",1),"")</f>
        <v>INNSA1</v>
      </c>
      <c r="P291" t="str">
        <f>SUBSTITUTE(tblShipments5[[#This Row],[Gateway]], CHAR(10), " ")</f>
        <v xml:space="preserve">AWB No. Gateway Port Gateway EGM No. Gateway EGM Date Gateway Site ID Error Code N.A.  INNSA1  137367  2017-10-23 00:00:00.0  INNSA1  S </v>
      </c>
      <c r="Q291" t="s">
        <v>1082</v>
      </c>
    </row>
    <row r="292" spans="1:17" x14ac:dyDescent="0.35">
      <c r="A292" t="s">
        <v>8</v>
      </c>
      <c r="B292">
        <v>1042281</v>
      </c>
      <c r="C292" s="2" t="s">
        <v>1234</v>
      </c>
      <c r="D292" s="2" t="str">
        <f>LEFT(TRIM(MID(SUBSTITUTE(tblShipments5[[#This Row],[Details]],CHAR(10)," "), FIND(CHAR(10),tblShipments5[[#This Row],[Details]])+1, 50)), 10)</f>
        <v>0515015504</v>
      </c>
      <c r="E292" t="s">
        <v>1240</v>
      </c>
      <c r="F29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2" t="str">
        <f>IF(tblShipments5[[#This Row],[EGM no]]="", "Missing EGM", "EGM Submitted")</f>
        <v>EGM Submitted</v>
      </c>
      <c r="H292" t="str">
        <f>IF(OR(ISNUMBER(SEARCH("Released",tblShipments5[[#This Row],[ROSL]])),
      ISNUMBER(SEARCH("Scroll",tblShipments5[[#This Row],[ROSL]])),
      ISNUMBER(SEARCH("Y",tblShipments5[[#This Row],[ROSL]]))),
   "Released",
   "Not Released")</f>
        <v>Released</v>
      </c>
      <c r="I292" t="str">
        <f>IF(OR(tblShipments5[[#This Row],[EGM no]]="", tblShipments5[[#This Row],[EGM no]]="N.A."), "Not Submitted", "Submitted")</f>
        <v>Submitted</v>
      </c>
      <c r="J292" t="str">
        <f>IF(LEFT(tblShipments5[[#This Row],[Gateway_Extracted]],2)="IN","Valid","Invalid")</f>
        <v>Valid</v>
      </c>
      <c r="K292" t="s">
        <v>1241</v>
      </c>
      <c r="L292" t="s">
        <v>1242</v>
      </c>
      <c r="M292" t="s">
        <v>13</v>
      </c>
      <c r="N292" t="s">
        <v>1243</v>
      </c>
      <c r="O292" t="str">
        <f>IFERROR("IN" &amp; _xlfn.TEXTBEFORE(_xlfn.TEXTAFTER(UPPER(tblShipments5[[#This Row],[Gateway_clean]]),"IN")," ",1),"")</f>
        <v>INMUN1</v>
      </c>
      <c r="P292" t="str">
        <f>SUBSTITUTE(tblShipments5[[#This Row],[Gateway]], CHAR(10), " ")</f>
        <v xml:space="preserve">AWB No. Gateway Port Gateway EGM No. Gateway EGM Date Gateway Site ID Error Code N.A.  INMUN1  140712  2017-12-15 00:00:00.0  INMUN1  S </v>
      </c>
      <c r="Q292" t="s">
        <v>1244</v>
      </c>
    </row>
    <row r="293" spans="1:17" x14ac:dyDescent="0.35">
      <c r="A293" t="s">
        <v>8</v>
      </c>
      <c r="B293">
        <v>7903729</v>
      </c>
      <c r="C293" s="2" t="s">
        <v>221</v>
      </c>
      <c r="D293" s="2" t="str">
        <f>LEFT(TRIM(MID(SUBSTITUTE(tblShipments5[[#This Row],[Details]],CHAR(10)," "), FIND(CHAR(10),tblShipments5[[#This Row],[Details]])+1, 50)), 10)</f>
        <v>0500042616</v>
      </c>
      <c r="E293" t="s">
        <v>222</v>
      </c>
      <c r="F29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3" t="str">
        <f>IF(tblShipments5[[#This Row],[EGM no]]="", "Missing EGM", "EGM Submitted")</f>
        <v>EGM Submitted</v>
      </c>
      <c r="H293" t="str">
        <f>IF(OR(ISNUMBER(SEARCH("Released",tblShipments5[[#This Row],[ROSL]])),
      ISNUMBER(SEARCH("Scroll",tblShipments5[[#This Row],[ROSL]])),
      ISNUMBER(SEARCH("Y",tblShipments5[[#This Row],[ROSL]]))),
   "Released",
   "Not Released")</f>
        <v>Released</v>
      </c>
      <c r="I293" t="str">
        <f>IF(OR(tblShipments5[[#This Row],[EGM no]]="", tblShipments5[[#This Row],[EGM no]]="N.A."), "Not Submitted", "Submitted")</f>
        <v>Submitted</v>
      </c>
      <c r="J293" t="str">
        <f>IF(LEFT(tblShipments5[[#This Row],[Gateway_Extracted]],2)="IN","Valid","Invalid")</f>
        <v>Valid</v>
      </c>
      <c r="K293" t="s">
        <v>223</v>
      </c>
      <c r="L293" t="s">
        <v>224</v>
      </c>
      <c r="M293" t="s">
        <v>13</v>
      </c>
      <c r="N293" t="s">
        <v>225</v>
      </c>
      <c r="O293" t="str">
        <f>IFERROR("IN" &amp; _xlfn.TEXTBEFORE(_xlfn.TEXTAFTER(UPPER(tblShipments5[[#This Row],[Gateway_clean]]),"IN")," ",1),"")</f>
        <v>INNSA1</v>
      </c>
      <c r="P293" t="str">
        <f>SUBSTITUTE(tblShipments5[[#This Row],[Gateway]], CHAR(10), " ")</f>
        <v xml:space="preserve">AWB No. Gateway Port Gateway EGM No. Gateway EGM Date Gateway Site ID Error Code N.A.  INNSA1  132938  2017-08-09 00:00:00.0  INNSA1  S </v>
      </c>
      <c r="Q293" t="s">
        <v>226</v>
      </c>
    </row>
    <row r="294" spans="1:17" x14ac:dyDescent="0.35">
      <c r="A294" t="s">
        <v>8</v>
      </c>
      <c r="B294">
        <v>8697591</v>
      </c>
      <c r="C294" s="2" t="s">
        <v>747</v>
      </c>
      <c r="D294" s="2" t="str">
        <f>LEFT(TRIM(MID(SUBSTITUTE(tblShipments5[[#This Row],[Details]],CHAR(10)," "), FIND(CHAR(10),tblShipments5[[#This Row],[Details]])+1, 50)), 10)</f>
        <v>0503013749</v>
      </c>
      <c r="E294" t="s">
        <v>748</v>
      </c>
      <c r="F29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4" t="str">
        <f>IF(tblShipments5[[#This Row],[EGM no]]="", "Missing EGM", "EGM Submitted")</f>
        <v>EGM Submitted</v>
      </c>
      <c r="H294" t="str">
        <f>IF(OR(ISNUMBER(SEARCH("Released",tblShipments5[[#This Row],[ROSL]])),
      ISNUMBER(SEARCH("Scroll",tblShipments5[[#This Row],[ROSL]])),
      ISNUMBER(SEARCH("Y",tblShipments5[[#This Row],[ROSL]]))),
   "Released",
   "Not Released")</f>
        <v>Released</v>
      </c>
      <c r="I294" t="str">
        <f>IF(OR(tblShipments5[[#This Row],[EGM no]]="", tblShipments5[[#This Row],[EGM no]]="N.A."), "Not Submitted", "Submitted")</f>
        <v>Submitted</v>
      </c>
      <c r="J294" t="str">
        <f>IF(LEFT(tblShipments5[[#This Row],[Gateway_Extracted]],2)="IN","Valid","Invalid")</f>
        <v>Valid</v>
      </c>
      <c r="K294" t="s">
        <v>749</v>
      </c>
      <c r="L294" t="s">
        <v>750</v>
      </c>
      <c r="M294" t="s">
        <v>31</v>
      </c>
      <c r="N294" t="s">
        <v>751</v>
      </c>
      <c r="O294" t="str">
        <f>IFERROR("IN" &amp; _xlfn.TEXTBEFORE(_xlfn.TEXTAFTER(UPPER(tblShipments5[[#This Row],[Gateway_clean]]),"IN")," ",1),"")</f>
        <v>INMUN1</v>
      </c>
      <c r="P294" t="str">
        <f>SUBSTITUTE(tblShipments5[[#This Row],[Gateway]], CHAR(10), " ")</f>
        <v xml:space="preserve">AWB No. Gateway Port Gateway EGM No. Gateway EGM Date Gateway Site ID Error Code N.A.  INMUN1  N.A.  N.A.  N.A.  N.A. </v>
      </c>
      <c r="Q294" t="s">
        <v>244</v>
      </c>
    </row>
    <row r="295" spans="1:17" x14ac:dyDescent="0.35">
      <c r="A295" t="s">
        <v>8</v>
      </c>
      <c r="B295">
        <v>7782282</v>
      </c>
      <c r="C295" s="2" t="s">
        <v>120</v>
      </c>
      <c r="D295" s="2" t="str">
        <f>LEFT(TRIM(MID(SUBSTITUTE(tblShipments5[[#This Row],[Details]],CHAR(10)," "), FIND(CHAR(10),tblShipments5[[#This Row],[Details]])+1, 50)), 10)</f>
        <v>0502021373</v>
      </c>
      <c r="E295" t="s">
        <v>148</v>
      </c>
      <c r="F29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5" t="str">
        <f>IF(tblShipments5[[#This Row],[EGM no]]="", "Missing EGM", "EGM Submitted")</f>
        <v>EGM Submitted</v>
      </c>
      <c r="H295" t="str">
        <f>IF(OR(ISNUMBER(SEARCH("Released",tblShipments5[[#This Row],[ROSL]])),
      ISNUMBER(SEARCH("Scroll",tblShipments5[[#This Row],[ROSL]])),
      ISNUMBER(SEARCH("Y",tblShipments5[[#This Row],[ROSL]]))),
   "Released",
   "Not Released")</f>
        <v>Released</v>
      </c>
      <c r="I295" t="str">
        <f>IF(OR(tblShipments5[[#This Row],[EGM no]]="", tblShipments5[[#This Row],[EGM no]]="N.A."), "Not Submitted", "Submitted")</f>
        <v>Submitted</v>
      </c>
      <c r="J295" t="str">
        <f>IF(LEFT(tblShipments5[[#This Row],[Gateway_Extracted]],2)="IN","Valid","Invalid")</f>
        <v>Valid</v>
      </c>
      <c r="K295" t="s">
        <v>149</v>
      </c>
      <c r="L295" t="s">
        <v>150</v>
      </c>
      <c r="M295" t="s">
        <v>13</v>
      </c>
      <c r="N295" t="s">
        <v>151</v>
      </c>
      <c r="O295" t="str">
        <f>IFERROR("IN" &amp; _xlfn.TEXTBEFORE(_xlfn.TEXTAFTER(UPPER(tblShipments5[[#This Row],[Gateway_clean]]),"IN")," ",1),"")</f>
        <v>INNSA1</v>
      </c>
      <c r="P295" t="str">
        <f>SUBSTITUTE(tblShipments5[[#This Row],[Gateway]], CHAR(10), " ")</f>
        <v xml:space="preserve">AWB No. Gateway Port Gateway EGM No. Gateway EGM Date Gateway Site ID Error Code N.A.  INNSA1  132481  2017-07-31 00:00:00.0  INNSA1  C </v>
      </c>
      <c r="Q295" t="s">
        <v>152</v>
      </c>
    </row>
    <row r="296" spans="1:17" x14ac:dyDescent="0.35">
      <c r="A296" t="s">
        <v>8</v>
      </c>
      <c r="B296">
        <v>7862536</v>
      </c>
      <c r="C296" s="2" t="s">
        <v>204</v>
      </c>
      <c r="D296" s="2" t="str">
        <f>LEFT(TRIM(MID(SUBSTITUTE(tblShipments5[[#This Row],[Details]],CHAR(10)," "), FIND(CHAR(10),tblShipments5[[#This Row],[Details]])+1, 50)), 10)</f>
        <v>0588050814</v>
      </c>
      <c r="E296" t="s">
        <v>205</v>
      </c>
      <c r="F29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6" t="str">
        <f>IF(tblShipments5[[#This Row],[EGM no]]="", "Missing EGM", "EGM Submitted")</f>
        <v>EGM Submitted</v>
      </c>
      <c r="H296" t="str">
        <f>IF(OR(ISNUMBER(SEARCH("Released",tblShipments5[[#This Row],[ROSL]])),
      ISNUMBER(SEARCH("Scroll",tblShipments5[[#This Row],[ROSL]])),
      ISNUMBER(SEARCH("Y",tblShipments5[[#This Row],[ROSL]]))),
   "Released",
   "Not Released")</f>
        <v>Released</v>
      </c>
      <c r="I296" t="str">
        <f>IF(OR(tblShipments5[[#This Row],[EGM no]]="", tblShipments5[[#This Row],[EGM no]]="N.A."), "Not Submitted", "Submitted")</f>
        <v>Submitted</v>
      </c>
      <c r="J296" t="str">
        <f>IF(LEFT(tblShipments5[[#This Row],[Gateway_Extracted]],2)="IN","Valid","Invalid")</f>
        <v>Valid</v>
      </c>
      <c r="K296" t="s">
        <v>141</v>
      </c>
      <c r="L296" t="s">
        <v>206</v>
      </c>
      <c r="M296" t="s">
        <v>31</v>
      </c>
      <c r="N296" t="s">
        <v>207</v>
      </c>
      <c r="O296" t="str">
        <f>IFERROR("IN" &amp; _xlfn.TEXTBEFORE(_xlfn.TEXTAFTER(UPPER(tblShipments5[[#This Row],[Gateway_clean]]),"IN")," ",1),"")</f>
        <v>INNSA1</v>
      </c>
      <c r="P296" t="str">
        <f>SUBSTITUTE(tblShipments5[[#This Row],[Gateway]], CHAR(10), " ")</f>
        <v xml:space="preserve">AWB No. Gateway Port Gateway EGM No. Gateway EGM Date Gateway Site ID Error Code N.A.  INNSA1  N.A.  N.A.  N.A.  N.A. </v>
      </c>
      <c r="Q296" t="s">
        <v>26</v>
      </c>
    </row>
    <row r="297" spans="1:17" x14ac:dyDescent="0.35">
      <c r="A297" t="s">
        <v>8</v>
      </c>
      <c r="B297">
        <v>8687607</v>
      </c>
      <c r="C297" s="2" t="s">
        <v>741</v>
      </c>
      <c r="D297" s="2" t="str">
        <f>LEFT(TRIM(MID(SUBSTITUTE(tblShipments5[[#This Row],[Details]],CHAR(10)," "), FIND(CHAR(10),tblShipments5[[#This Row],[Details]])+1, 50)), 10)</f>
        <v>0504064011</v>
      </c>
      <c r="E297" t="s">
        <v>742</v>
      </c>
      <c r="F29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7" t="str">
        <f>IF(tblShipments5[[#This Row],[EGM no]]="", "Missing EGM", "EGM Submitted")</f>
        <v>EGM Submitted</v>
      </c>
      <c r="H297" t="str">
        <f>IF(OR(ISNUMBER(SEARCH("Released",tblShipments5[[#This Row],[ROSL]])),
      ISNUMBER(SEARCH("Scroll",tblShipments5[[#This Row],[ROSL]])),
      ISNUMBER(SEARCH("Y",tblShipments5[[#This Row],[ROSL]]))),
   "Released",
   "Not Released")</f>
        <v>Released</v>
      </c>
      <c r="I297" t="str">
        <f>IF(OR(tblShipments5[[#This Row],[EGM no]]="", tblShipments5[[#This Row],[EGM no]]="N.A."), "Not Submitted", "Submitted")</f>
        <v>Submitted</v>
      </c>
      <c r="J297" t="str">
        <f>IF(LEFT(tblShipments5[[#This Row],[Gateway_Extracted]],2)="IN","Valid","Invalid")</f>
        <v>Valid</v>
      </c>
      <c r="K297" t="s">
        <v>743</v>
      </c>
      <c r="L297" t="s">
        <v>744</v>
      </c>
      <c r="M297" t="s">
        <v>13</v>
      </c>
      <c r="N297" t="s">
        <v>745</v>
      </c>
      <c r="O297" t="str">
        <f>IFERROR("IN" &amp; _xlfn.TEXTBEFORE(_xlfn.TEXTAFTER(UPPER(tblShipments5[[#This Row],[Gateway_clean]]),"IN")," ",1),"")</f>
        <v>INMUN1</v>
      </c>
      <c r="P297" t="str">
        <f>SUBSTITUTE(tblShipments5[[#This Row],[Gateway]], CHAR(10), " ")</f>
        <v xml:space="preserve">AWB No. Gateway Port Gateway EGM No. Gateway EGM Date Gateway Site ID Error Code N.A.  INMUN1  148326  2018-04-13 00:00:00.0  INMUN1  S </v>
      </c>
      <c r="Q297" t="s">
        <v>746</v>
      </c>
    </row>
    <row r="298" spans="1:17" x14ac:dyDescent="0.35">
      <c r="A298" t="s">
        <v>8</v>
      </c>
      <c r="B298">
        <v>8457825</v>
      </c>
      <c r="C298" s="2" t="s">
        <v>590</v>
      </c>
      <c r="D298" s="2" t="str">
        <f>LEFT(TRIM(MID(SUBSTITUTE(tblShipments5[[#This Row],[Details]],CHAR(10)," "), FIND(CHAR(10),tblShipments5[[#This Row],[Details]])+1, 50)), 10)</f>
        <v>0516517431</v>
      </c>
      <c r="E298" t="s">
        <v>596</v>
      </c>
      <c r="F29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8" t="str">
        <f>IF(tblShipments5[[#This Row],[EGM no]]="", "Missing EGM", "EGM Submitted")</f>
        <v>EGM Submitted</v>
      </c>
      <c r="H298" t="str">
        <f>IF(OR(ISNUMBER(SEARCH("Released",tblShipments5[[#This Row],[ROSL]])),
      ISNUMBER(SEARCH("Scroll",tblShipments5[[#This Row],[ROSL]])),
      ISNUMBER(SEARCH("Y",tblShipments5[[#This Row],[ROSL]]))),
   "Released",
   "Not Released")</f>
        <v>Released</v>
      </c>
      <c r="I298" t="str">
        <f>IF(OR(tblShipments5[[#This Row],[EGM no]]="", tblShipments5[[#This Row],[EGM no]]="N.A."), "Not Submitted", "Submitted")</f>
        <v>Submitted</v>
      </c>
      <c r="J298" t="str">
        <f>IF(LEFT(tblShipments5[[#This Row],[Gateway_Extracted]],2)="IN","Valid","Invalid")</f>
        <v>Valid</v>
      </c>
      <c r="K298" t="s">
        <v>534</v>
      </c>
      <c r="L298" t="s">
        <v>597</v>
      </c>
      <c r="M298" t="s">
        <v>13</v>
      </c>
      <c r="N298" t="s">
        <v>598</v>
      </c>
      <c r="O298" t="str">
        <f>IFERROR("IN" &amp; _xlfn.TEXTBEFORE(_xlfn.TEXTAFTER(UPPER(tblShipments5[[#This Row],[Gateway_clean]]),"IN")," ",1),"")</f>
        <v>INNSA1</v>
      </c>
      <c r="P298" t="str">
        <f>SUBSTITUTE(tblShipments5[[#This Row],[Gateway]], CHAR(10), " ")</f>
        <v xml:space="preserve">AWB No. Gateway Port Gateway EGM No. Gateway EGM Date Gateway Site ID Error Code N.A.  INNSA1  N.A.  N.A.  N.A.  N.A. </v>
      </c>
      <c r="Q298" t="s">
        <v>26</v>
      </c>
    </row>
    <row r="299" spans="1:17" x14ac:dyDescent="0.35">
      <c r="A299" t="s">
        <v>8</v>
      </c>
      <c r="B299">
        <v>8018847</v>
      </c>
      <c r="C299" s="2" t="s">
        <v>290</v>
      </c>
      <c r="D299" s="2" t="str">
        <f>LEFT(TRIM(MID(SUBSTITUTE(tblShipments5[[#This Row],[Details]],CHAR(10)," "), FIND(CHAR(10),tblShipments5[[#This Row],[Details]])+1, 50)), 10)</f>
        <v>0514081988</v>
      </c>
      <c r="E299" t="s">
        <v>291</v>
      </c>
      <c r="F29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299" t="str">
        <f>IF(tblShipments5[[#This Row],[EGM no]]="", "Missing EGM", "EGM Submitted")</f>
        <v>EGM Submitted</v>
      </c>
      <c r="H299" t="str">
        <f>IF(OR(ISNUMBER(SEARCH("Released",tblShipments5[[#This Row],[ROSL]])),
      ISNUMBER(SEARCH("Scroll",tblShipments5[[#This Row],[ROSL]])),
      ISNUMBER(SEARCH("Y",tblShipments5[[#This Row],[ROSL]]))),
   "Released",
   "Not Released")</f>
        <v>Released</v>
      </c>
      <c r="I299" t="str">
        <f>IF(OR(tblShipments5[[#This Row],[EGM no]]="", tblShipments5[[#This Row],[EGM no]]="N.A."), "Not Submitted", "Submitted")</f>
        <v>Submitted</v>
      </c>
      <c r="J299" t="str">
        <f>IF(LEFT(tblShipments5[[#This Row],[Gateway_Extracted]],2)="IN","Valid","Invalid")</f>
        <v>Valid</v>
      </c>
      <c r="K299" t="s">
        <v>286</v>
      </c>
      <c r="L299" t="s">
        <v>292</v>
      </c>
      <c r="M299" t="s">
        <v>13</v>
      </c>
      <c r="N299" t="s">
        <v>293</v>
      </c>
      <c r="O299" t="str">
        <f>IFERROR("IN" &amp; _xlfn.TEXTBEFORE(_xlfn.TEXTAFTER(UPPER(tblShipments5[[#This Row],[Gateway_clean]]),"IN")," ",1),"")</f>
        <v>INPAV1</v>
      </c>
      <c r="P299" t="str">
        <f>SUBSTITUTE(tblShipments5[[#This Row],[Gateway]], CHAR(10), " ")</f>
        <v xml:space="preserve">AWB No. Gateway Port Gateway EGM No. Gateway EGM Date Gateway Site ID Error Code N.A.  INPAV1  132215  2017-07-26 00:00:00.0  INPAV1  S </v>
      </c>
      <c r="Q299" t="s">
        <v>294</v>
      </c>
    </row>
    <row r="300" spans="1:17" x14ac:dyDescent="0.35">
      <c r="A300" t="s">
        <v>8</v>
      </c>
      <c r="B300">
        <v>8784077</v>
      </c>
      <c r="C300" s="2" t="s">
        <v>784</v>
      </c>
      <c r="D300" s="2" t="str">
        <f>LEFT(TRIM(MID(SUBSTITUTE(tblShipments5[[#This Row],[Details]],CHAR(10)," "), FIND(CHAR(10),tblShipments5[[#This Row],[Details]])+1, 50)), 10)</f>
        <v>0517500531</v>
      </c>
      <c r="E300" t="s">
        <v>794</v>
      </c>
      <c r="F30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0" t="str">
        <f>IF(tblShipments5[[#This Row],[EGM no]]="", "Missing EGM", "EGM Submitted")</f>
        <v>EGM Submitted</v>
      </c>
      <c r="H300" t="str">
        <f>IF(OR(ISNUMBER(SEARCH("Released",tblShipments5[[#This Row],[ROSL]])),
      ISNUMBER(SEARCH("Scroll",tblShipments5[[#This Row],[ROSL]])),
      ISNUMBER(SEARCH("Y",tblShipments5[[#This Row],[ROSL]]))),
   "Released",
   "Not Released")</f>
        <v>Released</v>
      </c>
      <c r="I300" t="str">
        <f>IF(OR(tblShipments5[[#This Row],[EGM no]]="", tblShipments5[[#This Row],[EGM no]]="N.A."), "Not Submitted", "Submitted")</f>
        <v>Submitted</v>
      </c>
      <c r="J300" t="str">
        <f>IF(LEFT(tblShipments5[[#This Row],[Gateway_Extracted]],2)="IN","Valid","Invalid")</f>
        <v>Invalid</v>
      </c>
      <c r="K300" t="s">
        <v>795</v>
      </c>
      <c r="L300" t="s">
        <v>796</v>
      </c>
      <c r="M300" t="s">
        <v>13</v>
      </c>
      <c r="N300" t="s">
        <v>797</v>
      </c>
      <c r="O300" t="str">
        <f>IFERROR("IN" &amp; _xlfn.TEXTBEFORE(_xlfn.TEXTAFTER(UPPER(tblShipments5[[#This Row],[Gateway_clean]]),"IN")," ",1),"")</f>
        <v/>
      </c>
      <c r="P300" t="str">
        <f>SUBSTITUTE(tblShipments5[[#This Row],[Gateway]], CHAR(10), " ")</f>
        <v>Please Wait....</v>
      </c>
      <c r="Q300" t="s">
        <v>105</v>
      </c>
    </row>
    <row r="301" spans="1:17" x14ac:dyDescent="0.35">
      <c r="A301" t="s">
        <v>8</v>
      </c>
      <c r="B301">
        <v>8909116</v>
      </c>
      <c r="C301" s="2" t="s">
        <v>835</v>
      </c>
      <c r="D301" s="2" t="str">
        <f>LEFT(TRIM(MID(SUBSTITUTE(tblShipments5[[#This Row],[Details]],CHAR(10)," "), FIND(CHAR(10),tblShipments5[[#This Row],[Details]])+1, 50)), 10)</f>
        <v>DOOPK1147B</v>
      </c>
      <c r="E301" t="s">
        <v>841</v>
      </c>
      <c r="F30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1" t="str">
        <f>IF(tblShipments5[[#This Row],[EGM no]]="", "Missing EGM", "EGM Submitted")</f>
        <v>EGM Submitted</v>
      </c>
      <c r="H301" t="str">
        <f>IF(OR(ISNUMBER(SEARCH("Released",tblShipments5[[#This Row],[ROSL]])),
      ISNUMBER(SEARCH("Scroll",tblShipments5[[#This Row],[ROSL]])),
      ISNUMBER(SEARCH("Y",tblShipments5[[#This Row],[ROSL]]))),
   "Released",
   "Not Released")</f>
        <v>Released</v>
      </c>
      <c r="I301" t="str">
        <f>IF(OR(tblShipments5[[#This Row],[EGM no]]="", tblShipments5[[#This Row],[EGM no]]="N.A."), "Not Submitted", "Submitted")</f>
        <v>Submitted</v>
      </c>
      <c r="J301" t="str">
        <f>IF(LEFT(tblShipments5[[#This Row],[Gateway_Extracted]],2)="IN","Valid","Invalid")</f>
        <v>Valid</v>
      </c>
      <c r="K301" t="s">
        <v>842</v>
      </c>
      <c r="L301" t="s">
        <v>843</v>
      </c>
      <c r="M301" t="s">
        <v>844</v>
      </c>
      <c r="N301" t="s">
        <v>845</v>
      </c>
      <c r="O301" t="str">
        <f>IFERROR("IN" &amp; _xlfn.TEXTBEFORE(_xlfn.TEXTAFTER(UPPER(tblShipments5[[#This Row],[Gateway_clean]]),"IN")," ",1),"")</f>
        <v>INMUN1</v>
      </c>
      <c r="P301" t="str">
        <f>SUBSTITUTE(tblShipments5[[#This Row],[Gateway]], CHAR(10), " ")</f>
        <v xml:space="preserve">AWB No. Gateway Port Gateway EGM No. Gateway EGM Date Gateway Site ID Error Code N.A.  INMUN1  139832  2017-11-30 00:00:00.0  INMUN1  S </v>
      </c>
      <c r="Q301" t="s">
        <v>846</v>
      </c>
    </row>
    <row r="302" spans="1:17" x14ac:dyDescent="0.35">
      <c r="A302" t="s">
        <v>8</v>
      </c>
      <c r="B302">
        <v>8909141</v>
      </c>
      <c r="C302" s="2" t="s">
        <v>835</v>
      </c>
      <c r="D302" s="2" t="str">
        <f>LEFT(TRIM(MID(SUBSTITUTE(tblShipments5[[#This Row],[Details]],CHAR(10)," "), FIND(CHAR(10),tblShipments5[[#This Row],[Details]])+1, 50)), 10)</f>
        <v>DOOPK1147B</v>
      </c>
      <c r="E302" t="s">
        <v>850</v>
      </c>
      <c r="F30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2" t="str">
        <f>IF(tblShipments5[[#This Row],[EGM no]]="", "Missing EGM", "EGM Submitted")</f>
        <v>EGM Submitted</v>
      </c>
      <c r="H302" t="str">
        <f>IF(OR(ISNUMBER(SEARCH("Released",tblShipments5[[#This Row],[ROSL]])),
      ISNUMBER(SEARCH("Scroll",tblShipments5[[#This Row],[ROSL]])),
      ISNUMBER(SEARCH("Y",tblShipments5[[#This Row],[ROSL]]))),
   "Released",
   "Not Released")</f>
        <v>Released</v>
      </c>
      <c r="I302" t="str">
        <f>IF(OR(tblShipments5[[#This Row],[EGM no]]="", tblShipments5[[#This Row],[EGM no]]="N.A."), "Not Submitted", "Submitted")</f>
        <v>Submitted</v>
      </c>
      <c r="J302" t="str">
        <f>IF(LEFT(tblShipments5[[#This Row],[Gateway_Extracted]],2)="IN","Valid","Invalid")</f>
        <v>Valid</v>
      </c>
      <c r="K302" t="s">
        <v>842</v>
      </c>
      <c r="L302" t="s">
        <v>843</v>
      </c>
      <c r="M302" t="s">
        <v>844</v>
      </c>
      <c r="N302" t="s">
        <v>845</v>
      </c>
      <c r="O302" t="str">
        <f>IFERROR("IN" &amp; _xlfn.TEXTBEFORE(_xlfn.TEXTAFTER(UPPER(tblShipments5[[#This Row],[Gateway_clean]]),"IN")," ",1),"")</f>
        <v>INMUN1</v>
      </c>
      <c r="P302" t="str">
        <f>SUBSTITUTE(tblShipments5[[#This Row],[Gateway]], CHAR(10), " ")</f>
        <v xml:space="preserve">AWB No. Gateway Port Gateway EGM No. Gateway EGM Date Gateway Site ID Error Code N.A.  INMUN1  139832  2017-11-30 00:00:00.0  INMUN1  S </v>
      </c>
      <c r="Q302" t="s">
        <v>846</v>
      </c>
    </row>
    <row r="303" spans="1:17" x14ac:dyDescent="0.35">
      <c r="A303" t="s">
        <v>8</v>
      </c>
      <c r="B303">
        <v>8909143</v>
      </c>
      <c r="C303" s="2" t="s">
        <v>835</v>
      </c>
      <c r="D303" s="2" t="str">
        <f>LEFT(TRIM(MID(SUBSTITUTE(tblShipments5[[#This Row],[Details]],CHAR(10)," "), FIND(CHAR(10),tblShipments5[[#This Row],[Details]])+1, 50)), 10)</f>
        <v>DOOPK1147B</v>
      </c>
      <c r="E303" t="s">
        <v>851</v>
      </c>
      <c r="F30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3" t="str">
        <f>IF(tblShipments5[[#This Row],[EGM no]]="", "Missing EGM", "EGM Submitted")</f>
        <v>EGM Submitted</v>
      </c>
      <c r="H303" t="str">
        <f>IF(OR(ISNUMBER(SEARCH("Released",tblShipments5[[#This Row],[ROSL]])),
      ISNUMBER(SEARCH("Scroll",tblShipments5[[#This Row],[ROSL]])),
      ISNUMBER(SEARCH("Y",tblShipments5[[#This Row],[ROSL]]))),
   "Released",
   "Not Released")</f>
        <v>Released</v>
      </c>
      <c r="I303" t="str">
        <f>IF(OR(tblShipments5[[#This Row],[EGM no]]="", tblShipments5[[#This Row],[EGM no]]="N.A."), "Not Submitted", "Submitted")</f>
        <v>Submitted</v>
      </c>
      <c r="J303" t="str">
        <f>IF(LEFT(tblShipments5[[#This Row],[Gateway_Extracted]],2)="IN","Valid","Invalid")</f>
        <v>Valid</v>
      </c>
      <c r="K303" t="s">
        <v>842</v>
      </c>
      <c r="L303" t="s">
        <v>843</v>
      </c>
      <c r="M303" t="s">
        <v>844</v>
      </c>
      <c r="N303" t="s">
        <v>845</v>
      </c>
      <c r="O303" t="str">
        <f>IFERROR("IN" &amp; _xlfn.TEXTBEFORE(_xlfn.TEXTAFTER(UPPER(tblShipments5[[#This Row],[Gateway_clean]]),"IN")," ",1),"")</f>
        <v>INMUN1</v>
      </c>
      <c r="P303" t="str">
        <f>SUBSTITUTE(tblShipments5[[#This Row],[Gateway]], CHAR(10), " ")</f>
        <v xml:space="preserve">AWB No. Gateway Port Gateway EGM No. Gateway EGM Date Gateway Site ID Error Code N.A.  INMUN1  139832  2017-11-30 00:00:00.0  INMUN1  S </v>
      </c>
      <c r="Q303" t="s">
        <v>846</v>
      </c>
    </row>
    <row r="304" spans="1:17" x14ac:dyDescent="0.35">
      <c r="A304" t="s">
        <v>8</v>
      </c>
      <c r="B304">
        <v>8910761</v>
      </c>
      <c r="C304" s="2" t="s">
        <v>835</v>
      </c>
      <c r="D304" s="2" t="str">
        <f>LEFT(TRIM(MID(SUBSTITUTE(tblShipments5[[#This Row],[Details]],CHAR(10)," "), FIND(CHAR(10),tblShipments5[[#This Row],[Details]])+1, 50)), 10)</f>
        <v>DOOPK1147B</v>
      </c>
      <c r="E304" t="s">
        <v>855</v>
      </c>
      <c r="F30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4" t="str">
        <f>IF(tblShipments5[[#This Row],[EGM no]]="", "Missing EGM", "EGM Submitted")</f>
        <v>EGM Submitted</v>
      </c>
      <c r="H304" t="str">
        <f>IF(OR(ISNUMBER(SEARCH("Released",tblShipments5[[#This Row],[ROSL]])),
      ISNUMBER(SEARCH("Scroll",tblShipments5[[#This Row],[ROSL]])),
      ISNUMBER(SEARCH("Y",tblShipments5[[#This Row],[ROSL]]))),
   "Released",
   "Not Released")</f>
        <v>Released</v>
      </c>
      <c r="I304" t="str">
        <f>IF(OR(tblShipments5[[#This Row],[EGM no]]="", tblShipments5[[#This Row],[EGM no]]="N.A."), "Not Submitted", "Submitted")</f>
        <v>Submitted</v>
      </c>
      <c r="J304" t="str">
        <f>IF(LEFT(tblShipments5[[#This Row],[Gateway_Extracted]],2)="IN","Valid","Invalid")</f>
        <v>Valid</v>
      </c>
      <c r="K304" t="s">
        <v>842</v>
      </c>
      <c r="L304" t="s">
        <v>843</v>
      </c>
      <c r="M304" t="s">
        <v>844</v>
      </c>
      <c r="N304" t="s">
        <v>845</v>
      </c>
      <c r="O304" t="str">
        <f>IFERROR("IN" &amp; _xlfn.TEXTBEFORE(_xlfn.TEXTAFTER(UPPER(tblShipments5[[#This Row],[Gateway_clean]]),"IN")," ",1),"")</f>
        <v>INMUN1</v>
      </c>
      <c r="P304" t="str">
        <f>SUBSTITUTE(tblShipments5[[#This Row],[Gateway]], CHAR(10), " ")</f>
        <v xml:space="preserve">AWB No. Gateway Port Gateway EGM No. Gateway EGM Date Gateway Site ID Error Code N.A.  INMUN1  139832  2017-11-30 00:00:00.0  INMUN1  S </v>
      </c>
      <c r="Q304" t="s">
        <v>846</v>
      </c>
    </row>
    <row r="305" spans="1:17" x14ac:dyDescent="0.35">
      <c r="A305" t="s">
        <v>8</v>
      </c>
      <c r="B305">
        <v>8909148</v>
      </c>
      <c r="C305" s="2" t="s">
        <v>835</v>
      </c>
      <c r="D305" s="2" t="str">
        <f>LEFT(TRIM(MID(SUBSTITUTE(tblShipments5[[#This Row],[Details]],CHAR(10)," "), FIND(CHAR(10),tblShipments5[[#This Row],[Details]])+1, 50)), 10)</f>
        <v>DOOPK1147B</v>
      </c>
      <c r="E305" t="s">
        <v>852</v>
      </c>
      <c r="F30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5" t="str">
        <f>IF(tblShipments5[[#This Row],[EGM no]]="", "Missing EGM", "EGM Submitted")</f>
        <v>EGM Submitted</v>
      </c>
      <c r="H305" t="str">
        <f>IF(OR(ISNUMBER(SEARCH("Released",tblShipments5[[#This Row],[ROSL]])),
      ISNUMBER(SEARCH("Scroll",tblShipments5[[#This Row],[ROSL]])),
      ISNUMBER(SEARCH("Y",tblShipments5[[#This Row],[ROSL]]))),
   "Released",
   "Not Released")</f>
        <v>Released</v>
      </c>
      <c r="I305" t="str">
        <f>IF(OR(tblShipments5[[#This Row],[EGM no]]="", tblShipments5[[#This Row],[EGM no]]="N.A."), "Not Submitted", "Submitted")</f>
        <v>Submitted</v>
      </c>
      <c r="J305" t="str">
        <f>IF(LEFT(tblShipments5[[#This Row],[Gateway_Extracted]],2)="IN","Valid","Invalid")</f>
        <v>Valid</v>
      </c>
      <c r="K305" t="s">
        <v>842</v>
      </c>
      <c r="L305" t="s">
        <v>843</v>
      </c>
      <c r="M305" t="s">
        <v>853</v>
      </c>
      <c r="N305" t="s">
        <v>854</v>
      </c>
      <c r="O305" t="str">
        <f>IFERROR("IN" &amp; _xlfn.TEXTBEFORE(_xlfn.TEXTAFTER(UPPER(tblShipments5[[#This Row],[Gateway_clean]]),"IN")," ",1),"")</f>
        <v>INMUN1</v>
      </c>
      <c r="P305" t="str">
        <f>SUBSTITUTE(tblShipments5[[#This Row],[Gateway]], CHAR(10), " ")</f>
        <v xml:space="preserve">AWB No. Gateway Port Gateway EGM No. Gateway EGM Date Gateway Site ID Error Code N.A.  INMUN1  139832  2017-11-30 00:00:00.0  INMUN1  S </v>
      </c>
      <c r="Q305" t="s">
        <v>846</v>
      </c>
    </row>
    <row r="306" spans="1:17" x14ac:dyDescent="0.35">
      <c r="A306" t="s">
        <v>8</v>
      </c>
      <c r="B306">
        <v>8909119</v>
      </c>
      <c r="C306" s="2" t="s">
        <v>835</v>
      </c>
      <c r="D306" s="2" t="str">
        <f>LEFT(TRIM(MID(SUBSTITUTE(tblShipments5[[#This Row],[Details]],CHAR(10)," "), FIND(CHAR(10),tblShipments5[[#This Row],[Details]])+1, 50)), 10)</f>
        <v>DOOPK1147B</v>
      </c>
      <c r="E306" t="s">
        <v>847</v>
      </c>
      <c r="F30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6" t="str">
        <f>IF(tblShipments5[[#This Row],[EGM no]]="", "Missing EGM", "EGM Submitted")</f>
        <v>EGM Submitted</v>
      </c>
      <c r="H306" t="str">
        <f>IF(OR(ISNUMBER(SEARCH("Released",tblShipments5[[#This Row],[ROSL]])),
      ISNUMBER(SEARCH("Scroll",tblShipments5[[#This Row],[ROSL]])),
      ISNUMBER(SEARCH("Y",tblShipments5[[#This Row],[ROSL]]))),
   "Released",
   "Not Released")</f>
        <v>Released</v>
      </c>
      <c r="I306" t="str">
        <f>IF(OR(tblShipments5[[#This Row],[EGM no]]="", tblShipments5[[#This Row],[EGM no]]="N.A."), "Not Submitted", "Submitted")</f>
        <v>Submitted</v>
      </c>
      <c r="J306" t="str">
        <f>IF(LEFT(tblShipments5[[#This Row],[Gateway_Extracted]],2)="IN","Valid","Invalid")</f>
        <v>Valid</v>
      </c>
      <c r="K306" t="s">
        <v>842</v>
      </c>
      <c r="L306" t="s">
        <v>843</v>
      </c>
      <c r="M306" t="s">
        <v>848</v>
      </c>
      <c r="N306" t="s">
        <v>849</v>
      </c>
      <c r="O306" t="str">
        <f>IFERROR("IN" &amp; _xlfn.TEXTBEFORE(_xlfn.TEXTAFTER(UPPER(tblShipments5[[#This Row],[Gateway_clean]]),"IN")," ",1),"")</f>
        <v>INMUN1</v>
      </c>
      <c r="P306" t="str">
        <f>SUBSTITUTE(tblShipments5[[#This Row],[Gateway]], CHAR(10), " ")</f>
        <v xml:space="preserve">AWB No. Gateway Port Gateway EGM No. Gateway EGM Date Gateway Site ID Error Code N.A.  INMUN1  139832  2017-11-30 00:00:00.0  INMUN1  S </v>
      </c>
      <c r="Q306" t="s">
        <v>846</v>
      </c>
    </row>
    <row r="307" spans="1:17" x14ac:dyDescent="0.35">
      <c r="A307" t="s">
        <v>8</v>
      </c>
      <c r="B307">
        <v>7646561</v>
      </c>
      <c r="C307" s="2" t="s">
        <v>62</v>
      </c>
      <c r="D307" s="2" t="str">
        <f>LEFT(TRIM(MID(SUBSTITUTE(tblShipments5[[#This Row],[Details]],CHAR(10)," "), FIND(CHAR(10),tblShipments5[[#This Row],[Details]])+1, 50)), 10)</f>
        <v>0513056661</v>
      </c>
      <c r="E307" t="s">
        <v>63</v>
      </c>
      <c r="F30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7" t="str">
        <f>IF(tblShipments5[[#This Row],[EGM no]]="", "Missing EGM", "EGM Submitted")</f>
        <v>EGM Submitted</v>
      </c>
      <c r="H307" t="str">
        <f>IF(OR(ISNUMBER(SEARCH("Released",tblShipments5[[#This Row],[ROSL]])),
      ISNUMBER(SEARCH("Scroll",tblShipments5[[#This Row],[ROSL]])),
      ISNUMBER(SEARCH("Y",tblShipments5[[#This Row],[ROSL]]))),
   "Released",
   "Not Released")</f>
        <v>Released</v>
      </c>
      <c r="I307" t="str">
        <f>IF(OR(tblShipments5[[#This Row],[EGM no]]="", tblShipments5[[#This Row],[EGM no]]="N.A."), "Not Submitted", "Submitted")</f>
        <v>Submitted</v>
      </c>
      <c r="J307" t="str">
        <f>IF(LEFT(tblShipments5[[#This Row],[Gateway_Extracted]],2)="IN","Valid","Invalid")</f>
        <v>Valid</v>
      </c>
      <c r="K307" t="s">
        <v>64</v>
      </c>
      <c r="L307" t="s">
        <v>65</v>
      </c>
      <c r="M307" t="s">
        <v>13</v>
      </c>
      <c r="N307" t="s">
        <v>66</v>
      </c>
      <c r="O307" t="str">
        <f>IFERROR("IN" &amp; _xlfn.TEXTBEFORE(_xlfn.TEXTAFTER(UPPER(tblShipments5[[#This Row],[Gateway_clean]]),"IN")," ",1),"")</f>
        <v>INNSA1</v>
      </c>
      <c r="P307" t="str">
        <f>SUBSTITUTE(tblShipments5[[#This Row],[Gateway]], CHAR(10), " ")</f>
        <v xml:space="preserve">AWB No. Gateway Port Gateway EGM No. Gateway EGM Date Gateway Site ID Error Code N.A.  INNSA1  132025  2017-07-24 00:00:00.0  INNSA1  S </v>
      </c>
      <c r="Q307" t="s">
        <v>37</v>
      </c>
    </row>
    <row r="308" spans="1:17" x14ac:dyDescent="0.35">
      <c r="A308" t="s">
        <v>8</v>
      </c>
      <c r="B308">
        <v>1579668</v>
      </c>
      <c r="C308" s="2" t="s">
        <v>1528</v>
      </c>
      <c r="D308" s="2" t="str">
        <f>LEFT(TRIM(MID(SUBSTITUTE(tblShipments5[[#This Row],[Details]],CHAR(10)," "), FIND(CHAR(10),tblShipments5[[#This Row],[Details]])+1, 50)), 10)</f>
        <v>0516526065</v>
      </c>
      <c r="E308" t="s">
        <v>1537</v>
      </c>
      <c r="F30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8" t="str">
        <f>IF(tblShipments5[[#This Row],[EGM no]]="", "Missing EGM", "EGM Submitted")</f>
        <v>EGM Submitted</v>
      </c>
      <c r="H308" t="str">
        <f>IF(OR(ISNUMBER(SEARCH("Released",tblShipments5[[#This Row],[ROSL]])),
      ISNUMBER(SEARCH("Scroll",tblShipments5[[#This Row],[ROSL]])),
      ISNUMBER(SEARCH("Y",tblShipments5[[#This Row],[ROSL]]))),
   "Released",
   "Not Released")</f>
        <v>Released</v>
      </c>
      <c r="I308" t="str">
        <f>IF(OR(tblShipments5[[#This Row],[EGM no]]="", tblShipments5[[#This Row],[EGM no]]="N.A."), "Not Submitted", "Submitted")</f>
        <v>Submitted</v>
      </c>
      <c r="J308" t="str">
        <f>IF(LEFT(tblShipments5[[#This Row],[Gateway_Extracted]],2)="IN","Valid","Invalid")</f>
        <v>Valid</v>
      </c>
      <c r="K308" t="s">
        <v>1538</v>
      </c>
      <c r="L308" t="s">
        <v>1539</v>
      </c>
      <c r="M308" t="s">
        <v>13</v>
      </c>
      <c r="N308" t="s">
        <v>1540</v>
      </c>
      <c r="O308" t="str">
        <f>IFERROR("IN" &amp; _xlfn.TEXTBEFORE(_xlfn.TEXTAFTER(UPPER(tblShipments5[[#This Row],[Gateway_clean]]),"IN")," ",1),"")</f>
        <v>INNSA1</v>
      </c>
      <c r="P308" t="str">
        <f>SUBSTITUTE(tblShipments5[[#This Row],[Gateway]], CHAR(10), " ")</f>
        <v xml:space="preserve">AWB No. Gateway Port Gateway EGM No. Gateway EGM Date Gateway Site ID Error Code N.A.  INNSA1  140586  2017-12-12 00:00:00.0  INNSA1  S </v>
      </c>
      <c r="Q308" t="s">
        <v>1541</v>
      </c>
    </row>
    <row r="309" spans="1:17" x14ac:dyDescent="0.35">
      <c r="A309" t="s">
        <v>8</v>
      </c>
      <c r="B309">
        <v>1269121</v>
      </c>
      <c r="C309" s="2" t="s">
        <v>1373</v>
      </c>
      <c r="D309" s="2" t="str">
        <f>LEFT(TRIM(MID(SUBSTITUTE(tblShipments5[[#This Row],[Details]],CHAR(10)," "), FIND(CHAR(10),tblShipments5[[#This Row],[Details]])+1, 50)), 10)</f>
        <v>0516526065</v>
      </c>
      <c r="E309" t="s">
        <v>1374</v>
      </c>
      <c r="F30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09" t="str">
        <f>IF(tblShipments5[[#This Row],[EGM no]]="", "Missing EGM", "EGM Submitted")</f>
        <v>EGM Submitted</v>
      </c>
      <c r="H309" t="str">
        <f>IF(OR(ISNUMBER(SEARCH("Released",tblShipments5[[#This Row],[ROSL]])),
      ISNUMBER(SEARCH("Scroll",tblShipments5[[#This Row],[ROSL]])),
      ISNUMBER(SEARCH("Y",tblShipments5[[#This Row],[ROSL]]))),
   "Released",
   "Not Released")</f>
        <v>Released</v>
      </c>
      <c r="I309" t="str">
        <f>IF(OR(tblShipments5[[#This Row],[EGM no]]="", tblShipments5[[#This Row],[EGM no]]="N.A."), "Not Submitted", "Submitted")</f>
        <v>Submitted</v>
      </c>
      <c r="J309" t="str">
        <f>IF(LEFT(tblShipments5[[#This Row],[Gateway_Extracted]],2)="IN","Valid","Invalid")</f>
        <v>Valid</v>
      </c>
      <c r="K309" t="s">
        <v>1364</v>
      </c>
      <c r="L309" t="s">
        <v>1375</v>
      </c>
      <c r="M309" t="s">
        <v>13</v>
      </c>
      <c r="N309" t="s">
        <v>1376</v>
      </c>
      <c r="O309" t="str">
        <f>IFERROR("IN" &amp; _xlfn.TEXTBEFORE(_xlfn.TEXTAFTER(UPPER(tblShipments5[[#This Row],[Gateway_clean]]),"IN")," ",1),"")</f>
        <v>INPAV1</v>
      </c>
      <c r="P309" t="str">
        <f>SUBSTITUTE(tblShipments5[[#This Row],[Gateway]], CHAR(10), " ")</f>
        <v xml:space="preserve">AWB No. Gateway Port Gateway EGM No. Gateway EGM Date Gateway Site ID Error Code N.A.  INPAV1  139963  2017-12-04 00:00:00.0  INPAV1  S </v>
      </c>
      <c r="Q309" t="s">
        <v>1377</v>
      </c>
    </row>
    <row r="310" spans="1:17" x14ac:dyDescent="0.35">
      <c r="A310" t="s">
        <v>8</v>
      </c>
      <c r="B310">
        <v>1614481</v>
      </c>
      <c r="C310" s="2" t="s">
        <v>1547</v>
      </c>
      <c r="D310" s="2" t="str">
        <f>LEFT(TRIM(MID(SUBSTITUTE(tblShipments5[[#This Row],[Details]],CHAR(10)," "), FIND(CHAR(10),tblShipments5[[#This Row],[Details]])+1, 50)), 10)</f>
        <v>0593052561</v>
      </c>
      <c r="E310" t="s">
        <v>1552</v>
      </c>
      <c r="F31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0" t="str">
        <f>IF(tblShipments5[[#This Row],[EGM no]]="", "Missing EGM", "EGM Submitted")</f>
        <v>EGM Submitted</v>
      </c>
      <c r="H310" t="str">
        <f>IF(OR(ISNUMBER(SEARCH("Released",tblShipments5[[#This Row],[ROSL]])),
      ISNUMBER(SEARCH("Scroll",tblShipments5[[#This Row],[ROSL]])),
      ISNUMBER(SEARCH("Y",tblShipments5[[#This Row],[ROSL]]))),
   "Released",
   "Not Released")</f>
        <v>Released</v>
      </c>
      <c r="I310" t="str">
        <f>IF(OR(tblShipments5[[#This Row],[EGM no]]="", tblShipments5[[#This Row],[EGM no]]="N.A."), "Not Submitted", "Submitted")</f>
        <v>Submitted</v>
      </c>
      <c r="J310" t="str">
        <f>IF(LEFT(tblShipments5[[#This Row],[Gateway_Extracted]],2)="IN","Valid","Invalid")</f>
        <v>Valid</v>
      </c>
      <c r="K310" t="s">
        <v>1553</v>
      </c>
      <c r="L310" t="s">
        <v>1554</v>
      </c>
      <c r="M310" t="s">
        <v>31</v>
      </c>
      <c r="N310" t="s">
        <v>1555</v>
      </c>
      <c r="O310" t="str">
        <f>IFERROR("IN" &amp; _xlfn.TEXTBEFORE(_xlfn.TEXTAFTER(UPPER(tblShipments5[[#This Row],[Gateway_clean]]),"IN")," ",1),"")</f>
        <v>INNSA1</v>
      </c>
      <c r="P310" t="str">
        <f>SUBSTITUTE(tblShipments5[[#This Row],[Gateway]], CHAR(10), " ")</f>
        <v xml:space="preserve">AWB No. Gateway Port Gateway EGM No. Gateway EGM Date Gateway Site ID Error Code N.A.  INNSA1  141463  2017-12-27 00:00:00.0  INNSA1  S </v>
      </c>
      <c r="Q310" t="s">
        <v>1556</v>
      </c>
    </row>
    <row r="311" spans="1:17" x14ac:dyDescent="0.35">
      <c r="A311" t="s">
        <v>8</v>
      </c>
      <c r="B311">
        <v>1789517</v>
      </c>
      <c r="C311" s="2" t="s">
        <v>1633</v>
      </c>
      <c r="D311" s="2" t="str">
        <f>LEFT(TRIM(MID(SUBSTITUTE(tblShipments5[[#This Row],[Details]],CHAR(10)," "), FIND(CHAR(10),tblShipments5[[#This Row],[Details]])+1, 50)), 10)</f>
        <v>0503019321</v>
      </c>
      <c r="E311" t="s">
        <v>1653</v>
      </c>
      <c r="F31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1" t="str">
        <f>IF(tblShipments5[[#This Row],[EGM no]]="", "Missing EGM", "EGM Submitted")</f>
        <v>EGM Submitted</v>
      </c>
      <c r="H311" t="str">
        <f>IF(OR(ISNUMBER(SEARCH("Released",tblShipments5[[#This Row],[ROSL]])),
      ISNUMBER(SEARCH("Scroll",tblShipments5[[#This Row],[ROSL]])),
      ISNUMBER(SEARCH("Y",tblShipments5[[#This Row],[ROSL]]))),
   "Released",
   "Not Released")</f>
        <v>Released</v>
      </c>
      <c r="I311" t="str">
        <f>IF(OR(tblShipments5[[#This Row],[EGM no]]="", tblShipments5[[#This Row],[EGM no]]="N.A."), "Not Submitted", "Submitted")</f>
        <v>Submitted</v>
      </c>
      <c r="J311" t="str">
        <f>IF(LEFT(tblShipments5[[#This Row],[Gateway_Extracted]],2)="IN","Valid","Invalid")</f>
        <v>Valid</v>
      </c>
      <c r="K311" t="s">
        <v>1654</v>
      </c>
      <c r="L311" t="s">
        <v>1655</v>
      </c>
      <c r="M311" t="s">
        <v>13</v>
      </c>
      <c r="N311" t="s">
        <v>1656</v>
      </c>
      <c r="O311" t="str">
        <f>IFERROR("IN" &amp; _xlfn.TEXTBEFORE(_xlfn.TEXTAFTER(UPPER(tblShipments5[[#This Row],[Gateway_clean]]),"IN")," ",1),"")</f>
        <v>INNSA1</v>
      </c>
      <c r="P311" t="str">
        <f>SUBSTITUTE(tblShipments5[[#This Row],[Gateway]], CHAR(10), " ")</f>
        <v xml:space="preserve">AWB No. Gateway Port Gateway EGM No. Gateway EGM Date Gateway Site ID Error Code N.A.  INNSA1  N.A.  N.A.  N.A.  N.A. </v>
      </c>
      <c r="Q311" t="s">
        <v>26</v>
      </c>
    </row>
    <row r="312" spans="1:17" x14ac:dyDescent="0.35">
      <c r="A312" t="s">
        <v>8</v>
      </c>
      <c r="B312">
        <v>1523411</v>
      </c>
      <c r="C312" s="2" t="s">
        <v>1499</v>
      </c>
      <c r="D312" s="2" t="str">
        <f>LEFT(TRIM(MID(SUBSTITUTE(tblShipments5[[#This Row],[Details]],CHAR(10)," "), FIND(CHAR(10),tblShipments5[[#This Row],[Details]])+1, 50)), 10)</f>
        <v>1306014115</v>
      </c>
      <c r="E312" t="s">
        <v>1512</v>
      </c>
      <c r="F31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2" t="str">
        <f>IF(tblShipments5[[#This Row],[EGM no]]="", "Missing EGM", "EGM Submitted")</f>
        <v>EGM Submitted</v>
      </c>
      <c r="H312" t="str">
        <f>IF(OR(ISNUMBER(SEARCH("Released",tblShipments5[[#This Row],[ROSL]])),
      ISNUMBER(SEARCH("Scroll",tblShipments5[[#This Row],[ROSL]])),
      ISNUMBER(SEARCH("Y",tblShipments5[[#This Row],[ROSL]]))),
   "Released",
   "Not Released")</f>
        <v>Released</v>
      </c>
      <c r="I312" t="str">
        <f>IF(OR(tblShipments5[[#This Row],[EGM no]]="", tblShipments5[[#This Row],[EGM no]]="N.A."), "Not Submitted", "Submitted")</f>
        <v>Submitted</v>
      </c>
      <c r="J312" t="str">
        <f>IF(LEFT(tblShipments5[[#This Row],[Gateway_Extracted]],2)="IN","Valid","Invalid")</f>
        <v>Valid</v>
      </c>
      <c r="K312" t="s">
        <v>1513</v>
      </c>
      <c r="L312" t="s">
        <v>1514</v>
      </c>
      <c r="M312" t="s">
        <v>13</v>
      </c>
      <c r="N312" t="s">
        <v>1515</v>
      </c>
      <c r="O312" t="str">
        <f>IFERROR("IN" &amp; _xlfn.TEXTBEFORE(_xlfn.TEXTAFTER(UPPER(tblShipments5[[#This Row],[Gateway_clean]]),"IN")," ",1),"")</f>
        <v>INMUN1</v>
      </c>
      <c r="P312" t="str">
        <f>SUBSTITUTE(tblShipments5[[#This Row],[Gateway]], CHAR(10), " ")</f>
        <v xml:space="preserve">AWB No. Gateway Port Gateway EGM No. Gateway EGM Date Gateway Site ID Error Code N.A.  INMUN1  N.A.  N.A.  N.A.  N.A. </v>
      </c>
      <c r="Q312" t="s">
        <v>244</v>
      </c>
    </row>
    <row r="313" spans="1:17" x14ac:dyDescent="0.35">
      <c r="A313" t="s">
        <v>8</v>
      </c>
      <c r="B313">
        <v>1694312</v>
      </c>
      <c r="C313" s="2" t="s">
        <v>1601</v>
      </c>
      <c r="D313" s="2" t="str">
        <f>LEFT(TRIM(MID(SUBSTITUTE(tblShipments5[[#This Row],[Details]],CHAR(10)," "), FIND(CHAR(10),tblShipments5[[#This Row],[Details]])+1, 50)), 10)</f>
        <v xml:space="preserve">No Record </v>
      </c>
      <c r="E313" t="s">
        <v>1602</v>
      </c>
      <c r="F31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3" t="str">
        <f>IF(tblShipments5[[#This Row],[EGM no]]="", "Missing EGM", "EGM Submitted")</f>
        <v>EGM Submitted</v>
      </c>
      <c r="H313" t="str">
        <f>IF(OR(ISNUMBER(SEARCH("Released",tblShipments5[[#This Row],[ROSL]])),
      ISNUMBER(SEARCH("Scroll",tblShipments5[[#This Row],[ROSL]])),
      ISNUMBER(SEARCH("Y",tblShipments5[[#This Row],[ROSL]]))),
   "Released",
   "Not Released")</f>
        <v>Released</v>
      </c>
      <c r="I313" t="str">
        <f>IF(OR(tblShipments5[[#This Row],[EGM no]]="", tblShipments5[[#This Row],[EGM no]]="N.A."), "Not Submitted", "Submitted")</f>
        <v>Submitted</v>
      </c>
      <c r="J313" t="str">
        <f>IF(LEFT(tblShipments5[[#This Row],[Gateway_Extracted]],2)="IN","Valid","Invalid")</f>
        <v>Valid</v>
      </c>
      <c r="K313" t="s">
        <v>1581</v>
      </c>
      <c r="L313" t="s">
        <v>1603</v>
      </c>
      <c r="M313" t="s">
        <v>31</v>
      </c>
      <c r="N313" t="s">
        <v>1604</v>
      </c>
      <c r="O313" t="str">
        <f>IFERROR("IN" &amp; _xlfn.TEXTBEFORE(_xlfn.TEXTAFTER(UPPER(tblShipments5[[#This Row],[Gateway_clean]]),"IN")," ",1),"")</f>
        <v>INMUN1</v>
      </c>
      <c r="P313" t="str">
        <f>SUBSTITUTE(tblShipments5[[#This Row],[Gateway]], CHAR(10), " ")</f>
        <v xml:space="preserve">AWB No. Gateway Port Gateway EGM No. Gateway EGM Date Gateway Site ID Error Code N.A.  INMUN1  140648  2017-12-13 00:00:00.0  INMUN1  S </v>
      </c>
      <c r="Q313" t="s">
        <v>1605</v>
      </c>
    </row>
    <row r="314" spans="1:17" x14ac:dyDescent="0.35">
      <c r="A314" t="s">
        <v>8</v>
      </c>
      <c r="B314">
        <v>1719344</v>
      </c>
      <c r="C314" s="2" t="s">
        <v>1615</v>
      </c>
      <c r="D314" s="2" t="str">
        <f>LEFT(TRIM(MID(SUBSTITUTE(tblShipments5[[#This Row],[Details]],CHAR(10)," "), FIND(CHAR(10),tblShipments5[[#This Row],[Details]])+1, 50)), 10)</f>
        <v xml:space="preserve">No Record </v>
      </c>
      <c r="E314" t="s">
        <v>1602</v>
      </c>
      <c r="F31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4" t="str">
        <f>IF(tblShipments5[[#This Row],[EGM no]]="", "Missing EGM", "EGM Submitted")</f>
        <v>EGM Submitted</v>
      </c>
      <c r="H314" t="str">
        <f>IF(OR(ISNUMBER(SEARCH("Released",tblShipments5[[#This Row],[ROSL]])),
      ISNUMBER(SEARCH("Scroll",tblShipments5[[#This Row],[ROSL]])),
      ISNUMBER(SEARCH("Y",tblShipments5[[#This Row],[ROSL]]))),
   "Released",
   "Not Released")</f>
        <v>Released</v>
      </c>
      <c r="I314" t="str">
        <f>IF(OR(tblShipments5[[#This Row],[EGM no]]="", tblShipments5[[#This Row],[EGM no]]="N.A."), "Not Submitted", "Submitted")</f>
        <v>Submitted</v>
      </c>
      <c r="J314" t="str">
        <f>IF(LEFT(tblShipments5[[#This Row],[Gateway_Extracted]],2)="IN","Valid","Invalid")</f>
        <v>Valid</v>
      </c>
      <c r="K314" t="s">
        <v>1553</v>
      </c>
      <c r="L314" t="s">
        <v>1620</v>
      </c>
      <c r="M314" t="s">
        <v>31</v>
      </c>
      <c r="N314" t="s">
        <v>1621</v>
      </c>
      <c r="O314" t="str">
        <f>IFERROR("IN" &amp; _xlfn.TEXTBEFORE(_xlfn.TEXTAFTER(UPPER(tblShipments5[[#This Row],[Gateway_clean]]),"IN")," ",1),"")</f>
        <v>INMUN1</v>
      </c>
      <c r="P314" t="str">
        <f>SUBSTITUTE(tblShipments5[[#This Row],[Gateway]], CHAR(10), " ")</f>
        <v xml:space="preserve">AWB No. Gateway Port Gateway EGM No. Gateway EGM Date Gateway Site ID Error Code N.A.  INMUN1  141142  2017-12-21 00:00:00.0  INMUN1  S </v>
      </c>
      <c r="Q314" t="s">
        <v>1622</v>
      </c>
    </row>
    <row r="315" spans="1:17" x14ac:dyDescent="0.35">
      <c r="A315" t="s">
        <v>8</v>
      </c>
      <c r="B315">
        <v>1865148</v>
      </c>
      <c r="C315" s="2" t="s">
        <v>1687</v>
      </c>
      <c r="D315" s="2" t="str">
        <f>LEFT(TRIM(MID(SUBSTITUTE(tblShipments5[[#This Row],[Details]],CHAR(10)," "), FIND(CHAR(10),tblShipments5[[#This Row],[Details]])+1, 50)), 10)</f>
        <v xml:space="preserve">No Record </v>
      </c>
      <c r="E315" t="s">
        <v>1602</v>
      </c>
      <c r="F31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5" t="str">
        <f>IF(tblShipments5[[#This Row],[EGM no]]="", "Missing EGM", "EGM Submitted")</f>
        <v>EGM Submitted</v>
      </c>
      <c r="H315" t="str">
        <f>IF(OR(ISNUMBER(SEARCH("Released",tblShipments5[[#This Row],[ROSL]])),
      ISNUMBER(SEARCH("Scroll",tblShipments5[[#This Row],[ROSL]])),
      ISNUMBER(SEARCH("Y",tblShipments5[[#This Row],[ROSL]]))),
   "Released",
   "Not Released")</f>
        <v>Released</v>
      </c>
      <c r="I315" t="str">
        <f>IF(OR(tblShipments5[[#This Row],[EGM no]]="", tblShipments5[[#This Row],[EGM no]]="N.A."), "Not Submitted", "Submitted")</f>
        <v>Submitted</v>
      </c>
      <c r="J315" t="str">
        <f>IF(LEFT(tblShipments5[[#This Row],[Gateway_Extracted]],2)="IN","Valid","Invalid")</f>
        <v>Valid</v>
      </c>
      <c r="K315" t="s">
        <v>1679</v>
      </c>
      <c r="L315" t="s">
        <v>1688</v>
      </c>
      <c r="M315" t="s">
        <v>31</v>
      </c>
      <c r="N315" t="s">
        <v>1689</v>
      </c>
      <c r="O315" t="str">
        <f>IFERROR("IN" &amp; _xlfn.TEXTBEFORE(_xlfn.TEXTAFTER(UPPER(tblShipments5[[#This Row],[Gateway_clean]]),"IN")," ",1),"")</f>
        <v>INNSA1</v>
      </c>
      <c r="P315" t="str">
        <f>SUBSTITUTE(tblShipments5[[#This Row],[Gateway]], CHAR(10), " ")</f>
        <v xml:space="preserve">AWB No. Gateway Port Gateway EGM No. Gateway EGM Date Gateway Site ID Error Code N.A.  INNSA1  142173  2018-01-08 00:00:00.0  INNSA1  S </v>
      </c>
      <c r="Q315" t="s">
        <v>1690</v>
      </c>
    </row>
    <row r="316" spans="1:17" x14ac:dyDescent="0.35">
      <c r="A316" t="s">
        <v>8</v>
      </c>
      <c r="B316">
        <v>1868552</v>
      </c>
      <c r="C316" s="2" t="s">
        <v>1687</v>
      </c>
      <c r="D316" s="2" t="str">
        <f>LEFT(TRIM(MID(SUBSTITUTE(tblShipments5[[#This Row],[Details]],CHAR(10)," "), FIND(CHAR(10),tblShipments5[[#This Row],[Details]])+1, 50)), 10)</f>
        <v xml:space="preserve">No Record </v>
      </c>
      <c r="E316" t="s">
        <v>1602</v>
      </c>
      <c r="F31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6" t="str">
        <f>IF(tblShipments5[[#This Row],[EGM no]]="", "Missing EGM", "EGM Submitted")</f>
        <v>EGM Submitted</v>
      </c>
      <c r="H316" t="str">
        <f>IF(OR(ISNUMBER(SEARCH("Released",tblShipments5[[#This Row],[ROSL]])),
      ISNUMBER(SEARCH("Scroll",tblShipments5[[#This Row],[ROSL]])),
      ISNUMBER(SEARCH("Y",tblShipments5[[#This Row],[ROSL]]))),
   "Released",
   "Not Released")</f>
        <v>Released</v>
      </c>
      <c r="I316" t="str">
        <f>IF(OR(tblShipments5[[#This Row],[EGM no]]="", tblShipments5[[#This Row],[EGM no]]="N.A."), "Not Submitted", "Submitted")</f>
        <v>Submitted</v>
      </c>
      <c r="J316" t="str">
        <f>IF(LEFT(tblShipments5[[#This Row],[Gateway_Extracted]],2)="IN","Valid","Invalid")</f>
        <v>Valid</v>
      </c>
      <c r="K316" t="s">
        <v>1679</v>
      </c>
      <c r="L316" t="s">
        <v>1701</v>
      </c>
      <c r="M316" t="s">
        <v>31</v>
      </c>
      <c r="N316" t="s">
        <v>1702</v>
      </c>
      <c r="O316" t="str">
        <f>IFERROR("IN" &amp; _xlfn.TEXTBEFORE(_xlfn.TEXTAFTER(UPPER(tblShipments5[[#This Row],[Gateway_clean]]),"IN")," ",1),"")</f>
        <v>INNSA1</v>
      </c>
      <c r="P316" t="str">
        <f>SUBSTITUTE(tblShipments5[[#This Row],[Gateway]], CHAR(10), " ")</f>
        <v xml:space="preserve">AWB No. Gateway Port Gateway EGM No. Gateway EGM Date Gateway Site ID Error Code N.A.  INNSA1  141170  2017-12-22 00:00:00.0  INNSA1  S </v>
      </c>
      <c r="Q316" t="s">
        <v>1703</v>
      </c>
    </row>
    <row r="317" spans="1:17" x14ac:dyDescent="0.35">
      <c r="A317" t="s">
        <v>8</v>
      </c>
      <c r="B317">
        <v>8425293</v>
      </c>
      <c r="C317" s="2" t="s">
        <v>565</v>
      </c>
      <c r="D317" s="2" t="str">
        <f>LEFT(TRIM(MID(SUBSTITUTE(tblShipments5[[#This Row],[Details]],CHAR(10)," "), FIND(CHAR(10),tblShipments5[[#This Row],[Details]])+1, 50)), 10)</f>
        <v>0516900692</v>
      </c>
      <c r="E317" t="s">
        <v>574</v>
      </c>
      <c r="F31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7" t="str">
        <f>IF(tblShipments5[[#This Row],[EGM no]]="", "Missing EGM", "EGM Submitted")</f>
        <v>EGM Submitted</v>
      </c>
      <c r="H317" t="str">
        <f>IF(OR(ISNUMBER(SEARCH("Released",tblShipments5[[#This Row],[ROSL]])),
      ISNUMBER(SEARCH("Scroll",tblShipments5[[#This Row],[ROSL]])),
      ISNUMBER(SEARCH("Y",tblShipments5[[#This Row],[ROSL]]))),
   "Released",
   "Not Released")</f>
        <v>Released</v>
      </c>
      <c r="I317" t="str">
        <f>IF(OR(tblShipments5[[#This Row],[EGM no]]="", tblShipments5[[#This Row],[EGM no]]="N.A."), "Not Submitted", "Submitted")</f>
        <v>Submitted</v>
      </c>
      <c r="J317" t="str">
        <f>IF(LEFT(tblShipments5[[#This Row],[Gateway_Extracted]],2)="IN","Valid","Invalid")</f>
        <v>Valid</v>
      </c>
      <c r="K317" t="s">
        <v>575</v>
      </c>
      <c r="L317" t="s">
        <v>576</v>
      </c>
      <c r="M317" t="s">
        <v>13</v>
      </c>
      <c r="N317" t="s">
        <v>577</v>
      </c>
      <c r="O317" t="str">
        <f>IFERROR("IN" &amp; _xlfn.TEXTBEFORE(_xlfn.TEXTAFTER(UPPER(tblShipments5[[#This Row],[Gateway_clean]]),"IN")," ",1),"")</f>
        <v>INMUN1</v>
      </c>
      <c r="P317" t="str">
        <f>SUBSTITUTE(tblShipments5[[#This Row],[Gateway]], CHAR(10), " ")</f>
        <v xml:space="preserve">AWB No. Gateway Port Gateway EGM No. Gateway EGM Date Gateway Site ID Error Code N.A.  INMUN1  135448  2017-09-20 00:00:00.0  INMUN1  S </v>
      </c>
      <c r="Q317" t="s">
        <v>578</v>
      </c>
    </row>
    <row r="318" spans="1:17" x14ac:dyDescent="0.35">
      <c r="A318" t="s">
        <v>8</v>
      </c>
      <c r="B318">
        <v>9073097</v>
      </c>
      <c r="C318" s="2" t="s">
        <v>928</v>
      </c>
      <c r="D318" s="2" t="str">
        <f>LEFT(TRIM(MID(SUBSTITUTE(tblShipments5[[#This Row],[Details]],CHAR(10)," "), FIND(CHAR(10),tblShipments5[[#This Row],[Details]])+1, 50)), 10)</f>
        <v>0588024317</v>
      </c>
      <c r="E318" t="s">
        <v>934</v>
      </c>
      <c r="F31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8" t="str">
        <f>IF(tblShipments5[[#This Row],[EGM no]]="", "Missing EGM", "EGM Submitted")</f>
        <v>EGM Submitted</v>
      </c>
      <c r="H318" t="str">
        <f>IF(OR(ISNUMBER(SEARCH("Released",tblShipments5[[#This Row],[ROSL]])),
      ISNUMBER(SEARCH("Scroll",tblShipments5[[#This Row],[ROSL]])),
      ISNUMBER(SEARCH("Y",tblShipments5[[#This Row],[ROSL]]))),
   "Released",
   "Not Released")</f>
        <v>Released</v>
      </c>
      <c r="I318" t="str">
        <f>IF(OR(tblShipments5[[#This Row],[EGM no]]="", tblShipments5[[#This Row],[EGM no]]="N.A."), "Not Submitted", "Submitted")</f>
        <v>Submitted</v>
      </c>
      <c r="J318" t="str">
        <f>IF(LEFT(tblShipments5[[#This Row],[Gateway_Extracted]],2)="IN","Valid","Invalid")</f>
        <v>Valid</v>
      </c>
      <c r="K318" t="s">
        <v>935</v>
      </c>
      <c r="L318" t="s">
        <v>936</v>
      </c>
      <c r="M318" t="s">
        <v>31</v>
      </c>
      <c r="N318" t="s">
        <v>937</v>
      </c>
      <c r="O318" t="str">
        <f>IFERROR("IN" &amp; _xlfn.TEXTBEFORE(_xlfn.TEXTAFTER(UPPER(tblShipments5[[#This Row],[Gateway_clean]]),"IN")," ",1),"")</f>
        <v>INNSA1</v>
      </c>
      <c r="P318" t="str">
        <f>SUBSTITUTE(tblShipments5[[#This Row],[Gateway]], CHAR(10), " ")</f>
        <v xml:space="preserve">AWB No. Gateway Port Gateway EGM No. Gateway EGM Date Gateway Site ID Error Code N.A.  INNSA1  135126  2017-09-14 00:00:00.0  INNSA1  S </v>
      </c>
      <c r="Q318" t="s">
        <v>938</v>
      </c>
    </row>
    <row r="319" spans="1:17" x14ac:dyDescent="0.35">
      <c r="A319" t="s">
        <v>8</v>
      </c>
      <c r="B319">
        <v>7778178</v>
      </c>
      <c r="C319" s="2" t="s">
        <v>120</v>
      </c>
      <c r="D319" s="2" t="str">
        <f>LEFT(TRIM(MID(SUBSTITUTE(tblShipments5[[#This Row],[Details]],CHAR(10)," "), FIND(CHAR(10),tblShipments5[[#This Row],[Details]])+1, 50)), 10)</f>
        <v>0510056601</v>
      </c>
      <c r="E319" t="s">
        <v>145</v>
      </c>
      <c r="F31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19" t="str">
        <f>IF(tblShipments5[[#This Row],[EGM no]]="", "Missing EGM", "EGM Submitted")</f>
        <v>EGM Submitted</v>
      </c>
      <c r="H319" t="str">
        <f>IF(OR(ISNUMBER(SEARCH("Released",tblShipments5[[#This Row],[ROSL]])),
      ISNUMBER(SEARCH("Scroll",tblShipments5[[#This Row],[ROSL]])),
      ISNUMBER(SEARCH("Y",tblShipments5[[#This Row],[ROSL]]))),
   "Released",
   "Not Released")</f>
        <v>Released</v>
      </c>
      <c r="I319" t="str">
        <f>IF(OR(tblShipments5[[#This Row],[EGM no]]="", tblShipments5[[#This Row],[EGM no]]="N.A."), "Not Submitted", "Submitted")</f>
        <v>Submitted</v>
      </c>
      <c r="J319" t="str">
        <f>IF(LEFT(tblShipments5[[#This Row],[Gateway_Extracted]],2)="IN","Valid","Invalid")</f>
        <v>Valid</v>
      </c>
      <c r="K319" t="s">
        <v>83</v>
      </c>
      <c r="L319" t="s">
        <v>146</v>
      </c>
      <c r="M319" t="s">
        <v>13</v>
      </c>
      <c r="N319" t="s">
        <v>147</v>
      </c>
      <c r="O319" t="str">
        <f>IFERROR("IN" &amp; _xlfn.TEXTBEFORE(_xlfn.TEXTAFTER(UPPER(tblShipments5[[#This Row],[Gateway_clean]]),"IN")," ",1),"")</f>
        <v>INNSA1</v>
      </c>
      <c r="P319" t="str">
        <f>SUBSTITUTE(tblShipments5[[#This Row],[Gateway]], CHAR(10), " ")</f>
        <v xml:space="preserve">AWB No. Gateway Port Gateway EGM No. Gateway EGM Date Gateway Site ID Error Code N.A.  INNSA1  N.A.  N.A.  N.A.  N.A. </v>
      </c>
      <c r="Q319" t="s">
        <v>26</v>
      </c>
    </row>
    <row r="320" spans="1:17" x14ac:dyDescent="0.35">
      <c r="A320" t="s">
        <v>8</v>
      </c>
      <c r="B320">
        <v>8249349</v>
      </c>
      <c r="C320" s="2" t="s">
        <v>467</v>
      </c>
      <c r="D320" s="2" t="str">
        <f>LEFT(TRIM(MID(SUBSTITUTE(tblShipments5[[#This Row],[Details]],CHAR(10)," "), FIND(CHAR(10),tblShipments5[[#This Row],[Details]])+1, 50)), 10)</f>
        <v>0510056601</v>
      </c>
      <c r="E320" t="s">
        <v>472</v>
      </c>
      <c r="F32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0" t="str">
        <f>IF(tblShipments5[[#This Row],[EGM no]]="", "Missing EGM", "EGM Submitted")</f>
        <v>EGM Submitted</v>
      </c>
      <c r="H320" t="str">
        <f>IF(OR(ISNUMBER(SEARCH("Released",tblShipments5[[#This Row],[ROSL]])),
      ISNUMBER(SEARCH("Scroll",tblShipments5[[#This Row],[ROSL]])),
      ISNUMBER(SEARCH("Y",tblShipments5[[#This Row],[ROSL]]))),
   "Released",
   "Not Released")</f>
        <v>Released</v>
      </c>
      <c r="I320" t="str">
        <f>IF(OR(tblShipments5[[#This Row],[EGM no]]="", tblShipments5[[#This Row],[EGM no]]="N.A."), "Not Submitted", "Submitted")</f>
        <v>Submitted</v>
      </c>
      <c r="J320" t="str">
        <f>IF(LEFT(tblShipments5[[#This Row],[Gateway_Extracted]],2)="IN","Valid","Invalid")</f>
        <v>Valid</v>
      </c>
      <c r="K320" t="s">
        <v>473</v>
      </c>
      <c r="L320" t="s">
        <v>474</v>
      </c>
      <c r="M320" t="s">
        <v>13</v>
      </c>
      <c r="N320" t="s">
        <v>475</v>
      </c>
      <c r="O320" t="str">
        <f>IFERROR("IN" &amp; _xlfn.TEXTBEFORE(_xlfn.TEXTAFTER(UPPER(tblShipments5[[#This Row],[Gateway_clean]]),"IN")," ",1),"")</f>
        <v>INNSA1</v>
      </c>
      <c r="P320" t="str">
        <f>SUBSTITUTE(tblShipments5[[#This Row],[Gateway]], CHAR(10), " ")</f>
        <v xml:space="preserve">AWB No. Gateway Port Gateway EGM No. Gateway EGM Date Gateway Site ID Error Code N.A.  INNSA1  N.A.  N.A.  N.A.  N.A. </v>
      </c>
      <c r="Q320" t="s">
        <v>26</v>
      </c>
    </row>
    <row r="321" spans="1:17" x14ac:dyDescent="0.35">
      <c r="A321" t="s">
        <v>8</v>
      </c>
      <c r="B321">
        <v>8602587</v>
      </c>
      <c r="C321" s="2" t="s">
        <v>681</v>
      </c>
      <c r="D321" s="2" t="str">
        <f>LEFT(TRIM(MID(SUBSTITUTE(tblShipments5[[#This Row],[Details]],CHAR(10)," "), FIND(CHAR(10),tblShipments5[[#This Row],[Details]])+1, 50)), 10)</f>
        <v>1314000233</v>
      </c>
      <c r="E321" t="s">
        <v>684</v>
      </c>
      <c r="F32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1" t="str">
        <f>IF(tblShipments5[[#This Row],[EGM no]]="", "Missing EGM", "EGM Submitted")</f>
        <v>EGM Submitted</v>
      </c>
      <c r="H321" t="str">
        <f>IF(OR(ISNUMBER(SEARCH("Released",tblShipments5[[#This Row],[ROSL]])),
      ISNUMBER(SEARCH("Scroll",tblShipments5[[#This Row],[ROSL]])),
      ISNUMBER(SEARCH("Y",tblShipments5[[#This Row],[ROSL]]))),
   "Released",
   "Not Released")</f>
        <v>Released</v>
      </c>
      <c r="I321" t="str">
        <f>IF(OR(tblShipments5[[#This Row],[EGM no]]="", tblShipments5[[#This Row],[EGM no]]="N.A."), "Not Submitted", "Submitted")</f>
        <v>Submitted</v>
      </c>
      <c r="J321" t="str">
        <f>IF(LEFT(tblShipments5[[#This Row],[Gateway_Extracted]],2)="IN","Valid","Invalid")</f>
        <v>Valid</v>
      </c>
      <c r="K321" t="s">
        <v>685</v>
      </c>
      <c r="L321" t="s">
        <v>686</v>
      </c>
      <c r="M321" t="s">
        <v>13</v>
      </c>
      <c r="N321" t="s">
        <v>687</v>
      </c>
      <c r="O321" t="str">
        <f>IFERROR("IN" &amp; _xlfn.TEXTBEFORE(_xlfn.TEXTAFTER(UPPER(tblShipments5[[#This Row],[Gateway_clean]]),"IN")," ",1),"")</f>
        <v>INNSA1</v>
      </c>
      <c r="P321" t="str">
        <f>SUBSTITUTE(tblShipments5[[#This Row],[Gateway]], CHAR(10), " ")</f>
        <v xml:space="preserve">AWB No. Gateway Port Gateway EGM No. Gateway EGM Date Gateway Site ID Error Code N.A.  INNSA1  134766  2017-09-08 00:00:00.0  INNSA1  S </v>
      </c>
      <c r="Q321" t="s">
        <v>688</v>
      </c>
    </row>
    <row r="322" spans="1:17" x14ac:dyDescent="0.35">
      <c r="A322" t="s">
        <v>8</v>
      </c>
      <c r="B322">
        <v>8338701</v>
      </c>
      <c r="C322" s="2" t="s">
        <v>498</v>
      </c>
      <c r="D322" s="2" t="str">
        <f>LEFT(TRIM(MID(SUBSTITUTE(tblShipments5[[#This Row],[Details]],CHAR(10)," "), FIND(CHAR(10),tblShipments5[[#This Row],[Details]])+1, 50)), 10)</f>
        <v>1308012381</v>
      </c>
      <c r="E322" t="s">
        <v>513</v>
      </c>
      <c r="F32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2" t="str">
        <f>IF(tblShipments5[[#This Row],[EGM no]]="", "Missing EGM", "EGM Submitted")</f>
        <v>EGM Submitted</v>
      </c>
      <c r="H322" t="str">
        <f>IF(OR(ISNUMBER(SEARCH("Released",tblShipments5[[#This Row],[ROSL]])),
      ISNUMBER(SEARCH("Scroll",tblShipments5[[#This Row],[ROSL]])),
      ISNUMBER(SEARCH("Y",tblShipments5[[#This Row],[ROSL]]))),
   "Released",
   "Not Released")</f>
        <v>Released</v>
      </c>
      <c r="I322" t="str">
        <f>IF(OR(tblShipments5[[#This Row],[EGM no]]="", tblShipments5[[#This Row],[EGM no]]="N.A."), "Not Submitted", "Submitted")</f>
        <v>Submitted</v>
      </c>
      <c r="J322" t="str">
        <f>IF(LEFT(tblShipments5[[#This Row],[Gateway_Extracted]],2)="IN","Valid","Invalid")</f>
        <v>Valid</v>
      </c>
      <c r="K322" t="s">
        <v>382</v>
      </c>
      <c r="L322" t="s">
        <v>514</v>
      </c>
      <c r="M322" t="s">
        <v>13</v>
      </c>
      <c r="N322" t="s">
        <v>515</v>
      </c>
      <c r="O322" t="str">
        <f>IFERROR("IN" &amp; _xlfn.TEXTBEFORE(_xlfn.TEXTAFTER(UPPER(tblShipments5[[#This Row],[Gateway_clean]]),"IN")," ",1),"")</f>
        <v>INPAV1</v>
      </c>
      <c r="P322" t="str">
        <f>SUBSTITUTE(tblShipments5[[#This Row],[Gateway]], CHAR(10), " ")</f>
        <v xml:space="preserve">AWB No. Gateway Port Gateway EGM No. Gateway EGM Date Gateway Site ID Error Code N.A.  INPAV1  134495  2017-09-04 00:00:00.0  INPAV1  S </v>
      </c>
      <c r="Q322" t="s">
        <v>516</v>
      </c>
    </row>
    <row r="323" spans="1:17" x14ac:dyDescent="0.35">
      <c r="A323" t="s">
        <v>8</v>
      </c>
      <c r="B323">
        <v>7712075</v>
      </c>
      <c r="C323" s="2" t="s">
        <v>87</v>
      </c>
      <c r="D323" s="2" t="str">
        <f>LEFT(TRIM(MID(SUBSTITUTE(tblShipments5[[#This Row],[Details]],CHAR(10)," "), FIND(CHAR(10),tblShipments5[[#This Row],[Details]])+1, 50)), 10)</f>
        <v>1308012381</v>
      </c>
      <c r="E323" t="s">
        <v>92</v>
      </c>
      <c r="F32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3" t="str">
        <f>IF(tblShipments5[[#This Row],[EGM no]]="", "Missing EGM", "EGM Submitted")</f>
        <v>EGM Submitted</v>
      </c>
      <c r="H323" t="str">
        <f>IF(OR(ISNUMBER(SEARCH("Released",tblShipments5[[#This Row],[ROSL]])),
      ISNUMBER(SEARCH("Scroll",tblShipments5[[#This Row],[ROSL]])),
      ISNUMBER(SEARCH("Y",tblShipments5[[#This Row],[ROSL]]))),
   "Released",
   "Not Released")</f>
        <v>Released</v>
      </c>
      <c r="I323" t="str">
        <f>IF(OR(tblShipments5[[#This Row],[EGM no]]="", tblShipments5[[#This Row],[EGM no]]="N.A."), "Not Submitted", "Submitted")</f>
        <v>Submitted</v>
      </c>
      <c r="J323" t="str">
        <f>IF(LEFT(tblShipments5[[#This Row],[Gateway_Extracted]],2)="IN","Valid","Invalid")</f>
        <v>Valid</v>
      </c>
      <c r="K323" t="s">
        <v>72</v>
      </c>
      <c r="L323" t="s">
        <v>93</v>
      </c>
      <c r="M323" t="s">
        <v>13</v>
      </c>
      <c r="N323" t="s">
        <v>94</v>
      </c>
      <c r="O323" t="str">
        <f>IFERROR("IN" &amp; _xlfn.TEXTBEFORE(_xlfn.TEXTAFTER(UPPER(tblShipments5[[#This Row],[Gateway_clean]]),"IN")," ",1),"")</f>
        <v>INMUN1</v>
      </c>
      <c r="P323" t="str">
        <f>SUBSTITUTE(tblShipments5[[#This Row],[Gateway]], CHAR(10), " ")</f>
        <v xml:space="preserve">AWB No. Gateway Port Gateway EGM No. Gateway EGM Date Gateway Site ID Error Code N.A.  INMUN1  134637  2017-09-06 00:00:00.0  INMUN1  S </v>
      </c>
      <c r="Q323" t="s">
        <v>95</v>
      </c>
    </row>
    <row r="324" spans="1:17" x14ac:dyDescent="0.35">
      <c r="A324" t="s">
        <v>8</v>
      </c>
      <c r="B324">
        <v>8395644</v>
      </c>
      <c r="C324" s="2" t="s">
        <v>548</v>
      </c>
      <c r="D324" s="2" t="str">
        <f>LEFT(TRIM(MID(SUBSTITUTE(tblShipments5[[#This Row],[Details]],CHAR(10)," "), FIND(CHAR(10),tblShipments5[[#This Row],[Details]])+1, 50)), 10)</f>
        <v>1308012381</v>
      </c>
      <c r="E324" t="s">
        <v>553</v>
      </c>
      <c r="F32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4" t="str">
        <f>IF(tblShipments5[[#This Row],[EGM no]]="", "Missing EGM", "EGM Submitted")</f>
        <v>EGM Submitted</v>
      </c>
      <c r="H324" t="str">
        <f>IF(OR(ISNUMBER(SEARCH("Released",tblShipments5[[#This Row],[ROSL]])),
      ISNUMBER(SEARCH("Scroll",tblShipments5[[#This Row],[ROSL]])),
      ISNUMBER(SEARCH("Y",tblShipments5[[#This Row],[ROSL]]))),
   "Released",
   "Not Released")</f>
        <v>Released</v>
      </c>
      <c r="I324" t="str">
        <f>IF(OR(tblShipments5[[#This Row],[EGM no]]="", tblShipments5[[#This Row],[EGM no]]="N.A."), "Not Submitted", "Submitted")</f>
        <v>Submitted</v>
      </c>
      <c r="J324" t="str">
        <f>IF(LEFT(tblShipments5[[#This Row],[Gateway_Extracted]],2)="IN","Valid","Invalid")</f>
        <v>Valid</v>
      </c>
      <c r="K324" t="s">
        <v>528</v>
      </c>
      <c r="L324" t="s">
        <v>554</v>
      </c>
      <c r="M324" t="s">
        <v>13</v>
      </c>
      <c r="N324" t="s">
        <v>555</v>
      </c>
      <c r="O324" t="str">
        <f>IFERROR("IN" &amp; _xlfn.TEXTBEFORE(_xlfn.TEXTAFTER(UPPER(tblShipments5[[#This Row],[Gateway_clean]]),"IN")," ",1),"")</f>
        <v>INMUN1</v>
      </c>
      <c r="P324" t="str">
        <f>SUBSTITUTE(tblShipments5[[#This Row],[Gateway]], CHAR(10), " ")</f>
        <v xml:space="preserve">AWB No. Gateway Port Gateway EGM No. Gateway EGM Date Gateway Site ID Error Code N.A.  INMUN1  137035  2017-10-16 00:00:00.0  INMUN1  S </v>
      </c>
      <c r="Q324" t="s">
        <v>556</v>
      </c>
    </row>
    <row r="325" spans="1:17" x14ac:dyDescent="0.35">
      <c r="A325" t="s">
        <v>8</v>
      </c>
      <c r="B325">
        <v>9089004</v>
      </c>
      <c r="C325" s="2" t="s">
        <v>939</v>
      </c>
      <c r="D325" s="2" t="str">
        <f>LEFT(TRIM(MID(SUBSTITUTE(tblShipments5[[#This Row],[Details]],CHAR(10)," "), FIND(CHAR(10),tblShipments5[[#This Row],[Details]])+1, 50)), 10)</f>
        <v>0514067969</v>
      </c>
      <c r="E325" t="s">
        <v>945</v>
      </c>
      <c r="F32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5" t="str">
        <f>IF(tblShipments5[[#This Row],[EGM no]]="", "Missing EGM", "EGM Submitted")</f>
        <v>EGM Submitted</v>
      </c>
      <c r="H325" t="str">
        <f>IF(OR(ISNUMBER(SEARCH("Released",tblShipments5[[#This Row],[ROSL]])),
      ISNUMBER(SEARCH("Scroll",tblShipments5[[#This Row],[ROSL]])),
      ISNUMBER(SEARCH("Y",tblShipments5[[#This Row],[ROSL]]))),
   "Released",
   "Not Released")</f>
        <v>Released</v>
      </c>
      <c r="I325" t="str">
        <f>IF(OR(tblShipments5[[#This Row],[EGM no]]="", tblShipments5[[#This Row],[EGM no]]="N.A."), "Not Submitted", "Submitted")</f>
        <v>Submitted</v>
      </c>
      <c r="J325" t="str">
        <f>IF(LEFT(tblShipments5[[#This Row],[Gateway_Extracted]],2)="IN","Valid","Invalid")</f>
        <v>Valid</v>
      </c>
      <c r="K325" t="s">
        <v>907</v>
      </c>
      <c r="L325" t="s">
        <v>946</v>
      </c>
      <c r="M325" t="s">
        <v>13</v>
      </c>
      <c r="N325" t="s">
        <v>947</v>
      </c>
      <c r="O325" t="str">
        <f>IFERROR("IN" &amp; _xlfn.TEXTBEFORE(_xlfn.TEXTAFTER(UPPER(tblShipments5[[#This Row],[Gateway_clean]]),"IN")," ",1),"")</f>
        <v>INNSA1</v>
      </c>
      <c r="P325" t="str">
        <f>SUBSTITUTE(tblShipments5[[#This Row],[Gateway]], CHAR(10), " ")</f>
        <v xml:space="preserve">AWB No. Gateway Port Gateway EGM No. Gateway EGM Date Gateway Site ID Error Code N.A.  INNSA1  137096  2017-10-17 00:00:00.0  INNSA1  C </v>
      </c>
      <c r="Q325" t="s">
        <v>948</v>
      </c>
    </row>
    <row r="326" spans="1:17" x14ac:dyDescent="0.35">
      <c r="A326" t="s">
        <v>8</v>
      </c>
      <c r="B326">
        <v>1367821</v>
      </c>
      <c r="C326" s="2" t="s">
        <v>1436</v>
      </c>
      <c r="D326" s="2" t="str">
        <f>LEFT(TRIM(MID(SUBSTITUTE(tblShipments5[[#This Row],[Details]],CHAR(10)," "), FIND(CHAR(10),tblShipments5[[#This Row],[Details]])+1, 50)), 10)</f>
        <v>0514067969</v>
      </c>
      <c r="E326" t="s">
        <v>1442</v>
      </c>
      <c r="F32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6" t="str">
        <f>IF(tblShipments5[[#This Row],[EGM no]]="", "Missing EGM", "EGM Submitted")</f>
        <v>EGM Submitted</v>
      </c>
      <c r="H326" t="str">
        <f>IF(OR(ISNUMBER(SEARCH("Released",tblShipments5[[#This Row],[ROSL]])),
      ISNUMBER(SEARCH("Scroll",tblShipments5[[#This Row],[ROSL]])),
      ISNUMBER(SEARCH("Y",tblShipments5[[#This Row],[ROSL]]))),
   "Released",
   "Not Released")</f>
        <v>Released</v>
      </c>
      <c r="I326" t="str">
        <f>IF(OR(tblShipments5[[#This Row],[EGM no]]="", tblShipments5[[#This Row],[EGM no]]="N.A."), "Not Submitted", "Submitted")</f>
        <v>Submitted</v>
      </c>
      <c r="J326" t="str">
        <f>IF(LEFT(tblShipments5[[#This Row],[Gateway_Extracted]],2)="IN","Valid","Invalid")</f>
        <v>Valid</v>
      </c>
      <c r="K326" t="s">
        <v>1443</v>
      </c>
      <c r="L326" t="s">
        <v>1444</v>
      </c>
      <c r="M326" t="s">
        <v>13</v>
      </c>
      <c r="N326" t="s">
        <v>1445</v>
      </c>
      <c r="O326" t="str">
        <f>IFERROR("IN" &amp; _xlfn.TEXTBEFORE(_xlfn.TEXTAFTER(UPPER(tblShipments5[[#This Row],[Gateway_clean]]),"IN")," ",1),"")</f>
        <v>INNSA1</v>
      </c>
      <c r="P326" t="str">
        <f>SUBSTITUTE(tblShipments5[[#This Row],[Gateway]], CHAR(10), " ")</f>
        <v xml:space="preserve">AWB No. Gateway Port Gateway EGM No. Gateway EGM Date Gateway Site ID Error Code N.A.  INNSA1  140726  2017-12-15 00:00:00.0  INNSA1  C </v>
      </c>
      <c r="Q326" t="s">
        <v>1446</v>
      </c>
    </row>
    <row r="327" spans="1:17" x14ac:dyDescent="0.35">
      <c r="A327" t="s">
        <v>8</v>
      </c>
      <c r="B327">
        <v>8607213</v>
      </c>
      <c r="C327" s="2" t="s">
        <v>681</v>
      </c>
      <c r="D327" s="2" t="str">
        <f>LEFT(TRIM(MID(SUBSTITUTE(tblShipments5[[#This Row],[Details]],CHAR(10)," "), FIND(CHAR(10),tblShipments5[[#This Row],[Details]])+1, 50)), 10)</f>
        <v>0513013261</v>
      </c>
      <c r="E327" t="s">
        <v>693</v>
      </c>
      <c r="F32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7" t="str">
        <f>IF(tblShipments5[[#This Row],[EGM no]]="", "Missing EGM", "EGM Submitted")</f>
        <v>EGM Submitted</v>
      </c>
      <c r="H327" t="str">
        <f>IF(OR(ISNUMBER(SEARCH("Released",tblShipments5[[#This Row],[ROSL]])),
      ISNUMBER(SEARCH("Scroll",tblShipments5[[#This Row],[ROSL]])),
      ISNUMBER(SEARCH("Y",tblShipments5[[#This Row],[ROSL]]))),
   "Released",
   "Not Released")</f>
        <v>Released</v>
      </c>
      <c r="I327" t="str">
        <f>IF(OR(tblShipments5[[#This Row],[EGM no]]="", tblShipments5[[#This Row],[EGM no]]="N.A."), "Not Submitted", "Submitted")</f>
        <v>Submitted</v>
      </c>
      <c r="J327" t="str">
        <f>IF(LEFT(tblShipments5[[#This Row],[Gateway_Extracted]],2)="IN","Valid","Invalid")</f>
        <v>Valid</v>
      </c>
      <c r="K327" t="s">
        <v>694</v>
      </c>
      <c r="L327" t="s">
        <v>695</v>
      </c>
      <c r="M327" t="s">
        <v>13</v>
      </c>
      <c r="N327" t="s">
        <v>696</v>
      </c>
      <c r="O327" t="str">
        <f>IFERROR("IN" &amp; _xlfn.TEXTBEFORE(_xlfn.TEXTAFTER(UPPER(tblShipments5[[#This Row],[Gateway_clean]]),"IN")," ",1),"")</f>
        <v>INMUN1</v>
      </c>
      <c r="P327" t="str">
        <f>SUBSTITUTE(tblShipments5[[#This Row],[Gateway]], CHAR(10), " ")</f>
        <v xml:space="preserve">AWB No. Gateway Port Gateway EGM No. Gateway EGM Date Gateway Site ID Error Code N.A.  INMUN1  135995  2017-09-28 00:00:00.0  INMUN1  S </v>
      </c>
      <c r="Q327" t="s">
        <v>697</v>
      </c>
    </row>
    <row r="328" spans="1:17" x14ac:dyDescent="0.35">
      <c r="A328" t="s">
        <v>8</v>
      </c>
      <c r="B328">
        <v>8488643</v>
      </c>
      <c r="C328" s="2" t="s">
        <v>615</v>
      </c>
      <c r="D328" s="2" t="str">
        <f>LEFT(TRIM(MID(SUBSTITUTE(tblShipments5[[#This Row],[Details]],CHAR(10)," "), FIND(CHAR(10),tblShipments5[[#This Row],[Details]])+1, 50)), 10)</f>
        <v>0516502832</v>
      </c>
      <c r="E328" t="s">
        <v>623</v>
      </c>
      <c r="F32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8" t="str">
        <f>IF(tblShipments5[[#This Row],[EGM no]]="", "Missing EGM", "EGM Submitted")</f>
        <v>EGM Submitted</v>
      </c>
      <c r="H328" t="str">
        <f>IF(OR(ISNUMBER(SEARCH("Released",tblShipments5[[#This Row],[ROSL]])),
      ISNUMBER(SEARCH("Scroll",tblShipments5[[#This Row],[ROSL]])),
      ISNUMBER(SEARCH("Y",tblShipments5[[#This Row],[ROSL]]))),
   "Released",
   "Not Released")</f>
        <v>Released</v>
      </c>
      <c r="I328" t="str">
        <f>IF(OR(tblShipments5[[#This Row],[EGM no]]="", tblShipments5[[#This Row],[EGM no]]="N.A."), "Not Submitted", "Submitted")</f>
        <v>Submitted</v>
      </c>
      <c r="J328" t="str">
        <f>IF(LEFT(tblShipments5[[#This Row],[Gateway_Extracted]],2)="IN","Valid","Invalid")</f>
        <v>Valid</v>
      </c>
      <c r="K328" t="s">
        <v>624</v>
      </c>
      <c r="L328" t="s">
        <v>625</v>
      </c>
      <c r="M328" t="s">
        <v>626</v>
      </c>
      <c r="N328" t="s">
        <v>627</v>
      </c>
      <c r="O328" t="str">
        <f>IFERROR("IN" &amp; _xlfn.TEXTBEFORE(_xlfn.TEXTAFTER(UPPER(tblShipments5[[#This Row],[Gateway_clean]]),"IN")," ",1),"")</f>
        <v>INNSA1</v>
      </c>
      <c r="P328" t="str">
        <f>SUBSTITUTE(tblShipments5[[#This Row],[Gateway]], CHAR(10), " ")</f>
        <v xml:space="preserve">AWB No. Gateway Port Gateway EGM No. Gateway EGM Date Gateway Site ID Error Code N.A.  INNSA1  134549  2017-09-05 00:00:00.0  INNSA1  S </v>
      </c>
      <c r="Q328" t="s">
        <v>628</v>
      </c>
    </row>
    <row r="329" spans="1:17" x14ac:dyDescent="0.35">
      <c r="A329" t="s">
        <v>8</v>
      </c>
      <c r="B329">
        <v>8961510</v>
      </c>
      <c r="C329" s="2" t="s">
        <v>874</v>
      </c>
      <c r="D329" s="2" t="str">
        <f>LEFT(TRIM(MID(SUBSTITUTE(tblShipments5[[#This Row],[Details]],CHAR(10)," "), FIND(CHAR(10),tblShipments5[[#This Row],[Details]])+1, 50)), 10)</f>
        <v>0515036919</v>
      </c>
      <c r="E329" t="s">
        <v>875</v>
      </c>
      <c r="F32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29" t="str">
        <f>IF(tblShipments5[[#This Row],[EGM no]]="", "Missing EGM", "EGM Submitted")</f>
        <v>EGM Submitted</v>
      </c>
      <c r="H329" t="str">
        <f>IF(OR(ISNUMBER(SEARCH("Released",tblShipments5[[#This Row],[ROSL]])),
      ISNUMBER(SEARCH("Scroll",tblShipments5[[#This Row],[ROSL]])),
      ISNUMBER(SEARCH("Y",tblShipments5[[#This Row],[ROSL]]))),
   "Released",
   "Not Released")</f>
        <v>Released</v>
      </c>
      <c r="I329" t="str">
        <f>IF(OR(tblShipments5[[#This Row],[EGM no]]="", tblShipments5[[#This Row],[EGM no]]="N.A."), "Not Submitted", "Submitted")</f>
        <v>Submitted</v>
      </c>
      <c r="J329" t="str">
        <f>IF(LEFT(tblShipments5[[#This Row],[Gateway_Extracted]],2)="IN","Valid","Invalid")</f>
        <v>Valid</v>
      </c>
      <c r="K329" t="s">
        <v>876</v>
      </c>
      <c r="L329" t="s">
        <v>877</v>
      </c>
      <c r="M329" t="s">
        <v>878</v>
      </c>
      <c r="N329" t="s">
        <v>879</v>
      </c>
      <c r="O329" t="str">
        <f>IFERROR("IN" &amp; _xlfn.TEXTBEFORE(_xlfn.TEXTAFTER(UPPER(tblShipments5[[#This Row],[Gateway_clean]]),"IN")," ",1),"")</f>
        <v>INNSA1</v>
      </c>
      <c r="P329" t="str">
        <f>SUBSTITUTE(tblShipments5[[#This Row],[Gateway]], CHAR(10), " ")</f>
        <v xml:space="preserve">AWB No. Gateway Port Gateway EGM No. Gateway EGM Date Gateway Site ID Error Code N.A.  INNSA1  136238  2017-10-04 00:00:00.0  INNSA1  S </v>
      </c>
      <c r="Q329" t="s">
        <v>880</v>
      </c>
    </row>
    <row r="330" spans="1:17" x14ac:dyDescent="0.35">
      <c r="A330" t="s">
        <v>8</v>
      </c>
      <c r="B330">
        <v>8493626</v>
      </c>
      <c r="C330" s="2" t="s">
        <v>615</v>
      </c>
      <c r="D330" s="2" t="str">
        <f>LEFT(TRIM(MID(SUBSTITUTE(tblShipments5[[#This Row],[Details]],CHAR(10)," "), FIND(CHAR(10),tblShipments5[[#This Row],[Details]])+1, 50)), 10)</f>
        <v>3311006062</v>
      </c>
      <c r="E330" t="s">
        <v>629</v>
      </c>
      <c r="F33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0" t="str">
        <f>IF(tblShipments5[[#This Row],[EGM no]]="", "Missing EGM", "EGM Submitted")</f>
        <v>EGM Submitted</v>
      </c>
      <c r="H330" t="str">
        <f>IF(OR(ISNUMBER(SEARCH("Released",tblShipments5[[#This Row],[ROSL]])),
      ISNUMBER(SEARCH("Scroll",tblShipments5[[#This Row],[ROSL]])),
      ISNUMBER(SEARCH("Y",tblShipments5[[#This Row],[ROSL]]))),
   "Released",
   "Not Released")</f>
        <v>Released</v>
      </c>
      <c r="I330" t="str">
        <f>IF(OR(tblShipments5[[#This Row],[EGM no]]="", tblShipments5[[#This Row],[EGM no]]="N.A."), "Not Submitted", "Submitted")</f>
        <v>Submitted</v>
      </c>
      <c r="J330" t="str">
        <f>IF(LEFT(tblShipments5[[#This Row],[Gateway_Extracted]],2)="IN","Valid","Invalid")</f>
        <v>Valid</v>
      </c>
      <c r="K330" t="s">
        <v>612</v>
      </c>
      <c r="L330" t="s">
        <v>630</v>
      </c>
      <c r="M330" t="s">
        <v>31</v>
      </c>
      <c r="N330" t="s">
        <v>631</v>
      </c>
      <c r="O330" t="str">
        <f>IFERROR("IN" &amp; _xlfn.TEXTBEFORE(_xlfn.TEXTAFTER(UPPER(tblShipments5[[#This Row],[Gateway_clean]]),"IN")," ",1),"")</f>
        <v>INNSA1</v>
      </c>
      <c r="P330" t="str">
        <f>SUBSTITUTE(tblShipments5[[#This Row],[Gateway]], CHAR(10), " ")</f>
        <v xml:space="preserve">AWB No. Gateway Port Gateway EGM No. Gateway EGM Date Gateway Site ID Error Code N.A.  INNSA1  135239  2017-09-18 00:00:00.0  INNSA1  S </v>
      </c>
      <c r="Q330" t="s">
        <v>632</v>
      </c>
    </row>
    <row r="331" spans="1:17" x14ac:dyDescent="0.35">
      <c r="A331" t="s">
        <v>8</v>
      </c>
      <c r="B331">
        <v>7623801</v>
      </c>
      <c r="C331" s="2" t="s">
        <v>38</v>
      </c>
      <c r="D331" s="2" t="str">
        <f>LEFT(TRIM(MID(SUBSTITUTE(tblShipments5[[#This Row],[Details]],CHAR(10)," "), FIND(CHAR(10),tblShipments5[[#This Row],[Details]])+1, 50)), 10)</f>
        <v>0596009488</v>
      </c>
      <c r="E331" t="s">
        <v>39</v>
      </c>
      <c r="F33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1" t="str">
        <f>IF(tblShipments5[[#This Row],[EGM no]]="", "Missing EGM", "EGM Submitted")</f>
        <v>EGM Submitted</v>
      </c>
      <c r="H331" t="str">
        <f>IF(OR(ISNUMBER(SEARCH("Released",tblShipments5[[#This Row],[ROSL]])),
      ISNUMBER(SEARCH("Scroll",tblShipments5[[#This Row],[ROSL]])),
      ISNUMBER(SEARCH("Y",tblShipments5[[#This Row],[ROSL]]))),
   "Released",
   "Not Released")</f>
        <v>Released</v>
      </c>
      <c r="I331" t="str">
        <f>IF(OR(tblShipments5[[#This Row],[EGM no]]="", tblShipments5[[#This Row],[EGM no]]="N.A."), "Not Submitted", "Submitted")</f>
        <v>Submitted</v>
      </c>
      <c r="J331" t="str">
        <f>IF(LEFT(tblShipments5[[#This Row],[Gateway_Extracted]],2)="IN","Valid","Invalid")</f>
        <v>Valid</v>
      </c>
      <c r="K331" t="s">
        <v>40</v>
      </c>
      <c r="L331" t="s">
        <v>41</v>
      </c>
      <c r="M331" t="s">
        <v>13</v>
      </c>
      <c r="N331" t="s">
        <v>42</v>
      </c>
      <c r="O331" t="str">
        <f>IFERROR("IN" &amp; _xlfn.TEXTBEFORE(_xlfn.TEXTAFTER(UPPER(tblShipments5[[#This Row],[Gateway_clean]]),"IN")," ",1),"")</f>
        <v>INMUN1</v>
      </c>
      <c r="P331" t="str">
        <f>SUBSTITUTE(tblShipments5[[#This Row],[Gateway]], CHAR(10), " ")</f>
        <v xml:space="preserve">AWB No. Gateway Port Gateway EGM No. Gateway EGM Date Gateway Site ID Error Code N.A.  INMUN1  132702  2017-08-04 00:00:00.0  INMUN1  S </v>
      </c>
      <c r="Q331" t="s">
        <v>43</v>
      </c>
    </row>
    <row r="332" spans="1:17" x14ac:dyDescent="0.35">
      <c r="A332" t="s">
        <v>8</v>
      </c>
      <c r="B332">
        <v>7764000</v>
      </c>
      <c r="C332" s="2" t="s">
        <v>120</v>
      </c>
      <c r="D332" s="2" t="str">
        <f>LEFT(TRIM(MID(SUBSTITUTE(tblShipments5[[#This Row],[Details]],CHAR(10)," "), FIND(CHAR(10),tblShipments5[[#This Row],[Details]])+1, 50)), 10)</f>
        <v>0596009488</v>
      </c>
      <c r="E332" t="s">
        <v>126</v>
      </c>
      <c r="F33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2" t="str">
        <f>IF(tblShipments5[[#This Row],[EGM no]]="", "Missing EGM", "EGM Submitted")</f>
        <v>EGM Submitted</v>
      </c>
      <c r="H332" t="str">
        <f>IF(OR(ISNUMBER(SEARCH("Released",tblShipments5[[#This Row],[ROSL]])),
      ISNUMBER(SEARCH("Scroll",tblShipments5[[#This Row],[ROSL]])),
      ISNUMBER(SEARCH("Y",tblShipments5[[#This Row],[ROSL]]))),
   "Released",
   "Not Released")</f>
        <v>Released</v>
      </c>
      <c r="I332" t="str">
        <f>IF(OR(tblShipments5[[#This Row],[EGM no]]="", tblShipments5[[#This Row],[EGM no]]="N.A."), "Not Submitted", "Submitted")</f>
        <v>Submitted</v>
      </c>
      <c r="J332" t="str">
        <f>IF(LEFT(tblShipments5[[#This Row],[Gateway_Extracted]],2)="IN","Valid","Invalid")</f>
        <v>Valid</v>
      </c>
      <c r="K332" t="s">
        <v>108</v>
      </c>
      <c r="L332" t="s">
        <v>127</v>
      </c>
      <c r="M332" t="s">
        <v>13</v>
      </c>
      <c r="N332" t="s">
        <v>128</v>
      </c>
      <c r="O332" t="str">
        <f>IFERROR("IN" &amp; _xlfn.TEXTBEFORE(_xlfn.TEXTAFTER(UPPER(tblShipments5[[#This Row],[Gateway_clean]]),"IN")," ",1),"")</f>
        <v>INNSA1</v>
      </c>
      <c r="P332" t="str">
        <f>SUBSTITUTE(tblShipments5[[#This Row],[Gateway]], CHAR(10), " ")</f>
        <v xml:space="preserve">AWB No. Gateway Port Gateway EGM No. Gateway EGM Date Gateway Site ID Error Code N.A.  INNSA1  132737  2017-08-04 00:00:00.0  INNSA1  S </v>
      </c>
      <c r="Q332" t="s">
        <v>129</v>
      </c>
    </row>
    <row r="333" spans="1:17" x14ac:dyDescent="0.35">
      <c r="A333" t="s">
        <v>8</v>
      </c>
      <c r="B333">
        <v>7764312</v>
      </c>
      <c r="C333" s="2" t="s">
        <v>120</v>
      </c>
      <c r="D333" s="2" t="str">
        <f>LEFT(TRIM(MID(SUBSTITUTE(tblShipments5[[#This Row],[Details]],CHAR(10)," "), FIND(CHAR(10),tblShipments5[[#This Row],[Details]])+1, 50)), 10)</f>
        <v>0596009488</v>
      </c>
      <c r="E333" t="s">
        <v>130</v>
      </c>
      <c r="F33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3" t="str">
        <f>IF(tblShipments5[[#This Row],[EGM no]]="", "Missing EGM", "EGM Submitted")</f>
        <v>EGM Submitted</v>
      </c>
      <c r="H333" t="str">
        <f>IF(OR(ISNUMBER(SEARCH("Released",tblShipments5[[#This Row],[ROSL]])),
      ISNUMBER(SEARCH("Scroll",tblShipments5[[#This Row],[ROSL]])),
      ISNUMBER(SEARCH("Y",tblShipments5[[#This Row],[ROSL]]))),
   "Released",
   "Not Released")</f>
        <v>Released</v>
      </c>
      <c r="I333" t="str">
        <f>IF(OR(tblShipments5[[#This Row],[EGM no]]="", tblShipments5[[#This Row],[EGM no]]="N.A."), "Not Submitted", "Submitted")</f>
        <v>Submitted</v>
      </c>
      <c r="J333" t="str">
        <f>IF(LEFT(tblShipments5[[#This Row],[Gateway_Extracted]],2)="IN","Valid","Invalid")</f>
        <v>Valid</v>
      </c>
      <c r="K333" t="s">
        <v>131</v>
      </c>
      <c r="L333" t="s">
        <v>132</v>
      </c>
      <c r="M333" t="s">
        <v>13</v>
      </c>
      <c r="N333" t="s">
        <v>133</v>
      </c>
      <c r="O333" t="str">
        <f>IFERROR("IN" &amp; _xlfn.TEXTBEFORE(_xlfn.TEXTAFTER(UPPER(tblShipments5[[#This Row],[Gateway_clean]]),"IN")," ",1),"")</f>
        <v>INNSA1</v>
      </c>
      <c r="P333" t="str">
        <f>SUBSTITUTE(tblShipments5[[#This Row],[Gateway]], CHAR(10), " ")</f>
        <v xml:space="preserve">AWB No. Gateway Port Gateway EGM No. Gateway EGM Date Gateway Site ID Error Code N.A.  INNSA1  132731  2017-08-04 00:00:00.0  INNSA1  S </v>
      </c>
      <c r="Q333" t="s">
        <v>134</v>
      </c>
    </row>
    <row r="334" spans="1:17" x14ac:dyDescent="0.35">
      <c r="A334" t="s">
        <v>8</v>
      </c>
      <c r="B334">
        <v>8234289</v>
      </c>
      <c r="C334" s="2" t="s">
        <v>442</v>
      </c>
      <c r="D334" s="2" t="str">
        <f>LEFT(TRIM(MID(SUBSTITUTE(tblShipments5[[#This Row],[Details]],CHAR(10)," "), FIND(CHAR(10),tblShipments5[[#This Row],[Details]])+1, 50)), 10)</f>
        <v>0507001061</v>
      </c>
      <c r="E334" t="s">
        <v>443</v>
      </c>
      <c r="F33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4" t="str">
        <f>IF(tblShipments5[[#This Row],[EGM no]]="", "Missing EGM", "EGM Submitted")</f>
        <v>EGM Submitted</v>
      </c>
      <c r="H334" t="str">
        <f>IF(OR(ISNUMBER(SEARCH("Released",tblShipments5[[#This Row],[ROSL]])),
      ISNUMBER(SEARCH("Scroll",tblShipments5[[#This Row],[ROSL]])),
      ISNUMBER(SEARCH("Y",tblShipments5[[#This Row],[ROSL]]))),
   "Released",
   "Not Released")</f>
        <v>Released</v>
      </c>
      <c r="I334" t="str">
        <f>IF(OR(tblShipments5[[#This Row],[EGM no]]="", tblShipments5[[#This Row],[EGM no]]="N.A."), "Not Submitted", "Submitted")</f>
        <v>Submitted</v>
      </c>
      <c r="J334" t="str">
        <f>IF(LEFT(tblShipments5[[#This Row],[Gateway_Extracted]],2)="IN","Valid","Invalid")</f>
        <v>Valid</v>
      </c>
      <c r="K334" t="s">
        <v>444</v>
      </c>
      <c r="L334" t="s">
        <v>445</v>
      </c>
      <c r="M334" t="s">
        <v>13</v>
      </c>
      <c r="N334" t="s">
        <v>446</v>
      </c>
      <c r="O334" t="str">
        <f>IFERROR("IN" &amp; _xlfn.TEXTBEFORE(_xlfn.TEXTAFTER(UPPER(tblShipments5[[#This Row],[Gateway_clean]]),"IN")," ",1),"")</f>
        <v>INMUN1</v>
      </c>
      <c r="P334" t="str">
        <f>SUBSTITUTE(tblShipments5[[#This Row],[Gateway]], CHAR(10), " ")</f>
        <v xml:space="preserve">AWB No. Gateway Port Gateway EGM No. Gateway EGM Date Gateway Site ID Error Code N.A.  INMUN1  134487  2017-09-04 00:00:00.0  INMUN1  S </v>
      </c>
      <c r="Q334" t="s">
        <v>400</v>
      </c>
    </row>
    <row r="335" spans="1:17" x14ac:dyDescent="0.35">
      <c r="A335" t="s">
        <v>8</v>
      </c>
      <c r="B335">
        <v>7772989</v>
      </c>
      <c r="C335" s="2" t="s">
        <v>120</v>
      </c>
      <c r="D335" s="2" t="str">
        <f>LEFT(TRIM(MID(SUBSTITUTE(tblShipments5[[#This Row],[Details]],CHAR(10)," "), FIND(CHAR(10),tblShipments5[[#This Row],[Details]])+1, 50)), 10)</f>
        <v>0609003542</v>
      </c>
      <c r="E335" t="s">
        <v>135</v>
      </c>
      <c r="F33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5" t="str">
        <f>IF(tblShipments5[[#This Row],[EGM no]]="", "Missing EGM", "EGM Submitted")</f>
        <v>EGM Submitted</v>
      </c>
      <c r="H335" t="str">
        <f>IF(OR(ISNUMBER(SEARCH("Released",tblShipments5[[#This Row],[ROSL]])),
      ISNUMBER(SEARCH("Scroll",tblShipments5[[#This Row],[ROSL]])),
      ISNUMBER(SEARCH("Y",tblShipments5[[#This Row],[ROSL]]))),
   "Released",
   "Not Released")</f>
        <v>Released</v>
      </c>
      <c r="I335" t="str">
        <f>IF(OR(tblShipments5[[#This Row],[EGM no]]="", tblShipments5[[#This Row],[EGM no]]="N.A."), "Not Submitted", "Submitted")</f>
        <v>Submitted</v>
      </c>
      <c r="J335" t="str">
        <f>IF(LEFT(tblShipments5[[#This Row],[Gateway_Extracted]],2)="IN","Valid","Invalid")</f>
        <v>Valid</v>
      </c>
      <c r="K335" t="s">
        <v>136</v>
      </c>
      <c r="L335" t="s">
        <v>137</v>
      </c>
      <c r="M335" t="s">
        <v>13</v>
      </c>
      <c r="N335" t="s">
        <v>138</v>
      </c>
      <c r="O335" t="str">
        <f>IFERROR("IN" &amp; _xlfn.TEXTBEFORE(_xlfn.TEXTAFTER(UPPER(tblShipments5[[#This Row],[Gateway_clean]]),"IN")," ",1),"")</f>
        <v>INNSA1</v>
      </c>
      <c r="P335" t="str">
        <f>SUBSTITUTE(tblShipments5[[#This Row],[Gateway]], CHAR(10), " ")</f>
        <v xml:space="preserve">AWB No. Gateway Port Gateway EGM No. Gateway EGM Date Gateway Site ID Error Code N.A.  INNSA1  133243  2017-08-14 00:00:00.0  INNSA1  C </v>
      </c>
      <c r="Q335" t="s">
        <v>139</v>
      </c>
    </row>
    <row r="336" spans="1:17" x14ac:dyDescent="0.35">
      <c r="A336" t="s">
        <v>8</v>
      </c>
      <c r="B336">
        <v>7692707</v>
      </c>
      <c r="C336" s="2" t="s">
        <v>76</v>
      </c>
      <c r="D336" s="2" t="str">
        <f>LEFT(TRIM(MID(SUBSTITUTE(tblShipments5[[#This Row],[Details]],CHAR(10)," "), FIND(CHAR(10),tblShipments5[[#This Row],[Details]])+1, 50)), 10)</f>
        <v>0591026007</v>
      </c>
      <c r="E336" t="s">
        <v>82</v>
      </c>
      <c r="F33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6" t="str">
        <f>IF(tblShipments5[[#This Row],[EGM no]]="", "Missing EGM", "EGM Submitted")</f>
        <v>EGM Submitted</v>
      </c>
      <c r="H336" t="str">
        <f>IF(OR(ISNUMBER(SEARCH("Released",tblShipments5[[#This Row],[ROSL]])),
      ISNUMBER(SEARCH("Scroll",tblShipments5[[#This Row],[ROSL]])),
      ISNUMBER(SEARCH("Y",tblShipments5[[#This Row],[ROSL]]))),
   "Released",
   "Not Released")</f>
        <v>Released</v>
      </c>
      <c r="I336" t="str">
        <f>IF(OR(tblShipments5[[#This Row],[EGM no]]="", tblShipments5[[#This Row],[EGM no]]="N.A."), "Not Submitted", "Submitted")</f>
        <v>Submitted</v>
      </c>
      <c r="J336" t="str">
        <f>IF(LEFT(tblShipments5[[#This Row],[Gateway_Extracted]],2)="IN","Valid","Invalid")</f>
        <v>Valid</v>
      </c>
      <c r="K336" t="s">
        <v>83</v>
      </c>
      <c r="L336" t="s">
        <v>84</v>
      </c>
      <c r="M336" t="s">
        <v>13</v>
      </c>
      <c r="N336" t="s">
        <v>85</v>
      </c>
      <c r="O336" t="str">
        <f>IFERROR("IN" &amp; _xlfn.TEXTBEFORE(_xlfn.TEXTAFTER(UPPER(tblShipments5[[#This Row],[Gateway_clean]]),"IN")," ",1),"")</f>
        <v>INNSA1</v>
      </c>
      <c r="P336" t="str">
        <f>SUBSTITUTE(tblShipments5[[#This Row],[Gateway]], CHAR(10), " ")</f>
        <v xml:space="preserve">AWB No. Gateway Port Gateway EGM No. Gateway EGM Date Gateway Site ID Error Code N.A.  INNSA1  132431  2017-07-31 00:00:00.0  INNSA1  S </v>
      </c>
      <c r="Q336" t="s">
        <v>86</v>
      </c>
    </row>
    <row r="337" spans="1:17" x14ac:dyDescent="0.35">
      <c r="A337" t="s">
        <v>8</v>
      </c>
      <c r="B337">
        <v>8371290</v>
      </c>
      <c r="C337" s="2" t="s">
        <v>532</v>
      </c>
      <c r="D337" s="2" t="str">
        <f>LEFT(TRIM(MID(SUBSTITUTE(tblShipments5[[#This Row],[Details]],CHAR(10)," "), FIND(CHAR(10),tblShipments5[[#This Row],[Details]])+1, 50)), 10)</f>
        <v>0508073324</v>
      </c>
      <c r="E337" t="s">
        <v>540</v>
      </c>
      <c r="F33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7" t="str">
        <f>IF(tblShipments5[[#This Row],[EGM no]]="", "Missing EGM", "EGM Submitted")</f>
        <v>EGM Submitted</v>
      </c>
      <c r="H337" t="str">
        <f>IF(OR(ISNUMBER(SEARCH("Released",tblShipments5[[#This Row],[ROSL]])),
      ISNUMBER(SEARCH("Scroll",tblShipments5[[#This Row],[ROSL]])),
      ISNUMBER(SEARCH("Y",tblShipments5[[#This Row],[ROSL]]))),
   "Released",
   "Not Released")</f>
        <v>Released</v>
      </c>
      <c r="I337" t="str">
        <f>IF(OR(tblShipments5[[#This Row],[EGM no]]="", tblShipments5[[#This Row],[EGM no]]="N.A."), "Not Submitted", "Submitted")</f>
        <v>Submitted</v>
      </c>
      <c r="J337" t="str">
        <f>IF(LEFT(tblShipments5[[#This Row],[Gateway_Extracted]],2)="IN","Valid","Invalid")</f>
        <v>Valid</v>
      </c>
      <c r="K337" t="s">
        <v>394</v>
      </c>
      <c r="L337" t="s">
        <v>541</v>
      </c>
      <c r="M337" t="s">
        <v>13</v>
      </c>
      <c r="N337" t="s">
        <v>542</v>
      </c>
      <c r="O337" t="str">
        <f>IFERROR("IN" &amp; _xlfn.TEXTBEFORE(_xlfn.TEXTAFTER(UPPER(tblShipments5[[#This Row],[Gateway_clean]]),"IN")," ",1),"")</f>
        <v>INNSA1</v>
      </c>
      <c r="P337" t="str">
        <f>SUBSTITUTE(tblShipments5[[#This Row],[Gateway]], CHAR(10), " ")</f>
        <v xml:space="preserve">AWB No. Gateway Port Gateway EGM No. Gateway EGM Date Gateway Site ID Error Code N.A.  INNSA1  134500  2017-09-04 00:00:00.0  INNSA1  STC </v>
      </c>
      <c r="Q337" t="s">
        <v>543</v>
      </c>
    </row>
    <row r="338" spans="1:17" x14ac:dyDescent="0.35">
      <c r="A338" t="s">
        <v>8</v>
      </c>
      <c r="B338">
        <v>7970037</v>
      </c>
      <c r="C338" s="2" t="s">
        <v>255</v>
      </c>
      <c r="D338" s="2" t="str">
        <f>LEFT(TRIM(MID(SUBSTITUTE(tblShipments5[[#This Row],[Details]],CHAR(10)," "), FIND(CHAR(10),tblShipments5[[#This Row],[Details]])+1, 50)), 10)</f>
        <v>0590022873</v>
      </c>
      <c r="E338" t="s">
        <v>271</v>
      </c>
      <c r="F33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8" t="str">
        <f>IF(tblShipments5[[#This Row],[EGM no]]="", "Missing EGM", "EGM Submitted")</f>
        <v>EGM Submitted</v>
      </c>
      <c r="H338" t="str">
        <f>IF(OR(ISNUMBER(SEARCH("Released",tblShipments5[[#This Row],[ROSL]])),
      ISNUMBER(SEARCH("Scroll",tblShipments5[[#This Row],[ROSL]])),
      ISNUMBER(SEARCH("Y",tblShipments5[[#This Row],[ROSL]]))),
   "Released",
   "Not Released")</f>
        <v>Released</v>
      </c>
      <c r="I338" t="str">
        <f>IF(OR(tblShipments5[[#This Row],[EGM no]]="", tblShipments5[[#This Row],[EGM no]]="N.A."), "Not Submitted", "Submitted")</f>
        <v>Submitted</v>
      </c>
      <c r="J338" t="str">
        <f>IF(LEFT(tblShipments5[[#This Row],[Gateway_Extracted]],2)="IN","Valid","Invalid")</f>
        <v>Valid</v>
      </c>
      <c r="K338" t="s">
        <v>272</v>
      </c>
      <c r="L338" t="s">
        <v>273</v>
      </c>
      <c r="M338" t="s">
        <v>13</v>
      </c>
      <c r="N338" t="s">
        <v>274</v>
      </c>
      <c r="O338" t="str">
        <f>IFERROR("IN" &amp; _xlfn.TEXTBEFORE(_xlfn.TEXTAFTER(UPPER(tblShipments5[[#This Row],[Gateway_clean]]),"IN")," ",1),"")</f>
        <v>INMUN1</v>
      </c>
      <c r="P338" t="str">
        <f>SUBSTITUTE(tblShipments5[[#This Row],[Gateway]], CHAR(10), " ")</f>
        <v xml:space="preserve">AWB No. Gateway Port Gateway EGM No. Gateway EGM Date Gateway Site ID Error Code N.A.  INMUN1  134147  2017-08-29 00:00:00.0  INMUN1  S </v>
      </c>
      <c r="Q338" t="s">
        <v>275</v>
      </c>
    </row>
    <row r="339" spans="1:17" x14ac:dyDescent="0.35">
      <c r="A339" t="s">
        <v>8</v>
      </c>
      <c r="B339">
        <v>9738912</v>
      </c>
      <c r="C339" s="2" t="s">
        <v>1168</v>
      </c>
      <c r="D339" s="2" t="str">
        <f>LEFT(TRIM(MID(SUBSTITUTE(tblShipments5[[#This Row],[Details]],CHAR(10)," "), FIND(CHAR(10),tblShipments5[[#This Row],[Details]])+1, 50)), 10)</f>
        <v>0615002285</v>
      </c>
      <c r="E339" t="s">
        <v>1173</v>
      </c>
      <c r="F33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39" t="str">
        <f>IF(tblShipments5[[#This Row],[EGM no]]="", "Missing EGM", "EGM Submitted")</f>
        <v>EGM Submitted</v>
      </c>
      <c r="H339" t="str">
        <f>IF(OR(ISNUMBER(SEARCH("Released",tblShipments5[[#This Row],[ROSL]])),
      ISNUMBER(SEARCH("Scroll",tblShipments5[[#This Row],[ROSL]])),
      ISNUMBER(SEARCH("Y",tblShipments5[[#This Row],[ROSL]]))),
   "Released",
   "Not Released")</f>
        <v>Released</v>
      </c>
      <c r="I339" t="str">
        <f>IF(OR(tblShipments5[[#This Row],[EGM no]]="", tblShipments5[[#This Row],[EGM no]]="N.A."), "Not Submitted", "Submitted")</f>
        <v>Submitted</v>
      </c>
      <c r="J339" t="str">
        <f>IF(LEFT(tblShipments5[[#This Row],[Gateway_Extracted]],2)="IN","Valid","Invalid")</f>
        <v>Valid</v>
      </c>
      <c r="K339" t="s">
        <v>1174</v>
      </c>
      <c r="L339" t="s">
        <v>1175</v>
      </c>
      <c r="M339" t="s">
        <v>13</v>
      </c>
      <c r="N339" t="s">
        <v>1176</v>
      </c>
      <c r="O339" t="str">
        <f>IFERROR("IN" &amp; _xlfn.TEXTBEFORE(_xlfn.TEXTAFTER(UPPER(tblShipments5[[#This Row],[Gateway_clean]]),"IN")," ",1),"")</f>
        <v>INMUN1</v>
      </c>
      <c r="P339" t="str">
        <f>SUBSTITUTE(tblShipments5[[#This Row],[Gateway]], CHAR(10), " ")</f>
        <v xml:space="preserve">AWB No. Gateway Port Gateway EGM No. Gateway EGM Date Gateway Site ID Error Code N.A.  INMUN1  151099  2018-05-28 00:00:00.0  INMUN1  S </v>
      </c>
      <c r="Q339" t="s">
        <v>1177</v>
      </c>
    </row>
    <row r="340" spans="1:17" x14ac:dyDescent="0.35">
      <c r="A340" t="s">
        <v>8</v>
      </c>
      <c r="B340">
        <v>9361492</v>
      </c>
      <c r="C340" s="2" t="s">
        <v>1032</v>
      </c>
      <c r="D340" s="2" t="str">
        <f>LEFT(TRIM(MID(SUBSTITUTE(tblShipments5[[#This Row],[Details]],CHAR(10)," "), FIND(CHAR(10),tblShipments5[[#This Row],[Details]])+1, 50)), 10)</f>
        <v>0501009990</v>
      </c>
      <c r="E340" t="s">
        <v>1046</v>
      </c>
      <c r="F34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0" t="str">
        <f>IF(tblShipments5[[#This Row],[EGM no]]="", "Missing EGM", "EGM Submitted")</f>
        <v>EGM Submitted</v>
      </c>
      <c r="H340" t="str">
        <f>IF(OR(ISNUMBER(SEARCH("Released",tblShipments5[[#This Row],[ROSL]])),
      ISNUMBER(SEARCH("Scroll",tblShipments5[[#This Row],[ROSL]])),
      ISNUMBER(SEARCH("Y",tblShipments5[[#This Row],[ROSL]]))),
   "Released",
   "Not Released")</f>
        <v>Released</v>
      </c>
      <c r="I340" t="str">
        <f>IF(OR(tblShipments5[[#This Row],[EGM no]]="", tblShipments5[[#This Row],[EGM no]]="N.A."), "Not Submitted", "Submitted")</f>
        <v>Submitted</v>
      </c>
      <c r="J340" t="str">
        <f>IF(LEFT(tblShipments5[[#This Row],[Gateway_Extracted]],2)="IN","Valid","Invalid")</f>
        <v>Valid</v>
      </c>
      <c r="K340" t="s">
        <v>1047</v>
      </c>
      <c r="L340" t="s">
        <v>1011</v>
      </c>
      <c r="M340" t="s">
        <v>31</v>
      </c>
      <c r="N340" t="s">
        <v>1048</v>
      </c>
      <c r="O340" t="str">
        <f>IFERROR("IN" &amp; _xlfn.TEXTBEFORE(_xlfn.TEXTAFTER(UPPER(tblShipments5[[#This Row],[Gateway_clean]]),"IN")," ",1),"")</f>
        <v>INNSA1</v>
      </c>
      <c r="P340" t="str">
        <f>SUBSTITUTE(tblShipments5[[#This Row],[Gateway]], CHAR(10), " ")</f>
        <v xml:space="preserve">AWB No. Gateway Port Gateway EGM No. Gateway EGM Date Gateway Site ID Error Code N.A.  INNSA1  N.A.  N.A.  N.A.  N.A. </v>
      </c>
      <c r="Q340" t="s">
        <v>26</v>
      </c>
    </row>
    <row r="341" spans="1:17" x14ac:dyDescent="0.35">
      <c r="A341" t="s">
        <v>8</v>
      </c>
      <c r="B341">
        <v>7826835</v>
      </c>
      <c r="C341" s="2" t="s">
        <v>181</v>
      </c>
      <c r="D341" s="2" t="str">
        <f>LEFT(TRIM(MID(SUBSTITUTE(tblShipments5[[#This Row],[Details]],CHAR(10)," "), FIND(CHAR(10),tblShipments5[[#This Row],[Details]])+1, 50)), 10)</f>
        <v>0507068645</v>
      </c>
      <c r="E341" t="s">
        <v>187</v>
      </c>
      <c r="F34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1" t="str">
        <f>IF(tblShipments5[[#This Row],[EGM no]]="", "Missing EGM", "EGM Submitted")</f>
        <v>EGM Submitted</v>
      </c>
      <c r="H341" t="str">
        <f>IF(OR(ISNUMBER(SEARCH("Released",tblShipments5[[#This Row],[ROSL]])),
      ISNUMBER(SEARCH("Scroll",tblShipments5[[#This Row],[ROSL]])),
      ISNUMBER(SEARCH("Y",tblShipments5[[#This Row],[ROSL]]))),
   "Released",
   "Not Released")</f>
        <v>Released</v>
      </c>
      <c r="I341" t="str">
        <f>IF(OR(tblShipments5[[#This Row],[EGM no]]="", tblShipments5[[#This Row],[EGM no]]="N.A."), "Not Submitted", "Submitted")</f>
        <v>Submitted</v>
      </c>
      <c r="J341" t="str">
        <f>IF(LEFT(tblShipments5[[#This Row],[Gateway_Extracted]],2)="IN","Valid","Invalid")</f>
        <v>Valid</v>
      </c>
      <c r="K341" t="s">
        <v>188</v>
      </c>
      <c r="L341" t="s">
        <v>189</v>
      </c>
      <c r="M341" t="s">
        <v>13</v>
      </c>
      <c r="N341" t="s">
        <v>190</v>
      </c>
      <c r="O341" t="str">
        <f>IFERROR("IN" &amp; _xlfn.TEXTBEFORE(_xlfn.TEXTAFTER(UPPER(tblShipments5[[#This Row],[Gateway_clean]]),"IN")," ",1),"")</f>
        <v>INNSA1</v>
      </c>
      <c r="P341" t="str">
        <f>SUBSTITUTE(tblShipments5[[#This Row],[Gateway]], CHAR(10), " ")</f>
        <v xml:space="preserve">AWB No. Gateway Port Gateway EGM No. Gateway EGM Date Gateway Site ID Error Code N.A.  INNSA1  N.A.  N.A.  N.A.  N.A. </v>
      </c>
      <c r="Q341" t="s">
        <v>26</v>
      </c>
    </row>
    <row r="342" spans="1:17" x14ac:dyDescent="0.35">
      <c r="A342" t="s">
        <v>8</v>
      </c>
      <c r="B342">
        <v>8304313</v>
      </c>
      <c r="C342" s="2" t="s">
        <v>489</v>
      </c>
      <c r="D342" s="2" t="str">
        <f>LEFT(TRIM(MID(SUBSTITUTE(tblShipments5[[#This Row],[Details]],CHAR(10)," "), FIND(CHAR(10),tblShipments5[[#This Row],[Details]])+1, 50)), 10)</f>
        <v>0505088681</v>
      </c>
      <c r="E342" t="s">
        <v>490</v>
      </c>
      <c r="F34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2" t="str">
        <f>IF(tblShipments5[[#This Row],[EGM no]]="", "Missing EGM", "EGM Submitted")</f>
        <v>EGM Submitted</v>
      </c>
      <c r="H342" t="str">
        <f>IF(OR(ISNUMBER(SEARCH("Released",tblShipments5[[#This Row],[ROSL]])),
      ISNUMBER(SEARCH("Scroll",tblShipments5[[#This Row],[ROSL]])),
      ISNUMBER(SEARCH("Y",tblShipments5[[#This Row],[ROSL]]))),
   "Released",
   "Not Released")</f>
        <v>Released</v>
      </c>
      <c r="I342" t="str">
        <f>IF(OR(tblShipments5[[#This Row],[EGM no]]="", tblShipments5[[#This Row],[EGM no]]="N.A."), "Not Submitted", "Submitted")</f>
        <v>Submitted</v>
      </c>
      <c r="J342" t="str">
        <f>IF(LEFT(tblShipments5[[#This Row],[Gateway_Extracted]],2)="IN","Valid","Invalid")</f>
        <v>Valid</v>
      </c>
      <c r="K342" t="s">
        <v>382</v>
      </c>
      <c r="L342" t="s">
        <v>491</v>
      </c>
      <c r="M342" t="s">
        <v>13</v>
      </c>
      <c r="N342" t="s">
        <v>492</v>
      </c>
      <c r="O342" t="str">
        <f>IFERROR("IN" &amp; _xlfn.TEXTBEFORE(_xlfn.TEXTAFTER(UPPER(tblShipments5[[#This Row],[Gateway_clean]]),"IN")," ",1),"")</f>
        <v>INMUN1</v>
      </c>
      <c r="P342" t="str">
        <f>SUBSTITUTE(tblShipments5[[#This Row],[Gateway]], CHAR(10), " ")</f>
        <v xml:space="preserve">AWB No. Gateway Port Gateway EGM No. Gateway EGM Date Gateway Site ID Error Code N.A.  INMUN1  134406  2017-09-01 00:00:00.0  INMUN1  S </v>
      </c>
      <c r="Q342" t="s">
        <v>493</v>
      </c>
    </row>
    <row r="343" spans="1:17" x14ac:dyDescent="0.35">
      <c r="A343" t="s">
        <v>8</v>
      </c>
      <c r="B343">
        <v>8065602</v>
      </c>
      <c r="C343" s="2" t="s">
        <v>310</v>
      </c>
      <c r="D343" s="2" t="str">
        <f>LEFT(TRIM(MID(SUBSTITUTE(tblShipments5[[#This Row],[Details]],CHAR(10)," "), FIND(CHAR(10),tblShipments5[[#This Row],[Details]])+1, 50)), 10)</f>
        <v>0599007931</v>
      </c>
      <c r="E343" t="s">
        <v>324</v>
      </c>
      <c r="F34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3" t="str">
        <f>IF(tblShipments5[[#This Row],[EGM no]]="", "Missing EGM", "EGM Submitted")</f>
        <v>EGM Submitted</v>
      </c>
      <c r="H343" t="str">
        <f>IF(OR(ISNUMBER(SEARCH("Released",tblShipments5[[#This Row],[ROSL]])),
      ISNUMBER(SEARCH("Scroll",tblShipments5[[#This Row],[ROSL]])),
      ISNUMBER(SEARCH("Y",tblShipments5[[#This Row],[ROSL]]))),
   "Released",
   "Not Released")</f>
        <v>Released</v>
      </c>
      <c r="I343" t="str">
        <f>IF(OR(tblShipments5[[#This Row],[EGM no]]="", tblShipments5[[#This Row],[EGM no]]="N.A."), "Not Submitted", "Submitted")</f>
        <v>Submitted</v>
      </c>
      <c r="J343" t="str">
        <f>IF(LEFT(tblShipments5[[#This Row],[Gateway_Extracted]],2)="IN","Valid","Invalid")</f>
        <v>Valid</v>
      </c>
      <c r="K343" t="s">
        <v>325</v>
      </c>
      <c r="L343" t="s">
        <v>326</v>
      </c>
      <c r="M343" t="s">
        <v>31</v>
      </c>
      <c r="N343" t="s">
        <v>327</v>
      </c>
      <c r="O343" t="str">
        <f>IFERROR("IN" &amp; _xlfn.TEXTBEFORE(_xlfn.TEXTAFTER(UPPER(tblShipments5[[#This Row],[Gateway_clean]]),"IN")," ",1),"")</f>
        <v>INNSA1</v>
      </c>
      <c r="P343" t="str">
        <f>SUBSTITUTE(tblShipments5[[#This Row],[Gateway]], CHAR(10), " ")</f>
        <v xml:space="preserve">AWB No. Gateway Port Gateway EGM No. Gateway EGM Date Gateway Site ID Error Code N.A.  INNSA1  134681  2017-09-07 00:00:00.0  INNSA1  S </v>
      </c>
      <c r="Q343" t="s">
        <v>328</v>
      </c>
    </row>
    <row r="344" spans="1:17" x14ac:dyDescent="0.35">
      <c r="A344" t="s">
        <v>8</v>
      </c>
      <c r="B344">
        <v>9225719</v>
      </c>
      <c r="C344" s="2" t="s">
        <v>993</v>
      </c>
      <c r="D344" s="2" t="str">
        <f>LEFT(TRIM(MID(SUBSTITUTE(tblShipments5[[#This Row],[Details]],CHAR(10)," "), FIND(CHAR(10),tblShipments5[[#This Row],[Details]])+1, 50)), 10)</f>
        <v>0591032163</v>
      </c>
      <c r="E344" t="s">
        <v>999</v>
      </c>
      <c r="F34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4" t="str">
        <f>IF(tblShipments5[[#This Row],[EGM no]]="", "Missing EGM", "EGM Submitted")</f>
        <v>EGM Submitted</v>
      </c>
      <c r="H344" t="str">
        <f>IF(OR(ISNUMBER(SEARCH("Released",tblShipments5[[#This Row],[ROSL]])),
      ISNUMBER(SEARCH("Scroll",tblShipments5[[#This Row],[ROSL]])),
      ISNUMBER(SEARCH("Y",tblShipments5[[#This Row],[ROSL]]))),
   "Released",
   "Not Released")</f>
        <v>Released</v>
      </c>
      <c r="I344" t="str">
        <f>IF(OR(tblShipments5[[#This Row],[EGM no]]="", tblShipments5[[#This Row],[EGM no]]="N.A."), "Not Submitted", "Submitted")</f>
        <v>Submitted</v>
      </c>
      <c r="J344" t="str">
        <f>IF(LEFT(tblShipments5[[#This Row],[Gateway_Extracted]],2)="IN","Valid","Invalid")</f>
        <v>Valid</v>
      </c>
      <c r="K344" t="s">
        <v>1000</v>
      </c>
      <c r="L344" t="s">
        <v>1001</v>
      </c>
      <c r="M344" t="s">
        <v>13</v>
      </c>
      <c r="N344" t="s">
        <v>1002</v>
      </c>
      <c r="O344" t="str">
        <f>IFERROR("IN" &amp; _xlfn.TEXTBEFORE(_xlfn.TEXTAFTER(UPPER(tblShipments5[[#This Row],[Gateway_clean]]),"IN")," ",1),"")</f>
        <v>INNSA1</v>
      </c>
      <c r="P344" t="str">
        <f>SUBSTITUTE(tblShipments5[[#This Row],[Gateway]], CHAR(10), " ")</f>
        <v xml:space="preserve">AWB No. Gateway Port Gateway EGM No. Gateway EGM Date Gateway Site ID Error Code N.A.  INNSA1  N.A.  N.A.  N.A.  N.A. </v>
      </c>
      <c r="Q344" t="s">
        <v>26</v>
      </c>
    </row>
    <row r="345" spans="1:17" x14ac:dyDescent="0.35">
      <c r="A345" t="s">
        <v>8</v>
      </c>
      <c r="B345">
        <v>9131041</v>
      </c>
      <c r="C345" s="2" t="s">
        <v>960</v>
      </c>
      <c r="D345" s="2" t="str">
        <f>LEFT(TRIM(MID(SUBSTITUTE(tblShipments5[[#This Row],[Details]],CHAR(10)," "), FIND(CHAR(10),tblShipments5[[#This Row],[Details]])+1, 50)), 10)</f>
        <v>0500003491</v>
      </c>
      <c r="E345" t="s">
        <v>963</v>
      </c>
      <c r="F34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5" t="str">
        <f>IF(tblShipments5[[#This Row],[EGM no]]="", "Missing EGM", "EGM Submitted")</f>
        <v>EGM Submitted</v>
      </c>
      <c r="H345" t="str">
        <f>IF(OR(ISNUMBER(SEARCH("Released",tblShipments5[[#This Row],[ROSL]])),
      ISNUMBER(SEARCH("Scroll",tblShipments5[[#This Row],[ROSL]])),
      ISNUMBER(SEARCH("Y",tblShipments5[[#This Row],[ROSL]]))),
   "Released",
   "Not Released")</f>
        <v>Released</v>
      </c>
      <c r="I345" t="str">
        <f>IF(OR(tblShipments5[[#This Row],[EGM no]]="", tblShipments5[[#This Row],[EGM no]]="N.A."), "Not Submitted", "Submitted")</f>
        <v>Submitted</v>
      </c>
      <c r="J345" t="str">
        <f>IF(LEFT(tblShipments5[[#This Row],[Gateway_Extracted]],2)="IN","Valid","Invalid")</f>
        <v>Valid</v>
      </c>
      <c r="K345" t="s">
        <v>964</v>
      </c>
      <c r="L345" t="s">
        <v>965</v>
      </c>
      <c r="M345" t="s">
        <v>31</v>
      </c>
      <c r="N345" t="s">
        <v>966</v>
      </c>
      <c r="O345" t="str">
        <f>IFERROR("IN" &amp; _xlfn.TEXTBEFORE(_xlfn.TEXTAFTER(UPPER(tblShipments5[[#This Row],[Gateway_clean]]),"IN")," ",1),"")</f>
        <v>INMUN1</v>
      </c>
      <c r="P345" t="str">
        <f>SUBSTITUTE(tblShipments5[[#This Row],[Gateway]], CHAR(10), " ")</f>
        <v xml:space="preserve">AWB No. Gateway Port Gateway EGM No. Gateway EGM Date Gateway Site ID Error Code N.A.  INMUN1  138865  2017-11-15 00:00:00.0  INMUN1  S </v>
      </c>
      <c r="Q345" t="s">
        <v>967</v>
      </c>
    </row>
    <row r="346" spans="1:17" x14ac:dyDescent="0.35">
      <c r="A346" t="s">
        <v>8</v>
      </c>
      <c r="B346">
        <v>8090388</v>
      </c>
      <c r="C346" s="2" t="s">
        <v>334</v>
      </c>
      <c r="D346" s="2" t="str">
        <f>LEFT(TRIM(MID(SUBSTITUTE(tblShipments5[[#This Row],[Details]],CHAR(10)," "), FIND(CHAR(10),tblShipments5[[#This Row],[Details]])+1, 50)), 10)</f>
        <v>0507062884</v>
      </c>
      <c r="E346" t="s">
        <v>340</v>
      </c>
      <c r="F34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6" t="str">
        <f>IF(tblShipments5[[#This Row],[EGM no]]="", "Missing EGM", "EGM Submitted")</f>
        <v>EGM Submitted</v>
      </c>
      <c r="H346" t="str">
        <f>IF(OR(ISNUMBER(SEARCH("Released",tblShipments5[[#This Row],[ROSL]])),
      ISNUMBER(SEARCH("Scroll",tblShipments5[[#This Row],[ROSL]])),
      ISNUMBER(SEARCH("Y",tblShipments5[[#This Row],[ROSL]]))),
   "Released",
   "Not Released")</f>
        <v>Released</v>
      </c>
      <c r="I346" t="str">
        <f>IF(OR(tblShipments5[[#This Row],[EGM no]]="", tblShipments5[[#This Row],[EGM no]]="N.A."), "Not Submitted", "Submitted")</f>
        <v>Submitted</v>
      </c>
      <c r="J346" t="str">
        <f>IF(LEFT(tblShipments5[[#This Row],[Gateway_Extracted]],2)="IN","Valid","Invalid")</f>
        <v>Valid</v>
      </c>
      <c r="K346" t="s">
        <v>261</v>
      </c>
      <c r="L346" t="s">
        <v>341</v>
      </c>
      <c r="M346" t="s">
        <v>13</v>
      </c>
      <c r="N346" t="s">
        <v>342</v>
      </c>
      <c r="O346" t="str">
        <f>IFERROR("IN" &amp; _xlfn.TEXTBEFORE(_xlfn.TEXTAFTER(UPPER(tblShipments5[[#This Row],[Gateway_clean]]),"IN")," ",1),"")</f>
        <v>INMUN1</v>
      </c>
      <c r="P346" t="str">
        <f>SUBSTITUTE(tblShipments5[[#This Row],[Gateway]], CHAR(10), " ")</f>
        <v xml:space="preserve">AWB No. Gateway Port Gateway EGM No. Gateway EGM Date Gateway Site ID Error Code N.A.  INMUN1  134147  2017-08-29 00:00:00.0  INMUN1  S </v>
      </c>
      <c r="Q346" t="s">
        <v>275</v>
      </c>
    </row>
    <row r="347" spans="1:17" x14ac:dyDescent="0.35">
      <c r="A347" t="s">
        <v>8</v>
      </c>
      <c r="B347">
        <v>8305029</v>
      </c>
      <c r="C347" s="2" t="s">
        <v>489</v>
      </c>
      <c r="D347" s="2" t="str">
        <f>LEFT(TRIM(MID(SUBSTITUTE(tblShipments5[[#This Row],[Details]],CHAR(10)," "), FIND(CHAR(10),tblShipments5[[#This Row],[Details]])+1, 50)), 10)</f>
        <v>0507062884</v>
      </c>
      <c r="E347" t="s">
        <v>494</v>
      </c>
      <c r="F34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7" t="str">
        <f>IF(tblShipments5[[#This Row],[EGM no]]="", "Missing EGM", "EGM Submitted")</f>
        <v>EGM Submitted</v>
      </c>
      <c r="H347" t="str">
        <f>IF(OR(ISNUMBER(SEARCH("Released",tblShipments5[[#This Row],[ROSL]])),
      ISNUMBER(SEARCH("Scroll",tblShipments5[[#This Row],[ROSL]])),
      ISNUMBER(SEARCH("Y",tblShipments5[[#This Row],[ROSL]]))),
   "Released",
   "Not Released")</f>
        <v>Released</v>
      </c>
      <c r="I347" t="str">
        <f>IF(OR(tblShipments5[[#This Row],[EGM no]]="", tblShipments5[[#This Row],[EGM no]]="N.A."), "Not Submitted", "Submitted")</f>
        <v>Submitted</v>
      </c>
      <c r="J347" t="str">
        <f>IF(LEFT(tblShipments5[[#This Row],[Gateway_Extracted]],2)="IN","Valid","Invalid")</f>
        <v>Valid</v>
      </c>
      <c r="K347" t="s">
        <v>394</v>
      </c>
      <c r="L347" t="s">
        <v>495</v>
      </c>
      <c r="M347" t="s">
        <v>13</v>
      </c>
      <c r="N347" t="s">
        <v>496</v>
      </c>
      <c r="O347" t="str">
        <f>IFERROR("IN" &amp; _xlfn.TEXTBEFORE(_xlfn.TEXTAFTER(UPPER(tblShipments5[[#This Row],[Gateway_clean]]),"IN")," ",1),"")</f>
        <v>INMUN1</v>
      </c>
      <c r="P347" t="str">
        <f>SUBSTITUTE(tblShipments5[[#This Row],[Gateway]], CHAR(10), " ")</f>
        <v xml:space="preserve">AWB No. Gateway Port Gateway EGM No. Gateway EGM Date Gateway Site ID Error Code N.A.  INMUN1  134923  2017-09-12 00:00:00.0  INMUN1  S </v>
      </c>
      <c r="Q347" t="s">
        <v>497</v>
      </c>
    </row>
    <row r="348" spans="1:17" x14ac:dyDescent="0.35">
      <c r="A348" t="s">
        <v>8</v>
      </c>
      <c r="B348">
        <v>8486246</v>
      </c>
      <c r="C348" s="2" t="s">
        <v>615</v>
      </c>
      <c r="D348" s="2" t="str">
        <f>LEFT(TRIM(MID(SUBSTITUTE(tblShipments5[[#This Row],[Details]],CHAR(10)," "), FIND(CHAR(10),tblShipments5[[#This Row],[Details]])+1, 50)), 10)</f>
        <v>0507062884</v>
      </c>
      <c r="E348" t="s">
        <v>620</v>
      </c>
      <c r="F34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8" t="str">
        <f>IF(tblShipments5[[#This Row],[EGM no]]="", "Missing EGM", "EGM Submitted")</f>
        <v>EGM Submitted</v>
      </c>
      <c r="H348" t="str">
        <f>IF(OR(ISNUMBER(SEARCH("Released",tblShipments5[[#This Row],[ROSL]])),
      ISNUMBER(SEARCH("Scroll",tblShipments5[[#This Row],[ROSL]])),
      ISNUMBER(SEARCH("Y",tblShipments5[[#This Row],[ROSL]]))),
   "Released",
   "Not Released")</f>
        <v>Released</v>
      </c>
      <c r="I348" t="str">
        <f>IF(OR(tblShipments5[[#This Row],[EGM no]]="", tblShipments5[[#This Row],[EGM no]]="N.A."), "Not Submitted", "Submitted")</f>
        <v>Submitted</v>
      </c>
      <c r="J348" t="str">
        <f>IF(LEFT(tblShipments5[[#This Row],[Gateway_Extracted]],2)="IN","Valid","Invalid")</f>
        <v>Valid</v>
      </c>
      <c r="K348" t="s">
        <v>545</v>
      </c>
      <c r="L348" t="s">
        <v>621</v>
      </c>
      <c r="M348" t="s">
        <v>13</v>
      </c>
      <c r="N348" t="s">
        <v>622</v>
      </c>
      <c r="O348" t="str">
        <f>IFERROR("IN" &amp; _xlfn.TEXTBEFORE(_xlfn.TEXTAFTER(UPPER(tblShipments5[[#This Row],[Gateway_clean]]),"IN")," ",1),"")</f>
        <v>INMUN1</v>
      </c>
      <c r="P348" t="str">
        <f>SUBSTITUTE(tblShipments5[[#This Row],[Gateway]], CHAR(10), " ")</f>
        <v xml:space="preserve">AWB No. Gateway Port Gateway EGM No. Gateway EGM Date Gateway Site ID Error Code N.A.  INMUN1  134923  2017-09-12 00:00:00.0  INMUN1  S </v>
      </c>
      <c r="Q348" t="s">
        <v>497</v>
      </c>
    </row>
    <row r="349" spans="1:17" x14ac:dyDescent="0.35">
      <c r="A349" t="s">
        <v>8</v>
      </c>
      <c r="B349">
        <v>9731029</v>
      </c>
      <c r="C349" s="2" t="s">
        <v>1156</v>
      </c>
      <c r="D349" s="2" t="str">
        <f>LEFT(TRIM(MID(SUBSTITUTE(tblShipments5[[#This Row],[Details]],CHAR(10)," "), FIND(CHAR(10),tblShipments5[[#This Row],[Details]])+1, 50)), 10)</f>
        <v>0507062884</v>
      </c>
      <c r="E349" t="s">
        <v>1164</v>
      </c>
      <c r="F34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49" t="str">
        <f>IF(tblShipments5[[#This Row],[EGM no]]="", "Missing EGM", "EGM Submitted")</f>
        <v>EGM Submitted</v>
      </c>
      <c r="H349" t="str">
        <f>IF(OR(ISNUMBER(SEARCH("Released",tblShipments5[[#This Row],[ROSL]])),
      ISNUMBER(SEARCH("Scroll",tblShipments5[[#This Row],[ROSL]])),
      ISNUMBER(SEARCH("Y",tblShipments5[[#This Row],[ROSL]]))),
   "Released",
   "Not Released")</f>
        <v>Released</v>
      </c>
      <c r="I349" t="str">
        <f>IF(OR(tblShipments5[[#This Row],[EGM no]]="", tblShipments5[[#This Row],[EGM no]]="N.A."), "Not Submitted", "Submitted")</f>
        <v>Submitted</v>
      </c>
      <c r="J349" t="str">
        <f>IF(LEFT(tblShipments5[[#This Row],[Gateway_Extracted]],2)="IN","Valid","Invalid")</f>
        <v>Valid</v>
      </c>
      <c r="K349" t="s">
        <v>1099</v>
      </c>
      <c r="L349" t="s">
        <v>1165</v>
      </c>
      <c r="M349" t="s">
        <v>13</v>
      </c>
      <c r="N349" t="s">
        <v>1166</v>
      </c>
      <c r="O349" t="str">
        <f>IFERROR("IN" &amp; _xlfn.TEXTBEFORE(_xlfn.TEXTAFTER(UPPER(tblShipments5[[#This Row],[Gateway_clean]]),"IN")," ",1),"")</f>
        <v>INMUN1</v>
      </c>
      <c r="P349" t="str">
        <f>SUBSTITUTE(tblShipments5[[#This Row],[Gateway]], CHAR(10), " ")</f>
        <v xml:space="preserve">AWB No. Gateway Port Gateway EGM No. Gateway EGM Date Gateway Site ID Error Code N.A.  INMUN1  137950  2017-11-01 00:00:00.0  INMUN1  S </v>
      </c>
      <c r="Q349" t="s">
        <v>1167</v>
      </c>
    </row>
    <row r="350" spans="1:17" x14ac:dyDescent="0.35">
      <c r="A350" t="s">
        <v>8</v>
      </c>
      <c r="B350">
        <v>7747150</v>
      </c>
      <c r="C350" s="2" t="s">
        <v>106</v>
      </c>
      <c r="D350" s="2" t="str">
        <f>LEFT(TRIM(MID(SUBSTITUTE(tblShipments5[[#This Row],[Details]],CHAR(10)," "), FIND(CHAR(10),tblShipments5[[#This Row],[Details]])+1, 50)), 10)</f>
        <v>0509037844</v>
      </c>
      <c r="E350" t="s">
        <v>113</v>
      </c>
      <c r="F35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0" t="str">
        <f>IF(tblShipments5[[#This Row],[EGM no]]="", "Missing EGM", "EGM Submitted")</f>
        <v>EGM Submitted</v>
      </c>
      <c r="H350" t="str">
        <f>IF(OR(ISNUMBER(SEARCH("Released",tblShipments5[[#This Row],[ROSL]])),
      ISNUMBER(SEARCH("Scroll",tblShipments5[[#This Row],[ROSL]])),
      ISNUMBER(SEARCH("Y",tblShipments5[[#This Row],[ROSL]]))),
   "Released",
   "Not Released")</f>
        <v>Released</v>
      </c>
      <c r="I350" t="str">
        <f>IF(OR(tblShipments5[[#This Row],[EGM no]]="", tblShipments5[[#This Row],[EGM no]]="N.A."), "Not Submitted", "Submitted")</f>
        <v>Submitted</v>
      </c>
      <c r="J350" t="str">
        <f>IF(LEFT(tblShipments5[[#This Row],[Gateway_Extracted]],2)="IN","Valid","Invalid")</f>
        <v>Valid</v>
      </c>
      <c r="K350" t="s">
        <v>89</v>
      </c>
      <c r="L350" t="s">
        <v>114</v>
      </c>
      <c r="M350" t="s">
        <v>13</v>
      </c>
      <c r="N350" t="s">
        <v>115</v>
      </c>
      <c r="O350" t="str">
        <f>IFERROR("IN" &amp; _xlfn.TEXTBEFORE(_xlfn.TEXTAFTER(UPPER(tblShipments5[[#This Row],[Gateway_clean]]),"IN")," ",1),"")</f>
        <v>INNSA1</v>
      </c>
      <c r="P350" t="str">
        <f>SUBSTITUTE(tblShipments5[[#This Row],[Gateway]], CHAR(10), " ")</f>
        <v xml:space="preserve">AWB No. Gateway Port Gateway EGM No. Gateway EGM Date Gateway Site ID Error Code N.A.  INNSA1  132812  2017-08-07 00:00:00.0  INNSA1  C </v>
      </c>
      <c r="Q350" t="s">
        <v>116</v>
      </c>
    </row>
    <row r="351" spans="1:17" x14ac:dyDescent="0.35">
      <c r="A351" t="s">
        <v>8</v>
      </c>
      <c r="B351">
        <v>1031757</v>
      </c>
      <c r="C351" s="2" t="s">
        <v>1234</v>
      </c>
      <c r="D351" s="2" t="str">
        <f>LEFT(TRIM(MID(SUBSTITUTE(tblShipments5[[#This Row],[Details]],CHAR(10)," "), FIND(CHAR(10),tblShipments5[[#This Row],[Details]])+1, 50)), 10)</f>
        <v>0507004761</v>
      </c>
      <c r="E351" t="s">
        <v>1235</v>
      </c>
      <c r="F35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1" t="str">
        <f>IF(tblShipments5[[#This Row],[EGM no]]="", "Missing EGM", "EGM Submitted")</f>
        <v>EGM Submitted</v>
      </c>
      <c r="H351" t="str">
        <f>IF(OR(ISNUMBER(SEARCH("Released",tblShipments5[[#This Row],[ROSL]])),
      ISNUMBER(SEARCH("Scroll",tblShipments5[[#This Row],[ROSL]])),
      ISNUMBER(SEARCH("Y",tblShipments5[[#This Row],[ROSL]]))),
   "Released",
   "Not Released")</f>
        <v>Released</v>
      </c>
      <c r="I351" t="str">
        <f>IF(OR(tblShipments5[[#This Row],[EGM no]]="", tblShipments5[[#This Row],[EGM no]]="N.A."), "Not Submitted", "Submitted")</f>
        <v>Submitted</v>
      </c>
      <c r="J351" t="str">
        <f>IF(LEFT(tblShipments5[[#This Row],[Gateway_Extracted]],2)="IN","Valid","Invalid")</f>
        <v>Valid</v>
      </c>
      <c r="K351" t="s">
        <v>1236</v>
      </c>
      <c r="L351" t="s">
        <v>1237</v>
      </c>
      <c r="M351" t="s">
        <v>13</v>
      </c>
      <c r="N351" t="s">
        <v>1238</v>
      </c>
      <c r="O351" t="str">
        <f>IFERROR("IN" &amp; _xlfn.TEXTBEFORE(_xlfn.TEXTAFTER(UPPER(tblShipments5[[#This Row],[Gateway_clean]]),"IN")," ",1),"")</f>
        <v>INNSA1</v>
      </c>
      <c r="P351" t="str">
        <f>SUBSTITUTE(tblShipments5[[#This Row],[Gateway]], CHAR(10), " ")</f>
        <v xml:space="preserve">AWB No. Gateway Port Gateway EGM No. Gateway EGM Date Gateway Site ID Error Code N.A.  INNSA1  137386  2017-10-23 00:00:00.0  INNSA1  S </v>
      </c>
      <c r="Q351" t="s">
        <v>1239</v>
      </c>
    </row>
    <row r="352" spans="1:17" x14ac:dyDescent="0.35">
      <c r="A352" t="s">
        <v>8</v>
      </c>
      <c r="B352">
        <v>8551635</v>
      </c>
      <c r="C352" s="2" t="s">
        <v>652</v>
      </c>
      <c r="D352" s="2" t="str">
        <f>LEFT(TRIM(MID(SUBSTITUTE(tblShipments5[[#This Row],[Details]],CHAR(10)," "), FIND(CHAR(10),tblShipments5[[#This Row],[Details]])+1, 50)), 10)</f>
        <v>0511087098</v>
      </c>
      <c r="E352" t="s">
        <v>653</v>
      </c>
      <c r="F35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2" t="str">
        <f>IF(tblShipments5[[#This Row],[EGM no]]="", "Missing EGM", "EGM Submitted")</f>
        <v>EGM Submitted</v>
      </c>
      <c r="H352" t="str">
        <f>IF(OR(ISNUMBER(SEARCH("Released",tblShipments5[[#This Row],[ROSL]])),
      ISNUMBER(SEARCH("Scroll",tblShipments5[[#This Row],[ROSL]])),
      ISNUMBER(SEARCH("Y",tblShipments5[[#This Row],[ROSL]]))),
   "Released",
   "Not Released")</f>
        <v>Released</v>
      </c>
      <c r="I352" t="str">
        <f>IF(OR(tblShipments5[[#This Row],[EGM no]]="", tblShipments5[[#This Row],[EGM no]]="N.A."), "Not Submitted", "Submitted")</f>
        <v>Submitted</v>
      </c>
      <c r="J352" t="str">
        <f>IF(LEFT(tblShipments5[[#This Row],[Gateway_Extracted]],2)="IN","Valid","Invalid")</f>
        <v>Valid</v>
      </c>
      <c r="K352" t="s">
        <v>654</v>
      </c>
      <c r="L352" t="s">
        <v>655</v>
      </c>
      <c r="M352" t="s">
        <v>31</v>
      </c>
      <c r="N352" t="s">
        <v>656</v>
      </c>
      <c r="O352" t="str">
        <f>IFERROR("IN" &amp; _xlfn.TEXTBEFORE(_xlfn.TEXTAFTER(UPPER(tblShipments5[[#This Row],[Gateway_clean]]),"IN")," ",1),"")</f>
        <v>INNSA1</v>
      </c>
      <c r="P352" t="str">
        <f>SUBSTITUTE(tblShipments5[[#This Row],[Gateway]], CHAR(10), " ")</f>
        <v xml:space="preserve">AWB No. Gateway Port Gateway EGM No. Gateway EGM Date Gateway Site ID Error Code N.A.  INNSA1  N.A.  N.A.  N.A.  N.A. </v>
      </c>
      <c r="Q352" t="s">
        <v>26</v>
      </c>
    </row>
    <row r="353" spans="1:17" x14ac:dyDescent="0.35">
      <c r="A353" t="s">
        <v>8</v>
      </c>
      <c r="B353">
        <v>8140525</v>
      </c>
      <c r="C353" s="2" t="s">
        <v>356</v>
      </c>
      <c r="D353" s="2" t="str">
        <f>LEFT(TRIM(MID(SUBSTITUTE(tblShipments5[[#This Row],[Details]],CHAR(10)," "), FIND(CHAR(10),tblShipments5[[#This Row],[Details]])+1, 50)), 10)</f>
        <v>0504064754</v>
      </c>
      <c r="E353" t="s">
        <v>361</v>
      </c>
      <c r="F35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3" t="str">
        <f>IF(tblShipments5[[#This Row],[EGM no]]="", "Missing EGM", "EGM Submitted")</f>
        <v>EGM Submitted</v>
      </c>
      <c r="H353" t="str">
        <f>IF(OR(ISNUMBER(SEARCH("Released",tblShipments5[[#This Row],[ROSL]])),
      ISNUMBER(SEARCH("Scroll",tblShipments5[[#This Row],[ROSL]])),
      ISNUMBER(SEARCH("Y",tblShipments5[[#This Row],[ROSL]]))),
   "Released",
   "Not Released")</f>
        <v>Released</v>
      </c>
      <c r="I353" t="str">
        <f>IF(OR(tblShipments5[[#This Row],[EGM no]]="", tblShipments5[[#This Row],[EGM no]]="N.A."), "Not Submitted", "Submitted")</f>
        <v>Submitted</v>
      </c>
      <c r="J353" t="str">
        <f>IF(LEFT(tblShipments5[[#This Row],[Gateway_Extracted]],2)="IN","Valid","Invalid")</f>
        <v>Valid</v>
      </c>
      <c r="K353" t="s">
        <v>261</v>
      </c>
      <c r="L353" t="s">
        <v>362</v>
      </c>
      <c r="M353" t="s">
        <v>13</v>
      </c>
      <c r="N353" t="s">
        <v>363</v>
      </c>
      <c r="O353" t="str">
        <f>IFERROR("IN" &amp; _xlfn.TEXTBEFORE(_xlfn.TEXTAFTER(UPPER(tblShipments5[[#This Row],[Gateway_clean]]),"IN")," ",1),"")</f>
        <v>INPAV1</v>
      </c>
      <c r="P353" t="str">
        <f>SUBSTITUTE(tblShipments5[[#This Row],[Gateway]], CHAR(10), " ")</f>
        <v xml:space="preserve">AWB No. Gateway Port Gateway EGM No. Gateway EGM Date Gateway Site ID Error Code N.A.  INPAV1  131777  2017-07-19 00:00:00.0  INPAV1  L </v>
      </c>
      <c r="Q353" t="s">
        <v>364</v>
      </c>
    </row>
    <row r="354" spans="1:17" x14ac:dyDescent="0.35">
      <c r="A354" t="s">
        <v>8</v>
      </c>
      <c r="B354">
        <v>8483178</v>
      </c>
      <c r="C354" s="2" t="s">
        <v>615</v>
      </c>
      <c r="D354" s="2" t="str">
        <f>LEFT(TRIM(MID(SUBSTITUTE(tblShipments5[[#This Row],[Details]],CHAR(10)," "), FIND(CHAR(10),tblShipments5[[#This Row],[Details]])+1, 50)), 10)</f>
        <v>0504064754</v>
      </c>
      <c r="E354" t="s">
        <v>616</v>
      </c>
      <c r="F35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4" t="str">
        <f>IF(tblShipments5[[#This Row],[EGM no]]="", "Missing EGM", "EGM Submitted")</f>
        <v>EGM Submitted</v>
      </c>
      <c r="H354" t="str">
        <f>IF(OR(ISNUMBER(SEARCH("Released",tblShipments5[[#This Row],[ROSL]])),
      ISNUMBER(SEARCH("Scroll",tblShipments5[[#This Row],[ROSL]])),
      ISNUMBER(SEARCH("Y",tblShipments5[[#This Row],[ROSL]]))),
   "Released",
   "Not Released")</f>
        <v>Released</v>
      </c>
      <c r="I354" t="str">
        <f>IF(OR(tblShipments5[[#This Row],[EGM no]]="", tblShipments5[[#This Row],[EGM no]]="N.A."), "Not Submitted", "Submitted")</f>
        <v>Submitted</v>
      </c>
      <c r="J354" t="str">
        <f>IF(LEFT(tblShipments5[[#This Row],[Gateway_Extracted]],2)="IN","Valid","Invalid")</f>
        <v>Valid</v>
      </c>
      <c r="K354" t="s">
        <v>534</v>
      </c>
      <c r="L354" t="s">
        <v>617</v>
      </c>
      <c r="M354" t="s">
        <v>13</v>
      </c>
      <c r="N354" t="s">
        <v>618</v>
      </c>
      <c r="O354" t="str">
        <f>IFERROR("IN" &amp; _xlfn.TEXTBEFORE(_xlfn.TEXTAFTER(UPPER(tblShipments5[[#This Row],[Gateway_clean]]),"IN")," ",1),"")</f>
        <v>INNSA1</v>
      </c>
      <c r="P354" t="str">
        <f>SUBSTITUTE(tblShipments5[[#This Row],[Gateway]], CHAR(10), " ")</f>
        <v xml:space="preserve">AWB No. Gateway Port Gateway EGM No. Gateway EGM Date Gateway Site ID Error Code N.A.  INNSA1  134875  2017-09-11 00:00:00.0  INNSA1  S </v>
      </c>
      <c r="Q354" t="s">
        <v>619</v>
      </c>
    </row>
    <row r="355" spans="1:17" x14ac:dyDescent="0.35">
      <c r="A355" t="s">
        <v>8</v>
      </c>
      <c r="B355">
        <v>8848896</v>
      </c>
      <c r="C355" s="2" t="s">
        <v>815</v>
      </c>
      <c r="D355" s="2" t="str">
        <f>LEFT(TRIM(MID(SUBSTITUTE(tblShipments5[[#This Row],[Details]],CHAR(10)," "), FIND(CHAR(10),tblShipments5[[#This Row],[Details]])+1, 50)), 10)</f>
        <v>0504064754</v>
      </c>
      <c r="E355" t="s">
        <v>816</v>
      </c>
      <c r="F35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5" t="str">
        <f>IF(tblShipments5[[#This Row],[EGM no]]="", "Missing EGM", "EGM Submitted")</f>
        <v>EGM Submitted</v>
      </c>
      <c r="H355" t="str">
        <f>IF(OR(ISNUMBER(SEARCH("Released",tblShipments5[[#This Row],[ROSL]])),
      ISNUMBER(SEARCH("Scroll",tblShipments5[[#This Row],[ROSL]])),
      ISNUMBER(SEARCH("Y",tblShipments5[[#This Row],[ROSL]]))),
   "Released",
   "Not Released")</f>
        <v>Released</v>
      </c>
      <c r="I355" t="str">
        <f>IF(OR(tblShipments5[[#This Row],[EGM no]]="", tblShipments5[[#This Row],[EGM no]]="N.A."), "Not Submitted", "Submitted")</f>
        <v>Submitted</v>
      </c>
      <c r="J355" t="str">
        <f>IF(LEFT(tblShipments5[[#This Row],[Gateway_Extracted]],2)="IN","Valid","Invalid")</f>
        <v>Valid</v>
      </c>
      <c r="K355" t="s">
        <v>817</v>
      </c>
      <c r="L355" t="s">
        <v>818</v>
      </c>
      <c r="M355" t="s">
        <v>13</v>
      </c>
      <c r="N355" t="s">
        <v>819</v>
      </c>
      <c r="O355" t="str">
        <f>IFERROR("IN" &amp; _xlfn.TEXTBEFORE(_xlfn.TEXTAFTER(UPPER(tblShipments5[[#This Row],[Gateway_clean]]),"IN")," ",1),"")</f>
        <v>INNSA1</v>
      </c>
      <c r="P355" t="str">
        <f>SUBSTITUTE(tblShipments5[[#This Row],[Gateway]], CHAR(10), " ")</f>
        <v xml:space="preserve">AWB No. Gateway Port Gateway EGM No. Gateway EGM Date Gateway Site ID Error Code N.A.  INNSA1  135331  2017-09-19 00:00:00.0  INNSA1  S </v>
      </c>
      <c r="Q355" t="s">
        <v>820</v>
      </c>
    </row>
    <row r="356" spans="1:17" x14ac:dyDescent="0.35">
      <c r="A356" t="s">
        <v>8</v>
      </c>
      <c r="B356">
        <v>9510284</v>
      </c>
      <c r="C356" s="2" t="s">
        <v>1061</v>
      </c>
      <c r="D356" s="2" t="str">
        <f>LEFT(TRIM(MID(SUBSTITUTE(tblShipments5[[#This Row],[Details]],CHAR(10)," "), FIND(CHAR(10),tblShipments5[[#This Row],[Details]])+1, 50)), 10)</f>
        <v>0504064754</v>
      </c>
      <c r="E356" t="s">
        <v>1067</v>
      </c>
      <c r="F35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6" t="str">
        <f>IF(tblShipments5[[#This Row],[EGM no]]="", "Missing EGM", "EGM Submitted")</f>
        <v>EGM Submitted</v>
      </c>
      <c r="H356" t="str">
        <f>IF(OR(ISNUMBER(SEARCH("Released",tblShipments5[[#This Row],[ROSL]])),
      ISNUMBER(SEARCH("Scroll",tblShipments5[[#This Row],[ROSL]])),
      ISNUMBER(SEARCH("Y",tblShipments5[[#This Row],[ROSL]]))),
   "Released",
   "Not Released")</f>
        <v>Released</v>
      </c>
      <c r="I356" t="str">
        <f>IF(OR(tblShipments5[[#This Row],[EGM no]]="", tblShipments5[[#This Row],[EGM no]]="N.A."), "Not Submitted", "Submitted")</f>
        <v>Submitted</v>
      </c>
      <c r="J356" t="str">
        <f>IF(LEFT(tblShipments5[[#This Row],[Gateway_Extracted]],2)="IN","Valid","Invalid")</f>
        <v>Valid</v>
      </c>
      <c r="K356" t="s">
        <v>1068</v>
      </c>
      <c r="L356" t="s">
        <v>1069</v>
      </c>
      <c r="M356" t="s">
        <v>13</v>
      </c>
      <c r="N356" t="s">
        <v>1070</v>
      </c>
      <c r="O356" t="str">
        <f>IFERROR("IN" &amp; _xlfn.TEXTBEFORE(_xlfn.TEXTAFTER(UPPER(tblShipments5[[#This Row],[Gateway_clean]]),"IN")," ",1),"")</f>
        <v>INNSA1</v>
      </c>
      <c r="P356" t="str">
        <f>SUBSTITUTE(tblShipments5[[#This Row],[Gateway]], CHAR(10), " ")</f>
        <v xml:space="preserve">AWB No. Gateway Port Gateway EGM No. Gateway EGM Date Gateway Site ID Error Code N.A.  INNSA1  138449  2017-11-09 00:00:00.0  INNSA1  S </v>
      </c>
      <c r="Q356" t="s">
        <v>1071</v>
      </c>
    </row>
    <row r="357" spans="1:17" x14ac:dyDescent="0.35">
      <c r="A357" t="s">
        <v>8</v>
      </c>
      <c r="B357">
        <v>9522381</v>
      </c>
      <c r="C357" s="2" t="s">
        <v>1072</v>
      </c>
      <c r="D357" s="2" t="str">
        <f>LEFT(TRIM(MID(SUBSTITUTE(tblShipments5[[#This Row],[Details]],CHAR(10)," "), FIND(CHAR(10),tblShipments5[[#This Row],[Details]])+1, 50)), 10)</f>
        <v>0507051360</v>
      </c>
      <c r="E357" t="s">
        <v>1073</v>
      </c>
      <c r="F35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7" t="str">
        <f>IF(tblShipments5[[#This Row],[EGM no]]="", "Missing EGM", "EGM Submitted")</f>
        <v>EGM Submitted</v>
      </c>
      <c r="H357" t="str">
        <f>IF(OR(ISNUMBER(SEARCH("Released",tblShipments5[[#This Row],[ROSL]])),
      ISNUMBER(SEARCH("Scroll",tblShipments5[[#This Row],[ROSL]])),
      ISNUMBER(SEARCH("Y",tblShipments5[[#This Row],[ROSL]]))),
   "Released",
   "Not Released")</f>
        <v>Released</v>
      </c>
      <c r="I357" t="str">
        <f>IF(OR(tblShipments5[[#This Row],[EGM no]]="", tblShipments5[[#This Row],[EGM no]]="N.A."), "Not Submitted", "Submitted")</f>
        <v>Submitted</v>
      </c>
      <c r="J357" t="str">
        <f>IF(LEFT(tblShipments5[[#This Row],[Gateway_Extracted]],2)="IN","Valid","Invalid")</f>
        <v>Valid</v>
      </c>
      <c r="K357" t="s">
        <v>1074</v>
      </c>
      <c r="L357" t="s">
        <v>1075</v>
      </c>
      <c r="M357" t="s">
        <v>31</v>
      </c>
      <c r="N357" t="s">
        <v>1076</v>
      </c>
      <c r="O357" t="str">
        <f>IFERROR("IN" &amp; _xlfn.TEXTBEFORE(_xlfn.TEXTAFTER(UPPER(tblShipments5[[#This Row],[Gateway_clean]]),"IN")," ",1),"")</f>
        <v>INPAV1</v>
      </c>
      <c r="P357" t="str">
        <f>SUBSTITUTE(tblShipments5[[#This Row],[Gateway]], CHAR(10), " ")</f>
        <v xml:space="preserve">AWB No. Gateway Port Gateway EGM No. Gateway EGM Date Gateway Site ID Error Code N.A.  INPAV1  138356  2017-11-07 00:00:00.0  INPAV1  S </v>
      </c>
      <c r="Q357" t="s">
        <v>1077</v>
      </c>
    </row>
    <row r="358" spans="1:17" x14ac:dyDescent="0.35">
      <c r="A358" t="s">
        <v>8</v>
      </c>
      <c r="B358">
        <v>9009228</v>
      </c>
      <c r="C358" s="2" t="s">
        <v>900</v>
      </c>
      <c r="D358" s="2" t="str">
        <f>LEFT(TRIM(MID(SUBSTITUTE(tblShipments5[[#This Row],[Details]],CHAR(10)," "), FIND(CHAR(10),tblShipments5[[#This Row],[Details]])+1, 50)), 10)</f>
        <v>2915001367</v>
      </c>
      <c r="E358" t="s">
        <v>913</v>
      </c>
      <c r="F35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8" t="str">
        <f>IF(tblShipments5[[#This Row],[EGM no]]="", "Missing EGM", "EGM Submitted")</f>
        <v>EGM Submitted</v>
      </c>
      <c r="H358" t="str">
        <f>IF(OR(ISNUMBER(SEARCH("Released",tblShipments5[[#This Row],[ROSL]])),
      ISNUMBER(SEARCH("Scroll",tblShipments5[[#This Row],[ROSL]])),
      ISNUMBER(SEARCH("Y",tblShipments5[[#This Row],[ROSL]]))),
   "Released",
   "Not Released")</f>
        <v>Released</v>
      </c>
      <c r="I358" t="str">
        <f>IF(OR(tblShipments5[[#This Row],[EGM no]]="", tblShipments5[[#This Row],[EGM no]]="N.A."), "Not Submitted", "Submitted")</f>
        <v>Submitted</v>
      </c>
      <c r="J358" t="str">
        <f>IF(LEFT(tblShipments5[[#This Row],[Gateway_Extracted]],2)="IN","Valid","Invalid")</f>
        <v>Valid</v>
      </c>
      <c r="K358" t="s">
        <v>749</v>
      </c>
      <c r="L358" t="s">
        <v>914</v>
      </c>
      <c r="M358" t="s">
        <v>31</v>
      </c>
      <c r="N358" t="s">
        <v>915</v>
      </c>
      <c r="O358" t="str">
        <f>IFERROR("IN" &amp; _xlfn.TEXTBEFORE(_xlfn.TEXTAFTER(UPPER(tblShipments5[[#This Row],[Gateway_clean]]),"IN")," ",1),"")</f>
        <v>INNSA1</v>
      </c>
      <c r="P358" t="str">
        <f>SUBSTITUTE(tblShipments5[[#This Row],[Gateway]], CHAR(10), " ")</f>
        <v xml:space="preserve">AWB No. Gateway Port Gateway EGM No. Gateway EGM Date Gateway Site ID Error Code N.A.  INNSA1  135119  2017-09-14 00:00:00.0  INNSA1  S </v>
      </c>
      <c r="Q358" t="s">
        <v>916</v>
      </c>
    </row>
    <row r="359" spans="1:17" x14ac:dyDescent="0.35">
      <c r="A359" t="s">
        <v>8</v>
      </c>
      <c r="B359">
        <v>8452436</v>
      </c>
      <c r="C359" s="2" t="s">
        <v>590</v>
      </c>
      <c r="D359" s="2" t="str">
        <f>LEFT(TRIM(MID(SUBSTITUTE(tblShipments5[[#This Row],[Details]],CHAR(10)," "), FIND(CHAR(10),tblShipments5[[#This Row],[Details]])+1, 50)), 10)</f>
        <v>0616907401</v>
      </c>
      <c r="E359" t="s">
        <v>591</v>
      </c>
      <c r="F35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59" t="str">
        <f>IF(tblShipments5[[#This Row],[EGM no]]="", "Missing EGM", "EGM Submitted")</f>
        <v>EGM Submitted</v>
      </c>
      <c r="H359" t="str">
        <f>IF(OR(ISNUMBER(SEARCH("Released",tblShipments5[[#This Row],[ROSL]])),
      ISNUMBER(SEARCH("Scroll",tblShipments5[[#This Row],[ROSL]])),
      ISNUMBER(SEARCH("Y",tblShipments5[[#This Row],[ROSL]]))),
   "Released",
   "Not Released")</f>
        <v>Released</v>
      </c>
      <c r="I359" t="str">
        <f>IF(OR(tblShipments5[[#This Row],[EGM no]]="", tblShipments5[[#This Row],[EGM no]]="N.A."), "Not Submitted", "Submitted")</f>
        <v>Submitted</v>
      </c>
      <c r="J359" t="str">
        <f>IF(LEFT(tblShipments5[[#This Row],[Gateway_Extracted]],2)="IN","Valid","Invalid")</f>
        <v>Valid</v>
      </c>
      <c r="K359" t="s">
        <v>592</v>
      </c>
      <c r="L359" t="s">
        <v>593</v>
      </c>
      <c r="M359" t="s">
        <v>13</v>
      </c>
      <c r="N359" t="s">
        <v>594</v>
      </c>
      <c r="O359" t="str">
        <f>IFERROR("IN" &amp; _xlfn.TEXTBEFORE(_xlfn.TEXTAFTER(UPPER(tblShipments5[[#This Row],[Gateway_clean]]),"IN")," ",1),"")</f>
        <v>INNSA1</v>
      </c>
      <c r="P359" t="str">
        <f>SUBSTITUTE(tblShipments5[[#This Row],[Gateway]], CHAR(10), " ")</f>
        <v xml:space="preserve">AWB No. Gateway Port Gateway EGM No. Gateway EGM Date Gateway Site ID Error Code N.A.  INNSA1  135068  2017-09-14 00:00:00.0  INNSA1  S </v>
      </c>
      <c r="Q359" t="s">
        <v>595</v>
      </c>
    </row>
    <row r="360" spans="1:17" x14ac:dyDescent="0.35">
      <c r="A360" t="s">
        <v>8</v>
      </c>
      <c r="B360">
        <v>9675183</v>
      </c>
      <c r="C360" s="2" t="s">
        <v>1139</v>
      </c>
      <c r="D360" s="2" t="str">
        <f>LEFT(TRIM(MID(SUBSTITUTE(tblShipments5[[#This Row],[Details]],CHAR(10)," "), FIND(CHAR(10),tblShipments5[[#This Row],[Details]])+1, 50)), 10)</f>
        <v>0288014952</v>
      </c>
      <c r="E360" t="s">
        <v>1140</v>
      </c>
      <c r="F36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0" t="str">
        <f>IF(tblShipments5[[#This Row],[EGM no]]="", "Missing EGM", "EGM Submitted")</f>
        <v>EGM Submitted</v>
      </c>
      <c r="H360" t="str">
        <f>IF(OR(ISNUMBER(SEARCH("Released",tblShipments5[[#This Row],[ROSL]])),
      ISNUMBER(SEARCH("Scroll",tblShipments5[[#This Row],[ROSL]])),
      ISNUMBER(SEARCH("Y",tblShipments5[[#This Row],[ROSL]]))),
   "Released",
   "Not Released")</f>
        <v>Released</v>
      </c>
      <c r="I360" t="str">
        <f>IF(OR(tblShipments5[[#This Row],[EGM no]]="", tblShipments5[[#This Row],[EGM no]]="N.A."), "Not Submitted", "Submitted")</f>
        <v>Submitted</v>
      </c>
      <c r="J360" t="str">
        <f>IF(LEFT(tblShipments5[[#This Row],[Gateway_Extracted]],2)="IN","Valid","Invalid")</f>
        <v>Valid</v>
      </c>
      <c r="K360" t="s">
        <v>1141</v>
      </c>
      <c r="L360" t="s">
        <v>1142</v>
      </c>
      <c r="M360" t="s">
        <v>13</v>
      </c>
      <c r="N360" t="s">
        <v>1143</v>
      </c>
      <c r="O360" t="str">
        <f>IFERROR("IN" &amp; _xlfn.TEXTBEFORE(_xlfn.TEXTAFTER(UPPER(tblShipments5[[#This Row],[Gateway_clean]]),"IN")," ",1),"")</f>
        <v>INNSA1</v>
      </c>
      <c r="P360" t="str">
        <f>SUBSTITUTE(tblShipments5[[#This Row],[Gateway]], CHAR(10), " ")</f>
        <v xml:space="preserve">AWB No. Gateway Port Gateway EGM No. Gateway EGM Date Gateway Site ID Error Code N.A.  INNSA1  N.A.  N.A.  N.A.  N.A. </v>
      </c>
      <c r="Q360" t="s">
        <v>26</v>
      </c>
    </row>
    <row r="361" spans="1:17" x14ac:dyDescent="0.35">
      <c r="A361" t="s">
        <v>8</v>
      </c>
      <c r="B361">
        <v>9312599</v>
      </c>
      <c r="C361" s="2" t="s">
        <v>1018</v>
      </c>
      <c r="D361" s="2" t="str">
        <f>LEFT(TRIM(MID(SUBSTITUTE(tblShipments5[[#This Row],[Details]],CHAR(10)," "), FIND(CHAR(10),tblShipments5[[#This Row],[Details]])+1, 50)), 10)</f>
        <v>2189000734</v>
      </c>
      <c r="E361" t="s">
        <v>1019</v>
      </c>
      <c r="F36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1" t="str">
        <f>IF(tblShipments5[[#This Row],[EGM no]]="", "Missing EGM", "EGM Submitted")</f>
        <v>EGM Submitted</v>
      </c>
      <c r="H361" t="str">
        <f>IF(OR(ISNUMBER(SEARCH("Released",tblShipments5[[#This Row],[ROSL]])),
      ISNUMBER(SEARCH("Scroll",tblShipments5[[#This Row],[ROSL]])),
      ISNUMBER(SEARCH("Y",tblShipments5[[#This Row],[ROSL]]))),
   "Released",
   "Not Released")</f>
        <v>Released</v>
      </c>
      <c r="I361" t="str">
        <f>IF(OR(tblShipments5[[#This Row],[EGM no]]="", tblShipments5[[#This Row],[EGM no]]="N.A."), "Not Submitted", "Submitted")</f>
        <v>Submitted</v>
      </c>
      <c r="J361" t="str">
        <f>IF(LEFT(tblShipments5[[#This Row],[Gateway_Extracted]],2)="IN","Valid","Invalid")</f>
        <v>Valid</v>
      </c>
      <c r="K361" t="s">
        <v>1020</v>
      </c>
      <c r="L361" t="s">
        <v>1021</v>
      </c>
      <c r="M361" t="s">
        <v>31</v>
      </c>
      <c r="N361" t="s">
        <v>1022</v>
      </c>
      <c r="O361" t="str">
        <f>IFERROR("IN" &amp; _xlfn.TEXTBEFORE(_xlfn.TEXTAFTER(UPPER(tblShipments5[[#This Row],[Gateway_clean]]),"IN")," ",1),"")</f>
        <v>INNSA1</v>
      </c>
      <c r="P361" t="str">
        <f>SUBSTITUTE(tblShipments5[[#This Row],[Gateway]], CHAR(10), " ")</f>
        <v xml:space="preserve">AWB No. Gateway Port Gateway EGM No. Gateway EGM Date Gateway Site ID Error Code N.A.  INNSA1  N.A.  N.A.  N.A.  N.A. </v>
      </c>
      <c r="Q361" t="s">
        <v>26</v>
      </c>
    </row>
    <row r="362" spans="1:17" x14ac:dyDescent="0.35">
      <c r="A362" t="s">
        <v>8</v>
      </c>
      <c r="B362">
        <v>8323127</v>
      </c>
      <c r="C362" s="2" t="s">
        <v>498</v>
      </c>
      <c r="D362" s="2" t="str">
        <f>LEFT(TRIM(MID(SUBSTITUTE(tblShipments5[[#This Row],[Details]],CHAR(10)," "), FIND(CHAR(10),tblShipments5[[#This Row],[Details]])+1, 50)), 10)</f>
        <v>2416910671</v>
      </c>
      <c r="E362" t="s">
        <v>503</v>
      </c>
      <c r="F36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2" t="str">
        <f>IF(tblShipments5[[#This Row],[EGM no]]="", "Missing EGM", "EGM Submitted")</f>
        <v>EGM Submitted</v>
      </c>
      <c r="H362" t="str">
        <f>IF(OR(ISNUMBER(SEARCH("Released",tblShipments5[[#This Row],[ROSL]])),
      ISNUMBER(SEARCH("Scroll",tblShipments5[[#This Row],[ROSL]])),
      ISNUMBER(SEARCH("Y",tblShipments5[[#This Row],[ROSL]]))),
   "Released",
   "Not Released")</f>
        <v>Released</v>
      </c>
      <c r="I362" t="str">
        <f>IF(OR(tblShipments5[[#This Row],[EGM no]]="", tblShipments5[[#This Row],[EGM no]]="N.A."), "Not Submitted", "Submitted")</f>
        <v>Submitted</v>
      </c>
      <c r="J362" t="str">
        <f>IF(LEFT(tblShipments5[[#This Row],[Gateway_Extracted]],2)="IN","Valid","Invalid")</f>
        <v>Valid</v>
      </c>
      <c r="K362" t="s">
        <v>504</v>
      </c>
      <c r="L362" t="s">
        <v>505</v>
      </c>
      <c r="M362" t="s">
        <v>31</v>
      </c>
      <c r="N362" t="s">
        <v>506</v>
      </c>
      <c r="O362" t="str">
        <f>IFERROR("IN" &amp; _xlfn.TEXTBEFORE(_xlfn.TEXTAFTER(UPPER(tblShipments5[[#This Row],[Gateway_clean]]),"IN")," ",1),"")</f>
        <v>INNSA1</v>
      </c>
      <c r="P362" t="str">
        <f>SUBSTITUTE(tblShipments5[[#This Row],[Gateway]], CHAR(10), " ")</f>
        <v xml:space="preserve">AWB No. Gateway Port Gateway EGM No. Gateway EGM Date Gateway Site ID Error Code N.A.  INNSA1  133327  2017-08-16 00:00:00.0  INNSA1  S </v>
      </c>
      <c r="Q362" t="s">
        <v>507</v>
      </c>
    </row>
    <row r="363" spans="1:17" x14ac:dyDescent="0.35">
      <c r="A363" t="s">
        <v>8</v>
      </c>
      <c r="B363">
        <v>9929860</v>
      </c>
      <c r="C363" s="2" t="s">
        <v>1208</v>
      </c>
      <c r="D363" s="2" t="str">
        <f>LEFT(TRIM(MID(SUBSTITUTE(tblShipments5[[#This Row],[Details]],CHAR(10)," "), FIND(CHAR(10),tblShipments5[[#This Row],[Details]])+1, 50)), 10)</f>
        <v>5212012333</v>
      </c>
      <c r="E363" t="s">
        <v>1209</v>
      </c>
      <c r="F36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3" t="str">
        <f>IF(tblShipments5[[#This Row],[EGM no]]="", "Missing EGM", "EGM Submitted")</f>
        <v>EGM Submitted</v>
      </c>
      <c r="H363" t="str">
        <f>IF(OR(ISNUMBER(SEARCH("Released",tblShipments5[[#This Row],[ROSL]])),
      ISNUMBER(SEARCH("Scroll",tblShipments5[[#This Row],[ROSL]])),
      ISNUMBER(SEARCH("Y",tblShipments5[[#This Row],[ROSL]]))),
   "Released",
   "Not Released")</f>
        <v>Released</v>
      </c>
      <c r="I363" t="str">
        <f>IF(OR(tblShipments5[[#This Row],[EGM no]]="", tblShipments5[[#This Row],[EGM no]]="N.A."), "Not Submitted", "Submitted")</f>
        <v>Submitted</v>
      </c>
      <c r="J363" t="str">
        <f>IF(LEFT(tblShipments5[[#This Row],[Gateway_Extracted]],2)="IN","Valid","Invalid")</f>
        <v>Valid</v>
      </c>
      <c r="K363" t="s">
        <v>1210</v>
      </c>
      <c r="L363" t="s">
        <v>1211</v>
      </c>
      <c r="M363" t="s">
        <v>1212</v>
      </c>
      <c r="N363" t="s">
        <v>1213</v>
      </c>
      <c r="O363" t="str">
        <f>IFERROR("IN" &amp; _xlfn.TEXTBEFORE(_xlfn.TEXTAFTER(UPPER(tblShipments5[[#This Row],[Gateway_clean]]),"IN")," ",1),"")</f>
        <v>INMUN1</v>
      </c>
      <c r="P363" t="str">
        <f>SUBSTITUTE(tblShipments5[[#This Row],[Gateway]], CHAR(10), " ")</f>
        <v xml:space="preserve">AWB No. Gateway Port Gateway EGM No. Gateway EGM Date Gateway Site ID Error Code N.A.  INMUN1  139240  2017-11-21 00:00:00.0  INMUN1  S </v>
      </c>
      <c r="Q363" t="s">
        <v>1214</v>
      </c>
    </row>
    <row r="364" spans="1:17" x14ac:dyDescent="0.35">
      <c r="A364" t="s">
        <v>8</v>
      </c>
      <c r="B364">
        <v>8796298</v>
      </c>
      <c r="C364" s="2" t="s">
        <v>798</v>
      </c>
      <c r="D364" s="2" t="str">
        <f>LEFT(TRIM(MID(SUBSTITUTE(tblShipments5[[#This Row],[Details]],CHAR(10)," "), FIND(CHAR(10),tblShipments5[[#This Row],[Details]])+1, 50)), 10)</f>
        <v>0397084901</v>
      </c>
      <c r="E364" t="s">
        <v>804</v>
      </c>
      <c r="F36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4" t="str">
        <f>IF(tblShipments5[[#This Row],[EGM no]]="", "Missing EGM", "EGM Submitted")</f>
        <v>EGM Submitted</v>
      </c>
      <c r="H364" t="str">
        <f>IF(OR(ISNUMBER(SEARCH("Released",tblShipments5[[#This Row],[ROSL]])),
      ISNUMBER(SEARCH("Scroll",tblShipments5[[#This Row],[ROSL]])),
      ISNUMBER(SEARCH("Y",tblShipments5[[#This Row],[ROSL]]))),
   "Released",
   "Not Released")</f>
        <v>Released</v>
      </c>
      <c r="I364" t="str">
        <f>IF(OR(tblShipments5[[#This Row],[EGM no]]="", tblShipments5[[#This Row],[EGM no]]="N.A."), "Not Submitted", "Submitted")</f>
        <v>Submitted</v>
      </c>
      <c r="J364" t="str">
        <f>IF(LEFT(tblShipments5[[#This Row],[Gateway_Extracted]],2)="IN","Valid","Invalid")</f>
        <v>Valid</v>
      </c>
      <c r="K364" t="s">
        <v>805</v>
      </c>
      <c r="L364" t="s">
        <v>806</v>
      </c>
      <c r="M364" t="s">
        <v>31</v>
      </c>
      <c r="N364" t="s">
        <v>807</v>
      </c>
      <c r="O364" t="str">
        <f>IFERROR("IN" &amp; _xlfn.TEXTBEFORE(_xlfn.TEXTAFTER(UPPER(tblShipments5[[#This Row],[Gateway_clean]]),"IN")," ",1),"")</f>
        <v>INNSA1</v>
      </c>
      <c r="P364" t="str">
        <f>SUBSTITUTE(tblShipments5[[#This Row],[Gateway]], CHAR(10), " ")</f>
        <v xml:space="preserve">AWB No. Gateway Port Gateway EGM No. Gateway EGM Date Gateway Site ID Error Code N.A.  INNSA1  135726  2017-09-25 00:00:00.0  INNSA1  S </v>
      </c>
      <c r="Q364" t="s">
        <v>808</v>
      </c>
    </row>
    <row r="365" spans="1:17" x14ac:dyDescent="0.35">
      <c r="A365" t="s">
        <v>8</v>
      </c>
      <c r="B365">
        <v>8752612</v>
      </c>
      <c r="C365" s="2" t="s">
        <v>762</v>
      </c>
      <c r="D365" s="2" t="str">
        <f>LEFT(TRIM(MID(SUBSTITUTE(tblShipments5[[#This Row],[Details]],CHAR(10)," "), FIND(CHAR(10),tblShipments5[[#This Row],[Details]])+1, 50)), 10)</f>
        <v>0307055078</v>
      </c>
      <c r="E365" t="s">
        <v>774</v>
      </c>
      <c r="F36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5" t="str">
        <f>IF(tblShipments5[[#This Row],[EGM no]]="", "Missing EGM", "EGM Submitted")</f>
        <v>EGM Submitted</v>
      </c>
      <c r="H365" t="str">
        <f>IF(OR(ISNUMBER(SEARCH("Released",tblShipments5[[#This Row],[ROSL]])),
      ISNUMBER(SEARCH("Scroll",tblShipments5[[#This Row],[ROSL]])),
      ISNUMBER(SEARCH("Y",tblShipments5[[#This Row],[ROSL]]))),
   "Released",
   "Not Released")</f>
        <v>Released</v>
      </c>
      <c r="I365" t="str">
        <f>IF(OR(tblShipments5[[#This Row],[EGM no]]="", tblShipments5[[#This Row],[EGM no]]="N.A."), "Not Submitted", "Submitted")</f>
        <v>Submitted</v>
      </c>
      <c r="J365" t="str">
        <f>IF(LEFT(tblShipments5[[#This Row],[Gateway_Extracted]],2)="IN","Valid","Invalid")</f>
        <v>Valid</v>
      </c>
      <c r="K365" t="s">
        <v>775</v>
      </c>
      <c r="L365" t="s">
        <v>776</v>
      </c>
      <c r="M365" t="s">
        <v>13</v>
      </c>
      <c r="N365" t="s">
        <v>777</v>
      </c>
      <c r="O365" t="str">
        <f>IFERROR("IN" &amp; _xlfn.TEXTBEFORE(_xlfn.TEXTAFTER(UPPER(tblShipments5[[#This Row],[Gateway_clean]]),"IN")," ",1),"")</f>
        <v>INNSA1</v>
      </c>
      <c r="P365" t="str">
        <f>SUBSTITUTE(tblShipments5[[#This Row],[Gateway]], CHAR(10), " ")</f>
        <v xml:space="preserve">AWB No. Gateway Port Gateway EGM No. Gateway EGM Date Gateway Site ID Error Code N.A.  INNSA1  136236  2017-10-04 00:00:00.0  INNSA1  C </v>
      </c>
      <c r="Q365" t="s">
        <v>778</v>
      </c>
    </row>
    <row r="366" spans="1:17" x14ac:dyDescent="0.35">
      <c r="A366" t="s">
        <v>8</v>
      </c>
      <c r="B366">
        <v>8424214</v>
      </c>
      <c r="C366" s="2" t="s">
        <v>565</v>
      </c>
      <c r="D366" s="2" t="str">
        <f>LEFT(TRIM(MID(SUBSTITUTE(tblShipments5[[#This Row],[Details]],CHAR(10)," "), FIND(CHAR(10),tblShipments5[[#This Row],[Details]])+1, 50)), 10)</f>
        <v>0311014879</v>
      </c>
      <c r="E366" t="s">
        <v>566</v>
      </c>
      <c r="F36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6" t="str">
        <f>IF(tblShipments5[[#This Row],[EGM no]]="", "Missing EGM", "EGM Submitted")</f>
        <v>EGM Submitted</v>
      </c>
      <c r="H366" t="str">
        <f>IF(OR(ISNUMBER(SEARCH("Released",tblShipments5[[#This Row],[ROSL]])),
      ISNUMBER(SEARCH("Scroll",tblShipments5[[#This Row],[ROSL]])),
      ISNUMBER(SEARCH("Y",tblShipments5[[#This Row],[ROSL]]))),
   "Released",
   "Not Released")</f>
        <v>Released</v>
      </c>
      <c r="I366" t="str">
        <f>IF(OR(tblShipments5[[#This Row],[EGM no]]="", tblShipments5[[#This Row],[EGM no]]="N.A."), "Not Submitted", "Submitted")</f>
        <v>Submitted</v>
      </c>
      <c r="J366" t="str">
        <f>IF(LEFT(tblShipments5[[#This Row],[Gateway_Extracted]],2)="IN","Valid","Invalid")</f>
        <v>Valid</v>
      </c>
      <c r="K366" t="s">
        <v>518</v>
      </c>
      <c r="L366" t="s">
        <v>567</v>
      </c>
      <c r="M366" t="s">
        <v>31</v>
      </c>
      <c r="N366" t="s">
        <v>568</v>
      </c>
      <c r="O366" t="str">
        <f>IFERROR("IN" &amp; _xlfn.TEXTBEFORE(_xlfn.TEXTAFTER(UPPER(tblShipments5[[#This Row],[Gateway_clean]]),"IN")," ",1),"")</f>
        <v>INMUN1</v>
      </c>
      <c r="P366" t="str">
        <f>SUBSTITUTE(tblShipments5[[#This Row],[Gateway]], CHAR(10), " ")</f>
        <v xml:space="preserve">AWB No. Gateway Port Gateway EGM No. Gateway EGM Date Gateway Site ID Error Code N.A.  INMUN1  134793  2017-09-08 00:00:00.0  INMUN1  C </v>
      </c>
      <c r="Q366" t="s">
        <v>569</v>
      </c>
    </row>
    <row r="367" spans="1:17" x14ac:dyDescent="0.35">
      <c r="A367" t="s">
        <v>8</v>
      </c>
      <c r="B367">
        <v>9949379</v>
      </c>
      <c r="C367" s="2" t="s">
        <v>1208</v>
      </c>
      <c r="D367" s="2" t="str">
        <f>LEFT(TRIM(MID(SUBSTITUTE(tblShipments5[[#This Row],[Details]],CHAR(10)," "), FIND(CHAR(10),tblShipments5[[#This Row],[Details]])+1, 50)), 10)</f>
        <v>0314004173</v>
      </c>
      <c r="E367" t="s">
        <v>1215</v>
      </c>
      <c r="F36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7" t="str">
        <f>IF(tblShipments5[[#This Row],[EGM no]]="", "Missing EGM", "EGM Submitted")</f>
        <v>EGM Submitted</v>
      </c>
      <c r="H367" t="str">
        <f>IF(OR(ISNUMBER(SEARCH("Released",tblShipments5[[#This Row],[ROSL]])),
      ISNUMBER(SEARCH("Scroll",tblShipments5[[#This Row],[ROSL]])),
      ISNUMBER(SEARCH("Y",tblShipments5[[#This Row],[ROSL]]))),
   "Released",
   "Not Released")</f>
        <v>Released</v>
      </c>
      <c r="I367" t="str">
        <f>IF(OR(tblShipments5[[#This Row],[EGM no]]="", tblShipments5[[#This Row],[EGM no]]="N.A."), "Not Submitted", "Submitted")</f>
        <v>Submitted</v>
      </c>
      <c r="J367" t="str">
        <f>IF(LEFT(tblShipments5[[#This Row],[Gateway_Extracted]],2)="IN","Valid","Invalid")</f>
        <v>Valid</v>
      </c>
      <c r="K367" t="s">
        <v>1216</v>
      </c>
      <c r="L367" t="s">
        <v>1217</v>
      </c>
      <c r="M367" t="s">
        <v>13</v>
      </c>
      <c r="N367" t="s">
        <v>1218</v>
      </c>
      <c r="O367" t="str">
        <f>IFERROR("IN" &amp; _xlfn.TEXTBEFORE(_xlfn.TEXTAFTER(UPPER(tblShipments5[[#This Row],[Gateway_clean]]),"IN")," ",1),"")</f>
        <v>INNSA1</v>
      </c>
      <c r="P367" t="str">
        <f>SUBSTITUTE(tblShipments5[[#This Row],[Gateway]], CHAR(10), " ")</f>
        <v xml:space="preserve">AWB No. Gateway Port Gateway EGM No. Gateway EGM Date Gateway Site ID Error Code N.A.  INNSA1  138732  2017-11-14 00:00:00.0  INNSA1  S </v>
      </c>
      <c r="Q367" t="s">
        <v>1126</v>
      </c>
    </row>
    <row r="368" spans="1:17" x14ac:dyDescent="0.35">
      <c r="A368" t="s">
        <v>8</v>
      </c>
      <c r="B368">
        <v>9136843</v>
      </c>
      <c r="C368" s="2" t="s">
        <v>968</v>
      </c>
      <c r="D368" s="2" t="str">
        <f>LEFT(TRIM(MID(SUBSTITUTE(tblShipments5[[#This Row],[Details]],CHAR(10)," "), FIND(CHAR(10),tblShipments5[[#This Row],[Details]])+1, 50)), 10)</f>
        <v>0314004173</v>
      </c>
      <c r="E368" t="s">
        <v>969</v>
      </c>
      <c r="F36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8" t="str">
        <f>IF(tblShipments5[[#This Row],[EGM no]]="", "Missing EGM", "EGM Submitted")</f>
        <v>EGM Submitted</v>
      </c>
      <c r="H368" t="str">
        <f>IF(OR(ISNUMBER(SEARCH("Released",tblShipments5[[#This Row],[ROSL]])),
      ISNUMBER(SEARCH("Scroll",tblShipments5[[#This Row],[ROSL]])),
      ISNUMBER(SEARCH("Y",tblShipments5[[#This Row],[ROSL]]))),
   "Released",
   "Not Released")</f>
        <v>Released</v>
      </c>
      <c r="I368" t="str">
        <f>IF(OR(tblShipments5[[#This Row],[EGM no]]="", tblShipments5[[#This Row],[EGM no]]="N.A."), "Not Submitted", "Submitted")</f>
        <v>Submitted</v>
      </c>
      <c r="J368" t="str">
        <f>IF(LEFT(tblShipments5[[#This Row],[Gateway_Extracted]],2)="IN","Valid","Invalid")</f>
        <v>Valid</v>
      </c>
      <c r="K368" t="s">
        <v>811</v>
      </c>
      <c r="L368" t="s">
        <v>970</v>
      </c>
      <c r="M368" t="s">
        <v>13</v>
      </c>
      <c r="N368" t="s">
        <v>971</v>
      </c>
      <c r="O368" t="str">
        <f>IFERROR("IN" &amp; _xlfn.TEXTBEFORE(_xlfn.TEXTAFTER(UPPER(tblShipments5[[#This Row],[Gateway_clean]]),"IN")," ",1),"")</f>
        <v>INNSA1</v>
      </c>
      <c r="P368" t="str">
        <f>SUBSTITUTE(tblShipments5[[#This Row],[Gateway]], CHAR(10), " ")</f>
        <v xml:space="preserve">AWB No. Gateway Port Gateway EGM No. Gateway EGM Date Gateway Site ID Error Code N.A.  INNSA1  137147  2017-10-18 00:00:00.0  INNSA1  S </v>
      </c>
      <c r="Q368" t="s">
        <v>972</v>
      </c>
    </row>
    <row r="369" spans="1:17" x14ac:dyDescent="0.35">
      <c r="A369" t="s">
        <v>8</v>
      </c>
      <c r="B369">
        <v>1616744</v>
      </c>
      <c r="C369" s="2" t="s">
        <v>1547</v>
      </c>
      <c r="D369" s="2" t="str">
        <f>LEFT(TRIM(MID(SUBSTITUTE(tblShipments5[[#This Row],[Details]],CHAR(10)," "), FIND(CHAR(10),tblShipments5[[#This Row],[Details]])+1, 50)), 10)</f>
        <v>0389025364</v>
      </c>
      <c r="E369" t="s">
        <v>1557</v>
      </c>
      <c r="F36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69" t="str">
        <f>IF(tblShipments5[[#This Row],[EGM no]]="", "Missing EGM", "EGM Submitted")</f>
        <v>EGM Submitted</v>
      </c>
      <c r="H369" t="str">
        <f>IF(OR(ISNUMBER(SEARCH("Released",tblShipments5[[#This Row],[ROSL]])),
      ISNUMBER(SEARCH("Scroll",tblShipments5[[#This Row],[ROSL]])),
      ISNUMBER(SEARCH("Y",tblShipments5[[#This Row],[ROSL]]))),
   "Released",
   "Not Released")</f>
        <v>Released</v>
      </c>
      <c r="I369" t="str">
        <f>IF(OR(tblShipments5[[#This Row],[EGM no]]="", tblShipments5[[#This Row],[EGM no]]="N.A."), "Not Submitted", "Submitted")</f>
        <v>Submitted</v>
      </c>
      <c r="J369" t="str">
        <f>IF(LEFT(tblShipments5[[#This Row],[Gateway_Extracted]],2)="IN","Valid","Invalid")</f>
        <v>Valid</v>
      </c>
      <c r="K369" t="s">
        <v>1558</v>
      </c>
      <c r="L369" t="s">
        <v>1559</v>
      </c>
      <c r="M369" t="s">
        <v>13</v>
      </c>
      <c r="N369" t="s">
        <v>1560</v>
      </c>
      <c r="O369" t="str">
        <f>IFERROR("IN" &amp; _xlfn.TEXTBEFORE(_xlfn.TEXTAFTER(UPPER(tblShipments5[[#This Row],[Gateway_clean]]),"IN")," ",1),"")</f>
        <v>INMUN1</v>
      </c>
      <c r="P369" t="str">
        <f>SUBSTITUTE(tblShipments5[[#This Row],[Gateway]], CHAR(10), " ")</f>
        <v xml:space="preserve">AWB No. Gateway Port Gateway EGM No. Gateway EGM Date Gateway Site ID Error Code N.A.  INMUN1  141297  2017-12-26 00:00:00.0  INMUN1  S </v>
      </c>
      <c r="Q369" t="s">
        <v>1561</v>
      </c>
    </row>
    <row r="370" spans="1:17" x14ac:dyDescent="0.35">
      <c r="A370" t="s">
        <v>8</v>
      </c>
      <c r="B370">
        <v>7970441</v>
      </c>
      <c r="C370" s="2" t="s">
        <v>255</v>
      </c>
      <c r="D370" s="2" t="str">
        <f>LEFT(TRIM(MID(SUBSTITUTE(tblShipments5[[#This Row],[Details]],CHAR(10)," "), FIND(CHAR(10),tblShipments5[[#This Row],[Details]])+1, 50)), 10)</f>
        <v>0314035087</v>
      </c>
      <c r="E370" t="s">
        <v>276</v>
      </c>
      <c r="F37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0" t="str">
        <f>IF(tblShipments5[[#This Row],[EGM no]]="", "Missing EGM", "EGM Submitted")</f>
        <v>EGM Submitted</v>
      </c>
      <c r="H370" t="str">
        <f>IF(OR(ISNUMBER(SEARCH("Released",tblShipments5[[#This Row],[ROSL]])),
      ISNUMBER(SEARCH("Scroll",tblShipments5[[#This Row],[ROSL]])),
      ISNUMBER(SEARCH("Y",tblShipments5[[#This Row],[ROSL]]))),
   "Released",
   "Not Released")</f>
        <v>Released</v>
      </c>
      <c r="I370" t="str">
        <f>IF(OR(tblShipments5[[#This Row],[EGM no]]="", tblShipments5[[#This Row],[EGM no]]="N.A."), "Not Submitted", "Submitted")</f>
        <v>Submitted</v>
      </c>
      <c r="J370" t="str">
        <f>IF(LEFT(tblShipments5[[#This Row],[Gateway_Extracted]],2)="IN","Valid","Invalid")</f>
        <v>Valid</v>
      </c>
      <c r="K370" t="s">
        <v>183</v>
      </c>
      <c r="L370" t="s">
        <v>277</v>
      </c>
      <c r="M370" t="s">
        <v>13</v>
      </c>
      <c r="N370" t="s">
        <v>278</v>
      </c>
      <c r="O370" t="str">
        <f>IFERROR("IN" &amp; _xlfn.TEXTBEFORE(_xlfn.TEXTAFTER(UPPER(tblShipments5[[#This Row],[Gateway_clean]]),"IN")," ",1),"")</f>
        <v>INMUN1</v>
      </c>
      <c r="P370" t="str">
        <f>SUBSTITUTE(tblShipments5[[#This Row],[Gateway]], CHAR(10), " ")</f>
        <v xml:space="preserve">AWB No. Gateway Port Gateway EGM No. Gateway EGM Date Gateway Site ID Error Code N.A.  INMUN1  134794  2017-09-08 00:00:00.0  INMUN1  S </v>
      </c>
      <c r="Q370" t="s">
        <v>279</v>
      </c>
    </row>
    <row r="371" spans="1:17" x14ac:dyDescent="0.35">
      <c r="A371" t="s">
        <v>8</v>
      </c>
      <c r="B371">
        <v>8170873</v>
      </c>
      <c r="C371" s="2" t="s">
        <v>380</v>
      </c>
      <c r="D371" s="2" t="str">
        <f>LEFT(TRIM(MID(SUBSTITUTE(tblShipments5[[#This Row],[Details]],CHAR(10)," "), FIND(CHAR(10),tblShipments5[[#This Row],[Details]])+1, 50)), 10)</f>
        <v>3104003254</v>
      </c>
      <c r="E371" t="s">
        <v>393</v>
      </c>
      <c r="F371"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1" t="str">
        <f>IF(tblShipments5[[#This Row],[EGM no]]="", "Missing EGM", "EGM Submitted")</f>
        <v>EGM Submitted</v>
      </c>
      <c r="H371" t="str">
        <f>IF(OR(ISNUMBER(SEARCH("Released",tblShipments5[[#This Row],[ROSL]])),
      ISNUMBER(SEARCH("Scroll",tblShipments5[[#This Row],[ROSL]])),
      ISNUMBER(SEARCH("Y",tblShipments5[[#This Row],[ROSL]]))),
   "Released",
   "Not Released")</f>
        <v>Released</v>
      </c>
      <c r="I371" t="str">
        <f>IF(OR(tblShipments5[[#This Row],[EGM no]]="", tblShipments5[[#This Row],[EGM no]]="N.A."), "Not Submitted", "Submitted")</f>
        <v>Submitted</v>
      </c>
      <c r="J371" t="str">
        <f>IF(LEFT(tblShipments5[[#This Row],[Gateway_Extracted]],2)="IN","Valid","Invalid")</f>
        <v>Valid</v>
      </c>
      <c r="K371" t="s">
        <v>394</v>
      </c>
      <c r="L371" t="s">
        <v>395</v>
      </c>
      <c r="M371" t="s">
        <v>13</v>
      </c>
      <c r="N371" t="s">
        <v>396</v>
      </c>
      <c r="O371" t="str">
        <f>IFERROR("IN" &amp; _xlfn.TEXTBEFORE(_xlfn.TEXTAFTER(UPPER(tblShipments5[[#This Row],[Gateway_clean]]),"IN")," ",1),"")</f>
        <v>INNSA1</v>
      </c>
      <c r="P371" t="str">
        <f>SUBSTITUTE(tblShipments5[[#This Row],[Gateway]], CHAR(10), " ")</f>
        <v xml:space="preserve">AWB No. Gateway Port Gateway EGM No. Gateway EGM Date Gateway Site ID Error Code N.A.  INNSA1  134462  2017-09-04 00:00:00.0  INNSA1  S </v>
      </c>
      <c r="Q371" t="s">
        <v>372</v>
      </c>
    </row>
    <row r="372" spans="1:17" x14ac:dyDescent="0.35">
      <c r="A372" t="s">
        <v>8</v>
      </c>
      <c r="B372">
        <v>8576060</v>
      </c>
      <c r="C372" s="2" t="s">
        <v>657</v>
      </c>
      <c r="D372" s="2" t="str">
        <f>LEFT(TRIM(MID(SUBSTITUTE(tblShipments5[[#This Row],[Details]],CHAR(10)," "), FIND(CHAR(10),tblShipments5[[#This Row],[Details]])+1, 50)), 10)</f>
        <v>3104003254</v>
      </c>
      <c r="E372" t="s">
        <v>658</v>
      </c>
      <c r="F372"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2" t="str">
        <f>IF(tblShipments5[[#This Row],[EGM no]]="", "Missing EGM", "EGM Submitted")</f>
        <v>EGM Submitted</v>
      </c>
      <c r="H372" t="str">
        <f>IF(OR(ISNUMBER(SEARCH("Released",tblShipments5[[#This Row],[ROSL]])),
      ISNUMBER(SEARCH("Scroll",tblShipments5[[#This Row],[ROSL]])),
      ISNUMBER(SEARCH("Y",tblShipments5[[#This Row],[ROSL]]))),
   "Released",
   "Not Released")</f>
        <v>Released</v>
      </c>
      <c r="I372" t="str">
        <f>IF(OR(tblShipments5[[#This Row],[EGM no]]="", tblShipments5[[#This Row],[EGM no]]="N.A."), "Not Submitted", "Submitted")</f>
        <v>Submitted</v>
      </c>
      <c r="J372" t="str">
        <f>IF(LEFT(tblShipments5[[#This Row],[Gateway_Extracted]],2)="IN","Valid","Invalid")</f>
        <v>Valid</v>
      </c>
      <c r="K372" t="s">
        <v>659</v>
      </c>
      <c r="L372" t="s">
        <v>660</v>
      </c>
      <c r="M372" t="s">
        <v>13</v>
      </c>
      <c r="N372" t="s">
        <v>661</v>
      </c>
      <c r="O372" t="str">
        <f>IFERROR("IN" &amp; _xlfn.TEXTBEFORE(_xlfn.TEXTAFTER(UPPER(tblShipments5[[#This Row],[Gateway_clean]]),"IN")," ",1),"")</f>
        <v>INMUN1</v>
      </c>
      <c r="P372" t="str">
        <f>SUBSTITUTE(tblShipments5[[#This Row],[Gateway]], CHAR(10), " ")</f>
        <v xml:space="preserve">AWB No. Gateway Port Gateway EGM No. Gateway EGM Date Gateway Site ID Error Code N.A.  INMUN1  135461  2017-09-20 00:00:00.0  INMUN1  S </v>
      </c>
      <c r="Q372" t="s">
        <v>662</v>
      </c>
    </row>
    <row r="373" spans="1:17" x14ac:dyDescent="0.35">
      <c r="A373" t="s">
        <v>8</v>
      </c>
      <c r="B373">
        <v>8967731</v>
      </c>
      <c r="C373" s="2" t="s">
        <v>874</v>
      </c>
      <c r="D373" s="2" t="str">
        <f>LEFT(TRIM(MID(SUBSTITUTE(tblShipments5[[#This Row],[Details]],CHAR(10)," "), FIND(CHAR(10),tblShipments5[[#This Row],[Details]])+1, 50)), 10)</f>
        <v>3104003254</v>
      </c>
      <c r="E373" t="s">
        <v>896</v>
      </c>
      <c r="F373"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3" t="str">
        <f>IF(tblShipments5[[#This Row],[EGM no]]="", "Missing EGM", "EGM Submitted")</f>
        <v>EGM Submitted</v>
      </c>
      <c r="H373" t="str">
        <f>IF(OR(ISNUMBER(SEARCH("Released",tblShipments5[[#This Row],[ROSL]])),
      ISNUMBER(SEARCH("Scroll",tblShipments5[[#This Row],[ROSL]])),
      ISNUMBER(SEARCH("Y",tblShipments5[[#This Row],[ROSL]]))),
   "Released",
   "Not Released")</f>
        <v>Released</v>
      </c>
      <c r="I373" t="str">
        <f>IF(OR(tblShipments5[[#This Row],[EGM no]]="", tblShipments5[[#This Row],[EGM no]]="N.A."), "Not Submitted", "Submitted")</f>
        <v>Submitted</v>
      </c>
      <c r="J373" t="str">
        <f>IF(LEFT(tblShipments5[[#This Row],[Gateway_Extracted]],2)="IN","Valid","Invalid")</f>
        <v>Valid</v>
      </c>
      <c r="K373" t="s">
        <v>882</v>
      </c>
      <c r="L373" t="s">
        <v>897</v>
      </c>
      <c r="M373" t="s">
        <v>13</v>
      </c>
      <c r="N373" t="s">
        <v>898</v>
      </c>
      <c r="O373" t="str">
        <f>IFERROR("IN" &amp; _xlfn.TEXTBEFORE(_xlfn.TEXTAFTER(UPPER(tblShipments5[[#This Row],[Gateway_clean]]),"IN")," ",1),"")</f>
        <v>INMUN1</v>
      </c>
      <c r="P373" t="str">
        <f>SUBSTITUTE(tblShipments5[[#This Row],[Gateway]], CHAR(10), " ")</f>
        <v xml:space="preserve">AWB No. Gateway Port Gateway EGM No. Gateway EGM Date Gateway Site ID Error Code N.A.  INMUN1  135373  2017-09-19 00:00:00.0  INMUN1  S </v>
      </c>
      <c r="Q373" t="s">
        <v>899</v>
      </c>
    </row>
    <row r="374" spans="1:17" x14ac:dyDescent="0.35">
      <c r="A374" t="s">
        <v>8</v>
      </c>
      <c r="B374">
        <v>8967109</v>
      </c>
      <c r="C374" s="2" t="s">
        <v>874</v>
      </c>
      <c r="D374" s="2" t="str">
        <f>LEFT(TRIM(MID(SUBSTITUTE(tblShipments5[[#This Row],[Details]],CHAR(10)," "), FIND(CHAR(10),tblShipments5[[#This Row],[Details]])+1, 50)), 10)</f>
        <v>3104003254</v>
      </c>
      <c r="E374" t="s">
        <v>893</v>
      </c>
      <c r="F374"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4" t="str">
        <f>IF(tblShipments5[[#This Row],[EGM no]]="", "Missing EGM", "EGM Submitted")</f>
        <v>EGM Submitted</v>
      </c>
      <c r="H374" t="str">
        <f>IF(OR(ISNUMBER(SEARCH("Released",tblShipments5[[#This Row],[ROSL]])),
      ISNUMBER(SEARCH("Scroll",tblShipments5[[#This Row],[ROSL]])),
      ISNUMBER(SEARCH("Y",tblShipments5[[#This Row],[ROSL]]))),
   "Released",
   "Not Released")</f>
        <v>Released</v>
      </c>
      <c r="I374" t="str">
        <f>IF(OR(tblShipments5[[#This Row],[EGM no]]="", tblShipments5[[#This Row],[EGM no]]="N.A."), "Not Submitted", "Submitted")</f>
        <v>Submitted</v>
      </c>
      <c r="J374" t="str">
        <f>IF(LEFT(tblShipments5[[#This Row],[Gateway_Extracted]],2)="IN","Valid","Invalid")</f>
        <v>Valid</v>
      </c>
      <c r="K374" t="s">
        <v>894</v>
      </c>
      <c r="L374" t="s">
        <v>883</v>
      </c>
      <c r="M374" t="s">
        <v>13</v>
      </c>
      <c r="N374" t="s">
        <v>895</v>
      </c>
      <c r="O374" t="str">
        <f>IFERROR("IN" &amp; _xlfn.TEXTBEFORE(_xlfn.TEXTAFTER(UPPER(tblShipments5[[#This Row],[Gateway_clean]]),"IN")," ",1),"")</f>
        <v>INNSA1</v>
      </c>
      <c r="P374" t="str">
        <f>SUBSTITUTE(tblShipments5[[#This Row],[Gateway]], CHAR(10), " ")</f>
        <v xml:space="preserve">AWB No. Gateway Port Gateway EGM No. Gateway EGM Date Gateway Site ID Error Code N.A.  INNSA1  136898  2017-10-13 00:00:00.0  INNSA1  S </v>
      </c>
      <c r="Q374" t="s">
        <v>885</v>
      </c>
    </row>
    <row r="375" spans="1:17" x14ac:dyDescent="0.35">
      <c r="A375" t="s">
        <v>8</v>
      </c>
      <c r="B375">
        <v>8961708</v>
      </c>
      <c r="C375" s="2" t="s">
        <v>874</v>
      </c>
      <c r="D375" s="2" t="str">
        <f>LEFT(TRIM(MID(SUBSTITUTE(tblShipments5[[#This Row],[Details]],CHAR(10)," "), FIND(CHAR(10),tblShipments5[[#This Row],[Details]])+1, 50)), 10)</f>
        <v>3104003254</v>
      </c>
      <c r="E375" t="s">
        <v>881</v>
      </c>
      <c r="F375"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5" t="str">
        <f>IF(tblShipments5[[#This Row],[EGM no]]="", "Missing EGM", "EGM Submitted")</f>
        <v>EGM Submitted</v>
      </c>
      <c r="H375" t="str">
        <f>IF(OR(ISNUMBER(SEARCH("Released",tblShipments5[[#This Row],[ROSL]])),
      ISNUMBER(SEARCH("Scroll",tblShipments5[[#This Row],[ROSL]])),
      ISNUMBER(SEARCH("Y",tblShipments5[[#This Row],[ROSL]]))),
   "Released",
   "Not Released")</f>
        <v>Released</v>
      </c>
      <c r="I375" t="str">
        <f>IF(OR(tblShipments5[[#This Row],[EGM no]]="", tblShipments5[[#This Row],[EGM no]]="N.A."), "Not Submitted", "Submitted")</f>
        <v>Submitted</v>
      </c>
      <c r="J375" t="str">
        <f>IF(LEFT(tblShipments5[[#This Row],[Gateway_Extracted]],2)="IN","Valid","Invalid")</f>
        <v>Valid</v>
      </c>
      <c r="K375" t="s">
        <v>882</v>
      </c>
      <c r="L375" t="s">
        <v>883</v>
      </c>
      <c r="M375" t="s">
        <v>13</v>
      </c>
      <c r="N375" t="s">
        <v>884</v>
      </c>
      <c r="O375" t="str">
        <f>IFERROR("IN" &amp; _xlfn.TEXTBEFORE(_xlfn.TEXTAFTER(UPPER(tblShipments5[[#This Row],[Gateway_clean]]),"IN")," ",1),"")</f>
        <v>INNSA1</v>
      </c>
      <c r="P375" t="str">
        <f>SUBSTITUTE(tblShipments5[[#This Row],[Gateway]], CHAR(10), " ")</f>
        <v xml:space="preserve">AWB No. Gateway Port Gateway EGM No. Gateway EGM Date Gateway Site ID Error Code N.A.  INNSA1  136898  2017-10-13 00:00:00.0  INNSA1  S </v>
      </c>
      <c r="Q375" t="s">
        <v>885</v>
      </c>
    </row>
    <row r="376" spans="1:17" x14ac:dyDescent="0.35">
      <c r="A376" t="s">
        <v>8</v>
      </c>
      <c r="B376">
        <v>8966600</v>
      </c>
      <c r="C376" s="2" t="s">
        <v>874</v>
      </c>
      <c r="D376" s="2" t="str">
        <f>LEFT(TRIM(MID(SUBSTITUTE(tblShipments5[[#This Row],[Details]],CHAR(10)," "), FIND(CHAR(10),tblShipments5[[#This Row],[Details]])+1, 50)), 10)</f>
        <v>3104003254</v>
      </c>
      <c r="E376" t="s">
        <v>890</v>
      </c>
      <c r="F376"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6" t="str">
        <f>IF(tblShipments5[[#This Row],[EGM no]]="", "Missing EGM", "EGM Submitted")</f>
        <v>EGM Submitted</v>
      </c>
      <c r="H376" t="str">
        <f>IF(OR(ISNUMBER(SEARCH("Released",tblShipments5[[#This Row],[ROSL]])),
      ISNUMBER(SEARCH("Scroll",tblShipments5[[#This Row],[ROSL]])),
      ISNUMBER(SEARCH("Y",tblShipments5[[#This Row],[ROSL]]))),
   "Released",
   "Not Released")</f>
        <v>Released</v>
      </c>
      <c r="I376" t="str">
        <f>IF(OR(tblShipments5[[#This Row],[EGM no]]="", tblShipments5[[#This Row],[EGM no]]="N.A."), "Not Submitted", "Submitted")</f>
        <v>Submitted</v>
      </c>
      <c r="J376" t="str">
        <f>IF(LEFT(tblShipments5[[#This Row],[Gateway_Extracted]],2)="IN","Valid","Invalid")</f>
        <v>Valid</v>
      </c>
      <c r="K376" t="s">
        <v>891</v>
      </c>
      <c r="L376" t="s">
        <v>883</v>
      </c>
      <c r="M376" t="s">
        <v>13</v>
      </c>
      <c r="N376" t="s">
        <v>892</v>
      </c>
      <c r="O376" t="str">
        <f>IFERROR("IN" &amp; _xlfn.TEXTBEFORE(_xlfn.TEXTAFTER(UPPER(tblShipments5[[#This Row],[Gateway_clean]]),"IN")," ",1),"")</f>
        <v>INNSA1</v>
      </c>
      <c r="P376" t="str">
        <f>SUBSTITUTE(tblShipments5[[#This Row],[Gateway]], CHAR(10), " ")</f>
        <v xml:space="preserve">AWB No. Gateway Port Gateway EGM No. Gateway EGM Date Gateway Site ID Error Code N.A.  INNSA1  136898  2017-10-13 00:00:00.0  INNSA1  S </v>
      </c>
      <c r="Q376" t="s">
        <v>885</v>
      </c>
    </row>
    <row r="377" spans="1:17" x14ac:dyDescent="0.35">
      <c r="A377" t="s">
        <v>8</v>
      </c>
      <c r="B377">
        <v>9323426</v>
      </c>
      <c r="C377" s="2" t="s">
        <v>1018</v>
      </c>
      <c r="D377" s="2" t="str">
        <f>LEFT(TRIM(MID(SUBSTITUTE(tblShipments5[[#This Row],[Details]],CHAR(10)," "), FIND(CHAR(10),tblShipments5[[#This Row],[Details]])+1, 50)), 10)</f>
        <v>3104003254</v>
      </c>
      <c r="E377" t="s">
        <v>1023</v>
      </c>
      <c r="F377"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7" t="str">
        <f>IF(tblShipments5[[#This Row],[EGM no]]="", "Missing EGM", "EGM Submitted")</f>
        <v>EGM Submitted</v>
      </c>
      <c r="H377" t="str">
        <f>IF(OR(ISNUMBER(SEARCH("Released",tblShipments5[[#This Row],[ROSL]])),
      ISNUMBER(SEARCH("Scroll",tblShipments5[[#This Row],[ROSL]])),
      ISNUMBER(SEARCH("Y",tblShipments5[[#This Row],[ROSL]]))),
   "Released",
   "Not Released")</f>
        <v>Released</v>
      </c>
      <c r="I377" t="str">
        <f>IF(OR(tblShipments5[[#This Row],[EGM no]]="", tblShipments5[[#This Row],[EGM no]]="N.A."), "Not Submitted", "Submitted")</f>
        <v>Submitted</v>
      </c>
      <c r="J377" t="str">
        <f>IF(LEFT(tblShipments5[[#This Row],[Gateway_Extracted]],2)="IN","Valid","Invalid")</f>
        <v>Valid</v>
      </c>
      <c r="K377" t="s">
        <v>1024</v>
      </c>
      <c r="L377" t="s">
        <v>1025</v>
      </c>
      <c r="M377" t="s">
        <v>13</v>
      </c>
      <c r="N377" t="s">
        <v>1026</v>
      </c>
      <c r="O377" t="str">
        <f>IFERROR("IN" &amp; _xlfn.TEXTBEFORE(_xlfn.TEXTAFTER(UPPER(tblShipments5[[#This Row],[Gateway_clean]]),"IN")," ",1),"")</f>
        <v>INMUN1</v>
      </c>
      <c r="P377" t="str">
        <f>SUBSTITUTE(tblShipments5[[#This Row],[Gateway]], CHAR(10), " ")</f>
        <v xml:space="preserve">AWB No. Gateway Port Gateway EGM No. Gateway EGM Date Gateway Site ID Error Code N.A.  INMUN1  137020  2017-10-16 00:00:00.0  INMUN1  S </v>
      </c>
      <c r="Q377" t="s">
        <v>1027</v>
      </c>
    </row>
    <row r="378" spans="1:17" x14ac:dyDescent="0.35">
      <c r="A378" t="s">
        <v>8</v>
      </c>
      <c r="B378">
        <v>9580505</v>
      </c>
      <c r="C378" s="2" t="s">
        <v>1092</v>
      </c>
      <c r="D378" s="2" t="str">
        <f>LEFT(TRIM(MID(SUBSTITUTE(tblShipments5[[#This Row],[Details]],CHAR(10)," "), FIND(CHAR(10),tblShipments5[[#This Row],[Details]])+1, 50)), 10)</f>
        <v>3104003254</v>
      </c>
      <c r="E378" t="s">
        <v>1107</v>
      </c>
      <c r="F378"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8" t="str">
        <f>IF(tblShipments5[[#This Row],[EGM no]]="", "Missing EGM", "EGM Submitted")</f>
        <v>EGM Submitted</v>
      </c>
      <c r="H378" t="str">
        <f>IF(OR(ISNUMBER(SEARCH("Released",tblShipments5[[#This Row],[ROSL]])),
      ISNUMBER(SEARCH("Scroll",tblShipments5[[#This Row],[ROSL]])),
      ISNUMBER(SEARCH("Y",tblShipments5[[#This Row],[ROSL]]))),
   "Released",
   "Not Released")</f>
        <v>Released</v>
      </c>
      <c r="I378" t="str">
        <f>IF(OR(tblShipments5[[#This Row],[EGM no]]="", tblShipments5[[#This Row],[EGM no]]="N.A."), "Not Submitted", "Submitted")</f>
        <v>Submitted</v>
      </c>
      <c r="J378" t="str">
        <f>IF(LEFT(tblShipments5[[#This Row],[Gateway_Extracted]],2)="IN","Valid","Invalid")</f>
        <v>Valid</v>
      </c>
      <c r="K378" t="s">
        <v>1108</v>
      </c>
      <c r="L378" t="s">
        <v>1109</v>
      </c>
      <c r="M378" t="s">
        <v>13</v>
      </c>
      <c r="N378" t="s">
        <v>1110</v>
      </c>
      <c r="O378" t="str">
        <f>IFERROR("IN" &amp; _xlfn.TEXTBEFORE(_xlfn.TEXTAFTER(UPPER(tblShipments5[[#This Row],[Gateway_clean]]),"IN")," ",1),"")</f>
        <v>INNSA1</v>
      </c>
      <c r="P378" t="str">
        <f>SUBSTITUTE(tblShipments5[[#This Row],[Gateway]], CHAR(10), " ")</f>
        <v xml:space="preserve">AWB No. Gateway Port Gateway EGM No. Gateway EGM Date Gateway Site ID Error Code N.A.  INNSA1  137366  2017-10-23 00:00:00.0  INNSA1  S </v>
      </c>
      <c r="Q378" t="s">
        <v>1111</v>
      </c>
    </row>
    <row r="379" spans="1:17" x14ac:dyDescent="0.35">
      <c r="A379" t="s">
        <v>8</v>
      </c>
      <c r="B379">
        <v>1546285</v>
      </c>
      <c r="C379" s="2" t="s">
        <v>1516</v>
      </c>
      <c r="D379" s="2" t="str">
        <f>LEFT(TRIM(MID(SUBSTITUTE(tblShipments5[[#This Row],[Details]],CHAR(10)," "), FIND(CHAR(10),tblShipments5[[#This Row],[Details]])+1, 50)), 10)</f>
        <v>3104003254</v>
      </c>
      <c r="E379" t="s">
        <v>1517</v>
      </c>
      <c r="F379"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79" t="str">
        <f>IF(tblShipments5[[#This Row],[EGM no]]="", "Missing EGM", "EGM Submitted")</f>
        <v>EGM Submitted</v>
      </c>
      <c r="H379" t="str">
        <f>IF(OR(ISNUMBER(SEARCH("Released",tblShipments5[[#This Row],[ROSL]])),
      ISNUMBER(SEARCH("Scroll",tblShipments5[[#This Row],[ROSL]])),
      ISNUMBER(SEARCH("Y",tblShipments5[[#This Row],[ROSL]]))),
   "Released",
   "Not Released")</f>
        <v>Released</v>
      </c>
      <c r="I379" t="str">
        <f>IF(OR(tblShipments5[[#This Row],[EGM no]]="", tblShipments5[[#This Row],[EGM no]]="N.A."), "Not Submitted", "Submitted")</f>
        <v>Submitted</v>
      </c>
      <c r="J379" t="str">
        <f>IF(LEFT(tblShipments5[[#This Row],[Gateway_Extracted]],2)="IN","Valid","Invalid")</f>
        <v>Valid</v>
      </c>
      <c r="K379" t="s">
        <v>1497</v>
      </c>
      <c r="L379" t="s">
        <v>1518</v>
      </c>
      <c r="M379" t="s">
        <v>13</v>
      </c>
      <c r="N379" t="s">
        <v>1519</v>
      </c>
      <c r="O379" t="str">
        <f>IFERROR("IN" &amp; _xlfn.TEXTBEFORE(_xlfn.TEXTAFTER(UPPER(tblShipments5[[#This Row],[Gateway_clean]]),"IN")," ",1),"")</f>
        <v>INMUN1</v>
      </c>
      <c r="P379" t="str">
        <f>SUBSTITUTE(tblShipments5[[#This Row],[Gateway]], CHAR(10), " ")</f>
        <v xml:space="preserve">AWB No. Gateway Port Gateway EGM No. Gateway EGM Date Gateway Site ID Error Code N.A.  INMUN1  141045  2017-12-20 00:00:00.0  INMUN1  S </v>
      </c>
      <c r="Q379" t="s">
        <v>1319</v>
      </c>
    </row>
    <row r="380" spans="1:17" x14ac:dyDescent="0.35">
      <c r="A380" t="s">
        <v>8</v>
      </c>
      <c r="B380">
        <v>1566061</v>
      </c>
      <c r="C380" s="2" t="s">
        <v>1528</v>
      </c>
      <c r="D380" s="2" t="str">
        <f>LEFT(TRIM(MID(SUBSTITUTE(tblShipments5[[#This Row],[Details]],CHAR(10)," "), FIND(CHAR(10),tblShipments5[[#This Row],[Details]])+1, 50)), 10)</f>
        <v>0713000201</v>
      </c>
      <c r="E380" t="s">
        <v>1529</v>
      </c>
      <c r="F380" t="str">
        <f>IF(ISNUMBER(SEARCH("Error", tblShipments5[[#This Row],[Status]])), "Error",
 IF(ISNUMBER(SEARCH("SCR", tblShipments5[[#This Row],[Status]])), "Processed",
 IF(ISNUMBER(SEARCH("Scroll", tblShipments5[[#This Row],[Status]])), "Processed",
 IF(ISNUMBER(SEARCH("Y", tblShipments5[[#This Row],[Status]])), "Released",
 IF(ISNUMBER(SEARCH("N", tblShipments5[[#This Row],[Status]])), "Pending",
 "Other")))))</f>
        <v>Processed</v>
      </c>
      <c r="G380" t="str">
        <f>IF(tblShipments5[[#This Row],[EGM no]]="", "Missing EGM", "EGM Submitted")</f>
        <v>EGM Submitted</v>
      </c>
      <c r="H380" t="str">
        <f>IF(OR(ISNUMBER(SEARCH("Released",tblShipments5[[#This Row],[ROSL]])),
      ISNUMBER(SEARCH("Scroll",tblShipments5[[#This Row],[ROSL]])),
      ISNUMBER(SEARCH("Y",tblShipments5[[#This Row],[ROSL]]))),
   "Released",
   "Not Released")</f>
        <v>Released</v>
      </c>
      <c r="I380" t="str">
        <f>IF(OR(tblShipments5[[#This Row],[EGM no]]="", tblShipments5[[#This Row],[EGM no]]="N.A."), "Not Submitted", "Submitted")</f>
        <v>Submitted</v>
      </c>
      <c r="J380" t="str">
        <f>IF(LEFT(tblShipments5[[#This Row],[Gateway_Extracted]],2)="IN","Valid","Invalid")</f>
        <v>Invalid</v>
      </c>
      <c r="K380" t="s">
        <v>1530</v>
      </c>
      <c r="L380" t="s">
        <v>1531</v>
      </c>
      <c r="M380" t="s">
        <v>31</v>
      </c>
      <c r="N380" t="s">
        <v>1532</v>
      </c>
      <c r="O380" t="str">
        <f>IFERROR("IN" &amp; _xlfn.TEXTBEFORE(_xlfn.TEXTAFTER(UPPER(tblShipments5[[#This Row],[Gateway_clean]]),"IN")," ",1),"")</f>
        <v/>
      </c>
      <c r="P380" t="str">
        <f>SUBSTITUTE(tblShipments5[[#This Row],[Gateway]], CHAR(10), " ")</f>
        <v>Please Wait....</v>
      </c>
      <c r="Q380" t="s">
        <v>105</v>
      </c>
    </row>
  </sheetData>
  <conditionalFormatting sqref="B1">
    <cfRule type="duplicateValues" dxfId="9"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A24D-0062-4B11-958F-AC2786FECB72}">
  <dimension ref="A1:Q380"/>
  <sheetViews>
    <sheetView topLeftCell="M1" zoomScale="82" workbookViewId="0">
      <selection activeCell="M10" sqref="M10"/>
    </sheetView>
  </sheetViews>
  <sheetFormatPr defaultRowHeight="14.5" x14ac:dyDescent="0.35"/>
  <cols>
    <col min="1" max="1" width="18.26953125" customWidth="1"/>
    <col min="2" max="2" width="8.7265625" bestFit="1" customWidth="1"/>
    <col min="3" max="3" width="11.1796875" style="2" bestFit="1" customWidth="1"/>
    <col min="4" max="4" width="63.81640625" customWidth="1"/>
    <col min="5" max="5" width="125.1796875" customWidth="1"/>
    <col min="6" max="6" width="14.1796875" bestFit="1" customWidth="1"/>
    <col min="7" max="7" width="113.81640625" bestFit="1" customWidth="1"/>
    <col min="8" max="8" width="93" bestFit="1" customWidth="1"/>
    <col min="9" max="10" width="93" customWidth="1"/>
    <col min="11" max="11" width="137.26953125" bestFit="1" customWidth="1"/>
    <col min="12" max="12" width="131.26953125" bestFit="1" customWidth="1"/>
    <col min="13" max="13" width="131.26953125" customWidth="1"/>
  </cols>
  <sheetData>
    <row r="1" spans="1:17" x14ac:dyDescent="0.35">
      <c r="A1" t="s">
        <v>0</v>
      </c>
      <c r="B1" t="s">
        <v>1</v>
      </c>
      <c r="C1" s="2" t="s">
        <v>2</v>
      </c>
      <c r="D1" s="2" t="s">
        <v>1980</v>
      </c>
      <c r="E1" t="s">
        <v>3</v>
      </c>
      <c r="F1" t="s">
        <v>2439</v>
      </c>
      <c r="G1" t="s">
        <v>2440</v>
      </c>
      <c r="H1" t="s">
        <v>2441</v>
      </c>
      <c r="I1" t="s">
        <v>2442</v>
      </c>
      <c r="J1" t="s">
        <v>2443</v>
      </c>
      <c r="K1" t="s">
        <v>1722</v>
      </c>
      <c r="L1" t="s">
        <v>4</v>
      </c>
      <c r="M1" t="s">
        <v>5</v>
      </c>
      <c r="N1" t="s">
        <v>6</v>
      </c>
      <c r="O1" t="s">
        <v>2435</v>
      </c>
      <c r="P1" t="s">
        <v>2434</v>
      </c>
      <c r="Q1" t="s">
        <v>7</v>
      </c>
    </row>
    <row r="2" spans="1:17" x14ac:dyDescent="0.35">
      <c r="A2" t="s">
        <v>8</v>
      </c>
      <c r="B2">
        <v>1064566</v>
      </c>
      <c r="C2" s="2" t="s">
        <v>1251</v>
      </c>
      <c r="D2" s="2" t="str">
        <f>LEFT(TRIM(MID(SUBSTITUTE(tblShipments4[[#This Row],[Details]],CHAR(10)," "), FIND(CHAR(10),tblShipments4[[#This Row],[Details]])+1, 50)), 10)</f>
        <v>0500075158</v>
      </c>
      <c r="E2" t="s">
        <v>1262</v>
      </c>
      <c r="F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 t="str">
        <f>IF(tblShipments4[[#This Row],[EGM no]]="", "Missing EGM", "EGM Submitted")</f>
        <v>EGM Submitted</v>
      </c>
      <c r="H2" t="str">
        <f>IF(OR(ISNUMBER(SEARCH("Released",tblShipments4[[#This Row],[ROSL]])),
      ISNUMBER(SEARCH("Scroll",tblShipments4[[#This Row],[ROSL]])),
      ISNUMBER(SEARCH("Y",tblShipments4[[#This Row],[ROSL]]))),
   "Released",
   "Not Released")</f>
        <v>Released</v>
      </c>
      <c r="I2" t="str">
        <f>IF(OR(tblShipments4[[#This Row],[EGM no]]="", tblShipments4[[#This Row],[EGM no]]="N.A."), "Not Submitted", "Submitted")</f>
        <v>Submitted</v>
      </c>
      <c r="J2" t="str">
        <f>IF(LEFT(tblShipments4[[#This Row],[Gateway_Extracted]],2)="IN","Valid","Invalid")</f>
        <v>Invalid</v>
      </c>
      <c r="K2" t="s">
        <v>1263</v>
      </c>
      <c r="L2" t="s">
        <v>1264</v>
      </c>
      <c r="M2" t="s">
        <v>1265</v>
      </c>
      <c r="N2" t="s">
        <v>1266</v>
      </c>
      <c r="O2" t="str">
        <f>IFERROR("IN" &amp; _xlfn.TEXTBEFORE(_xlfn.TEXTAFTER(UPPER(tblShipments4[[#This Row],[Gateway_clean]]),"IN")," ",1),"")</f>
        <v/>
      </c>
      <c r="P2" t="str">
        <f>SUBSTITUTE(tblShipments4[[#This Row],[Gateway]], CHAR(10), " ")</f>
        <v>Please Wait....</v>
      </c>
      <c r="Q2" t="s">
        <v>105</v>
      </c>
    </row>
    <row r="3" spans="1:17" x14ac:dyDescent="0.35">
      <c r="A3" t="s">
        <v>8</v>
      </c>
      <c r="B3">
        <v>1509191</v>
      </c>
      <c r="C3" s="2" t="s">
        <v>1499</v>
      </c>
      <c r="D3" s="2" t="str">
        <f>LEFT(TRIM(MID(SUBSTITUTE(tblShipments4[[#This Row],[Details]],CHAR(10)," "), FIND(CHAR(10),tblShipments4[[#This Row],[Details]])+1, 50)), 10)</f>
        <v>0515934062</v>
      </c>
      <c r="E3" t="s">
        <v>1500</v>
      </c>
      <c r="F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 t="str">
        <f>IF(tblShipments4[[#This Row],[EGM no]]="", "Missing EGM", "EGM Submitted")</f>
        <v>EGM Submitted</v>
      </c>
      <c r="H3" t="str">
        <f>IF(OR(ISNUMBER(SEARCH("Released",tblShipments4[[#This Row],[ROSL]])),
      ISNUMBER(SEARCH("Scroll",tblShipments4[[#This Row],[ROSL]])),
      ISNUMBER(SEARCH("Y",tblShipments4[[#This Row],[ROSL]]))),
   "Released",
   "Not Released")</f>
        <v>Released</v>
      </c>
      <c r="I3" t="str">
        <f>IF(OR(tblShipments4[[#This Row],[EGM no]]="", tblShipments4[[#This Row],[EGM no]]="N.A."), "Not Submitted", "Submitted")</f>
        <v>Submitted</v>
      </c>
      <c r="J3" t="str">
        <f>IF(LEFT(tblShipments4[[#This Row],[Gateway_Extracted]],2)="IN","Valid","Invalid")</f>
        <v>Invalid</v>
      </c>
      <c r="K3" t="s">
        <v>1501</v>
      </c>
      <c r="L3" t="s">
        <v>1502</v>
      </c>
      <c r="M3" t="s">
        <v>13</v>
      </c>
      <c r="N3" t="s">
        <v>1503</v>
      </c>
      <c r="O3" t="str">
        <f>IFERROR("IN" &amp; _xlfn.TEXTBEFORE(_xlfn.TEXTAFTER(UPPER(tblShipments4[[#This Row],[Gateway_clean]]),"IN")," ",1),"")</f>
        <v/>
      </c>
      <c r="P3" t="str">
        <f>SUBSTITUTE(tblShipments4[[#This Row],[Gateway]], CHAR(10), " ")</f>
        <v>Please Wait....</v>
      </c>
      <c r="Q3" t="s">
        <v>105</v>
      </c>
    </row>
    <row r="4" spans="1:17" x14ac:dyDescent="0.35">
      <c r="A4" t="s">
        <v>8</v>
      </c>
      <c r="B4">
        <v>8784077</v>
      </c>
      <c r="C4" s="2" t="s">
        <v>784</v>
      </c>
      <c r="D4" s="2" t="str">
        <f>LEFT(TRIM(MID(SUBSTITUTE(tblShipments4[[#This Row],[Details]],CHAR(10)," "), FIND(CHAR(10),tblShipments4[[#This Row],[Details]])+1, 50)), 10)</f>
        <v>0517500531</v>
      </c>
      <c r="E4" t="s">
        <v>794</v>
      </c>
      <c r="F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 t="str">
        <f>IF(tblShipments4[[#This Row],[EGM no]]="", "Missing EGM", "EGM Submitted")</f>
        <v>EGM Submitted</v>
      </c>
      <c r="H4" t="str">
        <f>IF(OR(ISNUMBER(SEARCH("Released",tblShipments4[[#This Row],[ROSL]])),
      ISNUMBER(SEARCH("Scroll",tblShipments4[[#This Row],[ROSL]])),
      ISNUMBER(SEARCH("Y",tblShipments4[[#This Row],[ROSL]]))),
   "Released",
   "Not Released")</f>
        <v>Released</v>
      </c>
      <c r="I4" t="str">
        <f>IF(OR(tblShipments4[[#This Row],[EGM no]]="", tblShipments4[[#This Row],[EGM no]]="N.A."), "Not Submitted", "Submitted")</f>
        <v>Submitted</v>
      </c>
      <c r="J4" t="str">
        <f>IF(LEFT(tblShipments4[[#This Row],[Gateway_Extracted]],2)="IN","Valid","Invalid")</f>
        <v>Invalid</v>
      </c>
      <c r="K4" t="s">
        <v>795</v>
      </c>
      <c r="L4" t="s">
        <v>796</v>
      </c>
      <c r="M4" t="s">
        <v>13</v>
      </c>
      <c r="N4" t="s">
        <v>797</v>
      </c>
      <c r="O4" t="str">
        <f>IFERROR("IN" &amp; _xlfn.TEXTBEFORE(_xlfn.TEXTAFTER(UPPER(tblShipments4[[#This Row],[Gateway_clean]]),"IN")," ",1),"")</f>
        <v/>
      </c>
      <c r="P4" t="str">
        <f>SUBSTITUTE(tblShipments4[[#This Row],[Gateway]], CHAR(10), " ")</f>
        <v>Please Wait....</v>
      </c>
      <c r="Q4" t="s">
        <v>105</v>
      </c>
    </row>
    <row r="5" spans="1:17" x14ac:dyDescent="0.35">
      <c r="A5" t="s">
        <v>8</v>
      </c>
      <c r="B5">
        <v>1566061</v>
      </c>
      <c r="C5" s="2" t="s">
        <v>1528</v>
      </c>
      <c r="D5" s="2" t="str">
        <f>LEFT(TRIM(MID(SUBSTITUTE(tblShipments4[[#This Row],[Details]],CHAR(10)," "), FIND(CHAR(10),tblShipments4[[#This Row],[Details]])+1, 50)), 10)</f>
        <v>0713000201</v>
      </c>
      <c r="E5" t="s">
        <v>1529</v>
      </c>
      <c r="F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 t="str">
        <f>IF(tblShipments4[[#This Row],[EGM no]]="", "Missing EGM", "EGM Submitted")</f>
        <v>EGM Submitted</v>
      </c>
      <c r="H5" t="str">
        <f>IF(OR(ISNUMBER(SEARCH("Released",tblShipments4[[#This Row],[ROSL]])),
      ISNUMBER(SEARCH("Scroll",tblShipments4[[#This Row],[ROSL]])),
      ISNUMBER(SEARCH("Y",tblShipments4[[#This Row],[ROSL]]))),
   "Released",
   "Not Released")</f>
        <v>Released</v>
      </c>
      <c r="I5" t="str">
        <f>IF(OR(tblShipments4[[#This Row],[EGM no]]="", tblShipments4[[#This Row],[EGM no]]="N.A."), "Not Submitted", "Submitted")</f>
        <v>Submitted</v>
      </c>
      <c r="J5" t="str">
        <f>IF(LEFT(tblShipments4[[#This Row],[Gateway_Extracted]],2)="IN","Valid","Invalid")</f>
        <v>Invalid</v>
      </c>
      <c r="K5" t="s">
        <v>1530</v>
      </c>
      <c r="L5" t="s">
        <v>1531</v>
      </c>
      <c r="M5" t="s">
        <v>31</v>
      </c>
      <c r="N5" t="s">
        <v>1532</v>
      </c>
      <c r="O5" t="str">
        <f>IFERROR("IN" &amp; _xlfn.TEXTBEFORE(_xlfn.TEXTAFTER(UPPER(tblShipments4[[#This Row],[Gateway_clean]]),"IN")," ",1),"")</f>
        <v/>
      </c>
      <c r="P5" t="str">
        <f>SUBSTITUTE(tblShipments4[[#This Row],[Gateway]], CHAR(10), " ")</f>
        <v>Please Wait....</v>
      </c>
      <c r="Q5" t="s">
        <v>105</v>
      </c>
    </row>
    <row r="6" spans="1:17" x14ac:dyDescent="0.35">
      <c r="A6" t="s">
        <v>8</v>
      </c>
      <c r="B6">
        <v>7721241</v>
      </c>
      <c r="C6" s="2" t="s">
        <v>87</v>
      </c>
      <c r="D6" s="2" t="str">
        <f>LEFT(TRIM(MID(SUBSTITUTE(tblShipments4[[#This Row],[Details]],CHAR(10)," "), FIND(CHAR(10),tblShipments4[[#This Row],[Details]])+1, 50)), 10)</f>
        <v>3306001678</v>
      </c>
      <c r="E6" t="s">
        <v>101</v>
      </c>
      <c r="F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 t="str">
        <f>IF(tblShipments4[[#This Row],[EGM no]]="", "Missing EGM", "EGM Submitted")</f>
        <v>EGM Submitted</v>
      </c>
      <c r="H6" t="str">
        <f>IF(OR(ISNUMBER(SEARCH("Released",tblShipments4[[#This Row],[ROSL]])),
      ISNUMBER(SEARCH("Scroll",tblShipments4[[#This Row],[ROSL]])),
      ISNUMBER(SEARCH("Y",tblShipments4[[#This Row],[ROSL]]))),
   "Released",
   "Not Released")</f>
        <v>Released</v>
      </c>
      <c r="I6" t="str">
        <f>IF(OR(tblShipments4[[#This Row],[EGM no]]="", tblShipments4[[#This Row],[EGM no]]="N.A."), "Not Submitted", "Submitted")</f>
        <v>Submitted</v>
      </c>
      <c r="J6" t="str">
        <f>IF(LEFT(tblShipments4[[#This Row],[Gateway_Extracted]],2)="IN","Valid","Invalid")</f>
        <v>Invalid</v>
      </c>
      <c r="K6" t="s">
        <v>102</v>
      </c>
      <c r="L6" t="s">
        <v>103</v>
      </c>
      <c r="M6" t="s">
        <v>13</v>
      </c>
      <c r="N6" t="s">
        <v>104</v>
      </c>
      <c r="O6" t="str">
        <f>IFERROR("IN" &amp; _xlfn.TEXTBEFORE(_xlfn.TEXTAFTER(UPPER(tblShipments4[[#This Row],[Gateway_clean]]),"IN")," ",1),"")</f>
        <v/>
      </c>
      <c r="P6" t="str">
        <f>SUBSTITUTE(tblShipments4[[#This Row],[Gateway]], CHAR(10), " ")</f>
        <v>Please Wait....</v>
      </c>
      <c r="Q6" t="s">
        <v>105</v>
      </c>
    </row>
    <row r="7" spans="1:17" x14ac:dyDescent="0.35">
      <c r="A7" t="s">
        <v>8</v>
      </c>
      <c r="B7">
        <v>7909008</v>
      </c>
      <c r="C7" s="2" t="s">
        <v>221</v>
      </c>
      <c r="D7" s="2" t="str">
        <f>LEFT(TRIM(MID(SUBSTITUTE(tblShipments4[[#This Row],[Details]],CHAR(10)," "), FIND(CHAR(10),tblShipments4[[#This Row],[Details]])+1, 50)), 10)</f>
        <v>AAKFN5762C</v>
      </c>
      <c r="E7" t="s">
        <v>232</v>
      </c>
      <c r="F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 t="str">
        <f>IF(tblShipments4[[#This Row],[EGM no]]="", "Missing EGM", "EGM Submitted")</f>
        <v>EGM Submitted</v>
      </c>
      <c r="H7" t="str">
        <f>IF(OR(ISNUMBER(SEARCH("Released",tblShipments4[[#This Row],[ROSL]])),
      ISNUMBER(SEARCH("Scroll",tblShipments4[[#This Row],[ROSL]])),
      ISNUMBER(SEARCH("Y",tblShipments4[[#This Row],[ROSL]]))),
   "Released",
   "Not Released")</f>
        <v>Released</v>
      </c>
      <c r="I7" t="str">
        <f>IF(OR(tblShipments4[[#This Row],[EGM no]]="", tblShipments4[[#This Row],[EGM no]]="N.A."), "Not Submitted", "Submitted")</f>
        <v>Submitted</v>
      </c>
      <c r="J7" t="str">
        <f>IF(LEFT(tblShipments4[[#This Row],[Gateway_Extracted]],2)="IN","Valid","Invalid")</f>
        <v>Invalid</v>
      </c>
      <c r="K7" t="s">
        <v>233</v>
      </c>
      <c r="L7" t="s">
        <v>234</v>
      </c>
      <c r="M7" t="s">
        <v>13</v>
      </c>
      <c r="N7" t="s">
        <v>235</v>
      </c>
      <c r="O7" t="str">
        <f>IFERROR("IN" &amp; _xlfn.TEXTBEFORE(_xlfn.TEXTAFTER(UPPER(tblShipments4[[#This Row],[Gateway_clean]]),"IN")," ",1),"")</f>
        <v/>
      </c>
      <c r="P7" t="str">
        <f>SUBSTITUTE(tblShipments4[[#This Row],[Gateway]], CHAR(10), " ")</f>
        <v>No Record found</v>
      </c>
      <c r="Q7" t="s">
        <v>236</v>
      </c>
    </row>
    <row r="8" spans="1:17" x14ac:dyDescent="0.35">
      <c r="A8" t="s">
        <v>8</v>
      </c>
      <c r="B8">
        <v>8146066</v>
      </c>
      <c r="C8" s="2" t="s">
        <v>356</v>
      </c>
      <c r="D8" s="2" t="str">
        <f>LEFT(TRIM(MID(SUBSTITUTE(tblShipments4[[#This Row],[Details]],CHAR(10)," "), FIND(CHAR(10),tblShipments4[[#This Row],[Details]])+1, 50)), 10)</f>
        <v>0288012101</v>
      </c>
      <c r="E8" t="s">
        <v>373</v>
      </c>
      <c r="F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 t="str">
        <f>IF(tblShipments4[[#This Row],[EGM no]]="", "Missing EGM", "EGM Submitted")</f>
        <v>EGM Submitted</v>
      </c>
      <c r="H8" t="str">
        <f>IF(OR(ISNUMBER(SEARCH("Released",tblShipments4[[#This Row],[ROSL]])),
      ISNUMBER(SEARCH("Scroll",tblShipments4[[#This Row],[ROSL]])),
      ISNUMBER(SEARCH("Y",tblShipments4[[#This Row],[ROSL]]))),
   "Released",
   "Not Released")</f>
        <v>Released</v>
      </c>
      <c r="I8" t="str">
        <f>IF(OR(tblShipments4[[#This Row],[EGM no]]="", tblShipments4[[#This Row],[EGM no]]="N.A."), "Not Submitted", "Submitted")</f>
        <v>Submitted</v>
      </c>
      <c r="J8" t="str">
        <f>IF(LEFT(tblShipments4[[#This Row],[Gateway_Extracted]],2)="IN","Valid","Invalid")</f>
        <v>Valid</v>
      </c>
      <c r="K8" t="s">
        <v>374</v>
      </c>
      <c r="L8" t="s">
        <v>375</v>
      </c>
      <c r="M8" t="s">
        <v>13</v>
      </c>
      <c r="N8" t="s">
        <v>376</v>
      </c>
      <c r="O8" t="str">
        <f>IFERROR("IN" &amp; _xlfn.TEXTBEFORE(_xlfn.TEXTAFTER(UPPER(tblShipments4[[#This Row],[Gateway_clean]]),"IN")," ",1),"")</f>
        <v>INMUN1</v>
      </c>
      <c r="P8" t="str">
        <f>SUBSTITUTE(tblShipments4[[#This Row],[Gateway]], CHAR(10), " ")</f>
        <v xml:space="preserve">AWB No. Gateway Port Gateway EGM No. Gateway EGM Date Gateway Site ID Error Code N.A.  INMUN1  134134  2017-08-29 00:00:00.0  INMUN1  S </v>
      </c>
      <c r="Q8" t="s">
        <v>377</v>
      </c>
    </row>
    <row r="9" spans="1:17" x14ac:dyDescent="0.35">
      <c r="A9" t="s">
        <v>8</v>
      </c>
      <c r="B9">
        <v>8146068</v>
      </c>
      <c r="C9" s="2" t="s">
        <v>356</v>
      </c>
      <c r="D9" s="2" t="str">
        <f>LEFT(TRIM(MID(SUBSTITUTE(tblShipments4[[#This Row],[Details]],CHAR(10)," "), FIND(CHAR(10),tblShipments4[[#This Row],[Details]])+1, 50)), 10)</f>
        <v>0288012101</v>
      </c>
      <c r="E9" t="s">
        <v>378</v>
      </c>
      <c r="F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 t="str">
        <f>IF(tblShipments4[[#This Row],[EGM no]]="", "Missing EGM", "EGM Submitted")</f>
        <v>EGM Submitted</v>
      </c>
      <c r="H9" t="str">
        <f>IF(OR(ISNUMBER(SEARCH("Released",tblShipments4[[#This Row],[ROSL]])),
      ISNUMBER(SEARCH("Scroll",tblShipments4[[#This Row],[ROSL]])),
      ISNUMBER(SEARCH("Y",tblShipments4[[#This Row],[ROSL]]))),
   "Released",
   "Not Released")</f>
        <v>Released</v>
      </c>
      <c r="I9" t="str">
        <f>IF(OR(tblShipments4[[#This Row],[EGM no]]="", tblShipments4[[#This Row],[EGM no]]="N.A."), "Not Submitted", "Submitted")</f>
        <v>Submitted</v>
      </c>
      <c r="J9" t="str">
        <f>IF(LEFT(tblShipments4[[#This Row],[Gateway_Extracted]],2)="IN","Valid","Invalid")</f>
        <v>Valid</v>
      </c>
      <c r="K9" t="s">
        <v>261</v>
      </c>
      <c r="L9" t="s">
        <v>375</v>
      </c>
      <c r="M9" t="s">
        <v>13</v>
      </c>
      <c r="N9" t="s">
        <v>379</v>
      </c>
      <c r="O9" t="str">
        <f>IFERROR("IN" &amp; _xlfn.TEXTBEFORE(_xlfn.TEXTAFTER(UPPER(tblShipments4[[#This Row],[Gateway_clean]]),"IN")," ",1),"")</f>
        <v>INMUN1</v>
      </c>
      <c r="P9" t="str">
        <f>SUBSTITUTE(tblShipments4[[#This Row],[Gateway]], CHAR(10), " ")</f>
        <v xml:space="preserve">AWB No. Gateway Port Gateway EGM No. Gateway EGM Date Gateway Site ID Error Code N.A.  INMUN1  134134  2017-08-29 00:00:00.0  INMUN1  S </v>
      </c>
      <c r="Q9" t="s">
        <v>377</v>
      </c>
    </row>
    <row r="10" spans="1:17" x14ac:dyDescent="0.35">
      <c r="A10" t="s">
        <v>8</v>
      </c>
      <c r="B10">
        <v>9344909</v>
      </c>
      <c r="C10" s="2" t="s">
        <v>1032</v>
      </c>
      <c r="D10" s="2" t="str">
        <f>LEFT(TRIM(MID(SUBSTITUTE(tblShipments4[[#This Row],[Details]],CHAR(10)," "), FIND(CHAR(10),tblShipments4[[#This Row],[Details]])+1, 50)), 10)</f>
        <v>0302060855</v>
      </c>
      <c r="E10" t="s">
        <v>1033</v>
      </c>
      <c r="F1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 t="str">
        <f>IF(tblShipments4[[#This Row],[EGM no]]="", "Missing EGM", "EGM Submitted")</f>
        <v>EGM Submitted</v>
      </c>
      <c r="H10" t="str">
        <f>IF(OR(ISNUMBER(SEARCH("Released",tblShipments4[[#This Row],[ROSL]])),
      ISNUMBER(SEARCH("Scroll",tblShipments4[[#This Row],[ROSL]])),
      ISNUMBER(SEARCH("Y",tblShipments4[[#This Row],[ROSL]]))),
   "Released",
   "Not Released")</f>
        <v>Released</v>
      </c>
      <c r="I10" t="str">
        <f>IF(OR(tblShipments4[[#This Row],[EGM no]]="", tblShipments4[[#This Row],[EGM no]]="N.A."), "Not Submitted", "Submitted")</f>
        <v>Submitted</v>
      </c>
      <c r="J10" t="str">
        <f>IF(LEFT(tblShipments4[[#This Row],[Gateway_Extracted]],2)="IN","Valid","Invalid")</f>
        <v>Valid</v>
      </c>
      <c r="K10" t="s">
        <v>1020</v>
      </c>
      <c r="L10" t="s">
        <v>1034</v>
      </c>
      <c r="M10" t="s">
        <v>31</v>
      </c>
      <c r="N10" t="s">
        <v>1035</v>
      </c>
      <c r="O10" t="str">
        <f>IFERROR("IN" &amp; _xlfn.TEXTBEFORE(_xlfn.TEXTAFTER(UPPER(tblShipments4[[#This Row],[Gateway_clean]]),"IN")," ",1),"")</f>
        <v>INMUN1</v>
      </c>
      <c r="P10" t="str">
        <f>SUBSTITUTE(tblShipments4[[#This Row],[Gateway]], CHAR(10), " ")</f>
        <v xml:space="preserve">AWB No. Gateway Port Gateway EGM No. Gateway EGM Date Gateway Site ID Error Code N.A.  INMUN1  137857  2017-10-30 00:00:00.0  INMUN1  S </v>
      </c>
      <c r="Q10" t="s">
        <v>1036</v>
      </c>
    </row>
    <row r="11" spans="1:17" x14ac:dyDescent="0.35">
      <c r="A11" t="s">
        <v>8</v>
      </c>
      <c r="B11">
        <v>8424214</v>
      </c>
      <c r="C11" s="2" t="s">
        <v>565</v>
      </c>
      <c r="D11" s="2" t="str">
        <f>LEFT(TRIM(MID(SUBSTITUTE(tblShipments4[[#This Row],[Details]],CHAR(10)," "), FIND(CHAR(10),tblShipments4[[#This Row],[Details]])+1, 50)), 10)</f>
        <v>0311014879</v>
      </c>
      <c r="E11" t="s">
        <v>566</v>
      </c>
      <c r="F1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 t="str">
        <f>IF(tblShipments4[[#This Row],[EGM no]]="", "Missing EGM", "EGM Submitted")</f>
        <v>EGM Submitted</v>
      </c>
      <c r="H11" t="str">
        <f>IF(OR(ISNUMBER(SEARCH("Released",tblShipments4[[#This Row],[ROSL]])),
      ISNUMBER(SEARCH("Scroll",tblShipments4[[#This Row],[ROSL]])),
      ISNUMBER(SEARCH("Y",tblShipments4[[#This Row],[ROSL]]))),
   "Released",
   "Not Released")</f>
        <v>Released</v>
      </c>
      <c r="I11" t="str">
        <f>IF(OR(tblShipments4[[#This Row],[EGM no]]="", tblShipments4[[#This Row],[EGM no]]="N.A."), "Not Submitted", "Submitted")</f>
        <v>Submitted</v>
      </c>
      <c r="J11" t="str">
        <f>IF(LEFT(tblShipments4[[#This Row],[Gateway_Extracted]],2)="IN","Valid","Invalid")</f>
        <v>Valid</v>
      </c>
      <c r="K11" t="s">
        <v>518</v>
      </c>
      <c r="L11" t="s">
        <v>567</v>
      </c>
      <c r="M11" t="s">
        <v>31</v>
      </c>
      <c r="N11" t="s">
        <v>568</v>
      </c>
      <c r="O11" t="str">
        <f>IFERROR("IN" &amp; _xlfn.TEXTBEFORE(_xlfn.TEXTAFTER(UPPER(tblShipments4[[#This Row],[Gateway_clean]]),"IN")," ",1),"")</f>
        <v>INMUN1</v>
      </c>
      <c r="P11" t="str">
        <f>SUBSTITUTE(tblShipments4[[#This Row],[Gateway]], CHAR(10), " ")</f>
        <v xml:space="preserve">AWB No. Gateway Port Gateway EGM No. Gateway EGM Date Gateway Site ID Error Code N.A.  INMUN1  134793  2017-09-08 00:00:00.0  INMUN1  C </v>
      </c>
      <c r="Q11" t="s">
        <v>569</v>
      </c>
    </row>
    <row r="12" spans="1:17" x14ac:dyDescent="0.35">
      <c r="A12" t="s">
        <v>8</v>
      </c>
      <c r="B12">
        <v>7970441</v>
      </c>
      <c r="C12" s="2" t="s">
        <v>255</v>
      </c>
      <c r="D12" s="2" t="str">
        <f>LEFT(TRIM(MID(SUBSTITUTE(tblShipments4[[#This Row],[Details]],CHAR(10)," "), FIND(CHAR(10),tblShipments4[[#This Row],[Details]])+1, 50)), 10)</f>
        <v>0314035087</v>
      </c>
      <c r="E12" t="s">
        <v>276</v>
      </c>
      <c r="F1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 t="str">
        <f>IF(tblShipments4[[#This Row],[EGM no]]="", "Missing EGM", "EGM Submitted")</f>
        <v>EGM Submitted</v>
      </c>
      <c r="H12" t="str">
        <f>IF(OR(ISNUMBER(SEARCH("Released",tblShipments4[[#This Row],[ROSL]])),
      ISNUMBER(SEARCH("Scroll",tblShipments4[[#This Row],[ROSL]])),
      ISNUMBER(SEARCH("Y",tblShipments4[[#This Row],[ROSL]]))),
   "Released",
   "Not Released")</f>
        <v>Released</v>
      </c>
      <c r="I12" t="str">
        <f>IF(OR(tblShipments4[[#This Row],[EGM no]]="", tblShipments4[[#This Row],[EGM no]]="N.A."), "Not Submitted", "Submitted")</f>
        <v>Submitted</v>
      </c>
      <c r="J12" t="str">
        <f>IF(LEFT(tblShipments4[[#This Row],[Gateway_Extracted]],2)="IN","Valid","Invalid")</f>
        <v>Valid</v>
      </c>
      <c r="K12" t="s">
        <v>183</v>
      </c>
      <c r="L12" t="s">
        <v>277</v>
      </c>
      <c r="M12" t="s">
        <v>13</v>
      </c>
      <c r="N12" t="s">
        <v>278</v>
      </c>
      <c r="O12" t="str">
        <f>IFERROR("IN" &amp; _xlfn.TEXTBEFORE(_xlfn.TEXTAFTER(UPPER(tblShipments4[[#This Row],[Gateway_clean]]),"IN")," ",1),"")</f>
        <v>INMUN1</v>
      </c>
      <c r="P12" t="str">
        <f>SUBSTITUTE(tblShipments4[[#This Row],[Gateway]], CHAR(10), " ")</f>
        <v xml:space="preserve">AWB No. Gateway Port Gateway EGM No. Gateway EGM Date Gateway Site ID Error Code N.A.  INMUN1  134794  2017-09-08 00:00:00.0  INMUN1  S </v>
      </c>
      <c r="Q12" t="s">
        <v>279</v>
      </c>
    </row>
    <row r="13" spans="1:17" x14ac:dyDescent="0.35">
      <c r="A13" t="s">
        <v>8</v>
      </c>
      <c r="B13">
        <v>1616744</v>
      </c>
      <c r="C13" s="2" t="s">
        <v>1547</v>
      </c>
      <c r="D13" s="2" t="str">
        <f>LEFT(TRIM(MID(SUBSTITUTE(tblShipments4[[#This Row],[Details]],CHAR(10)," "), FIND(CHAR(10),tblShipments4[[#This Row],[Details]])+1, 50)), 10)</f>
        <v>0389025364</v>
      </c>
      <c r="E13" t="s">
        <v>1557</v>
      </c>
      <c r="F1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 t="str">
        <f>IF(tblShipments4[[#This Row],[EGM no]]="", "Missing EGM", "EGM Submitted")</f>
        <v>EGM Submitted</v>
      </c>
      <c r="H13" t="str">
        <f>IF(OR(ISNUMBER(SEARCH("Released",tblShipments4[[#This Row],[ROSL]])),
      ISNUMBER(SEARCH("Scroll",tblShipments4[[#This Row],[ROSL]])),
      ISNUMBER(SEARCH("Y",tblShipments4[[#This Row],[ROSL]]))),
   "Released",
   "Not Released")</f>
        <v>Released</v>
      </c>
      <c r="I13" t="str">
        <f>IF(OR(tblShipments4[[#This Row],[EGM no]]="", tblShipments4[[#This Row],[EGM no]]="N.A."), "Not Submitted", "Submitted")</f>
        <v>Submitted</v>
      </c>
      <c r="J13" t="str">
        <f>IF(LEFT(tblShipments4[[#This Row],[Gateway_Extracted]],2)="IN","Valid","Invalid")</f>
        <v>Valid</v>
      </c>
      <c r="K13" t="s">
        <v>1558</v>
      </c>
      <c r="L13" t="s">
        <v>1559</v>
      </c>
      <c r="M13" t="s">
        <v>13</v>
      </c>
      <c r="N13" t="s">
        <v>1560</v>
      </c>
      <c r="O13" t="str">
        <f>IFERROR("IN" &amp; _xlfn.TEXTBEFORE(_xlfn.TEXTAFTER(UPPER(tblShipments4[[#This Row],[Gateway_clean]]),"IN")," ",1),"")</f>
        <v>INMUN1</v>
      </c>
      <c r="P13" t="str">
        <f>SUBSTITUTE(tblShipments4[[#This Row],[Gateway]], CHAR(10), " ")</f>
        <v xml:space="preserve">AWB No. Gateway Port Gateway EGM No. Gateway EGM Date Gateway Site ID Error Code N.A.  INMUN1  141297  2017-12-26 00:00:00.0  INMUN1  S </v>
      </c>
      <c r="Q13" t="s">
        <v>1561</v>
      </c>
    </row>
    <row r="14" spans="1:17" x14ac:dyDescent="0.35">
      <c r="A14" t="s">
        <v>8</v>
      </c>
      <c r="B14">
        <v>9131041</v>
      </c>
      <c r="C14" s="2" t="s">
        <v>960</v>
      </c>
      <c r="D14" s="2" t="str">
        <f>LEFT(TRIM(MID(SUBSTITUTE(tblShipments4[[#This Row],[Details]],CHAR(10)," "), FIND(CHAR(10),tblShipments4[[#This Row],[Details]])+1, 50)), 10)</f>
        <v>0500003491</v>
      </c>
      <c r="E14" t="s">
        <v>963</v>
      </c>
      <c r="F1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 t="str">
        <f>IF(tblShipments4[[#This Row],[EGM no]]="", "Missing EGM", "EGM Submitted")</f>
        <v>EGM Submitted</v>
      </c>
      <c r="H14" t="str">
        <f>IF(OR(ISNUMBER(SEARCH("Released",tblShipments4[[#This Row],[ROSL]])),
      ISNUMBER(SEARCH("Scroll",tblShipments4[[#This Row],[ROSL]])),
      ISNUMBER(SEARCH("Y",tblShipments4[[#This Row],[ROSL]]))),
   "Released",
   "Not Released")</f>
        <v>Released</v>
      </c>
      <c r="I14" t="str">
        <f>IF(OR(tblShipments4[[#This Row],[EGM no]]="", tblShipments4[[#This Row],[EGM no]]="N.A."), "Not Submitted", "Submitted")</f>
        <v>Submitted</v>
      </c>
      <c r="J14" t="str">
        <f>IF(LEFT(tblShipments4[[#This Row],[Gateway_Extracted]],2)="IN","Valid","Invalid")</f>
        <v>Valid</v>
      </c>
      <c r="K14" t="s">
        <v>964</v>
      </c>
      <c r="L14" t="s">
        <v>965</v>
      </c>
      <c r="M14" t="s">
        <v>31</v>
      </c>
      <c r="N14" t="s">
        <v>966</v>
      </c>
      <c r="O14" t="str">
        <f>IFERROR("IN" &amp; _xlfn.TEXTBEFORE(_xlfn.TEXTAFTER(UPPER(tblShipments4[[#This Row],[Gateway_clean]]),"IN")," ",1),"")</f>
        <v>INMUN1</v>
      </c>
      <c r="P14" t="str">
        <f>SUBSTITUTE(tblShipments4[[#This Row],[Gateway]], CHAR(10), " ")</f>
        <v xml:space="preserve">AWB No. Gateway Port Gateway EGM No. Gateway EGM Date Gateway Site ID Error Code N.A.  INMUN1  138865  2017-11-15 00:00:00.0  INMUN1  S </v>
      </c>
      <c r="Q14" t="s">
        <v>967</v>
      </c>
    </row>
    <row r="15" spans="1:17" x14ac:dyDescent="0.35">
      <c r="A15" t="s">
        <v>8</v>
      </c>
      <c r="B15">
        <v>1852350</v>
      </c>
      <c r="C15" s="2" t="s">
        <v>1677</v>
      </c>
      <c r="D15" s="2" t="str">
        <f>LEFT(TRIM(MID(SUBSTITUTE(tblShipments4[[#This Row],[Details]],CHAR(10)," "), FIND(CHAR(10),tblShipments4[[#This Row],[Details]])+1, 50)), 10)</f>
        <v>0500050139</v>
      </c>
      <c r="E15" t="s">
        <v>1683</v>
      </c>
      <c r="F1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 t="str">
        <f>IF(tblShipments4[[#This Row],[EGM no]]="", "Missing EGM", "EGM Submitted")</f>
        <v>EGM Submitted</v>
      </c>
      <c r="H15" t="str">
        <f>IF(OR(ISNUMBER(SEARCH("Released",tblShipments4[[#This Row],[ROSL]])),
      ISNUMBER(SEARCH("Scroll",tblShipments4[[#This Row],[ROSL]])),
      ISNUMBER(SEARCH("Y",tblShipments4[[#This Row],[ROSL]]))),
   "Released",
   "Not Released")</f>
        <v>Released</v>
      </c>
      <c r="I15" t="str">
        <f>IF(OR(tblShipments4[[#This Row],[EGM no]]="", tblShipments4[[#This Row],[EGM no]]="N.A."), "Not Submitted", "Submitted")</f>
        <v>Submitted</v>
      </c>
      <c r="J15" t="str">
        <f>IF(LEFT(tblShipments4[[#This Row],[Gateway_Extracted]],2)="IN","Valid","Invalid")</f>
        <v>Valid</v>
      </c>
      <c r="K15" t="s">
        <v>1659</v>
      </c>
      <c r="L15" t="s">
        <v>1684</v>
      </c>
      <c r="M15" t="s">
        <v>31</v>
      </c>
      <c r="N15" t="s">
        <v>1685</v>
      </c>
      <c r="O15" t="str">
        <f>IFERROR("IN" &amp; _xlfn.TEXTBEFORE(_xlfn.TEXTAFTER(UPPER(tblShipments4[[#This Row],[Gateway_clean]]),"IN")," ",1),"")</f>
        <v>INMUN1</v>
      </c>
      <c r="P15" t="str">
        <f>SUBSTITUTE(tblShipments4[[#This Row],[Gateway]], CHAR(10), " ")</f>
        <v xml:space="preserve">AWB No. Gateway Port Gateway EGM No. Gateway EGM Date Gateway Site ID Error Code N.A.  INMUN1  141264  2017-12-23 00:00:00.0  INMUN1  S </v>
      </c>
      <c r="Q15" t="s">
        <v>1686</v>
      </c>
    </row>
    <row r="16" spans="1:17" x14ac:dyDescent="0.35">
      <c r="A16" t="s">
        <v>8</v>
      </c>
      <c r="B16">
        <v>9353344</v>
      </c>
      <c r="C16" s="2" t="s">
        <v>1032</v>
      </c>
      <c r="D16" s="2" t="str">
        <f>LEFT(TRIM(MID(SUBSTITUTE(tblShipments4[[#This Row],[Details]],CHAR(10)," "), FIND(CHAR(10),tblShipments4[[#This Row],[Details]])+1, 50)), 10)</f>
        <v>0500054339</v>
      </c>
      <c r="E16" t="s">
        <v>1042</v>
      </c>
      <c r="F1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 t="str">
        <f>IF(tblShipments4[[#This Row],[EGM no]]="", "Missing EGM", "EGM Submitted")</f>
        <v>EGM Submitted</v>
      </c>
      <c r="H16" t="str">
        <f>IF(OR(ISNUMBER(SEARCH("Released",tblShipments4[[#This Row],[ROSL]])),
      ISNUMBER(SEARCH("Scroll",tblShipments4[[#This Row],[ROSL]])),
      ISNUMBER(SEARCH("Y",tblShipments4[[#This Row],[ROSL]]))),
   "Released",
   "Not Released")</f>
        <v>Released</v>
      </c>
      <c r="I16" t="str">
        <f>IF(OR(tblShipments4[[#This Row],[EGM no]]="", tblShipments4[[#This Row],[EGM no]]="N.A."), "Not Submitted", "Submitted")</f>
        <v>Submitted</v>
      </c>
      <c r="J16" t="str">
        <f>IF(LEFT(tblShipments4[[#This Row],[Gateway_Extracted]],2)="IN","Valid","Invalid")</f>
        <v>Valid</v>
      </c>
      <c r="K16" t="s">
        <v>1029</v>
      </c>
      <c r="L16" t="s">
        <v>1043</v>
      </c>
      <c r="M16" t="s">
        <v>31</v>
      </c>
      <c r="N16" t="s">
        <v>1044</v>
      </c>
      <c r="O16" t="str">
        <f>IFERROR("IN" &amp; _xlfn.TEXTBEFORE(_xlfn.TEXTAFTER(UPPER(tblShipments4[[#This Row],[Gateway_clean]]),"IN")," ",1),"")</f>
        <v>INMUN1</v>
      </c>
      <c r="P16" t="str">
        <f>SUBSTITUTE(tblShipments4[[#This Row],[Gateway]], CHAR(10), " ")</f>
        <v xml:space="preserve">AWB No. Gateway Port Gateway EGM No. Gateway EGM Date Gateway Site ID Error Code N.A.  INMUN1  137573  2017-10-25 00:00:00.0  INMUN1  S </v>
      </c>
      <c r="Q16" t="s">
        <v>1045</v>
      </c>
    </row>
    <row r="17" spans="1:17" x14ac:dyDescent="0.35">
      <c r="A17" t="s">
        <v>8</v>
      </c>
      <c r="B17">
        <v>7852739</v>
      </c>
      <c r="C17" s="2" t="s">
        <v>191</v>
      </c>
      <c r="D17" s="2" t="str">
        <f>LEFT(TRIM(MID(SUBSTITUTE(tblShipments4[[#This Row],[Details]],CHAR(10)," "), FIND(CHAR(10),tblShipments4[[#This Row],[Details]])+1, 50)), 10)</f>
        <v>0500062609</v>
      </c>
      <c r="E17" t="s">
        <v>200</v>
      </c>
      <c r="F1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 t="str">
        <f>IF(tblShipments4[[#This Row],[EGM no]]="", "Missing EGM", "EGM Submitted")</f>
        <v>EGM Submitted</v>
      </c>
      <c r="H17" t="str">
        <f>IF(OR(ISNUMBER(SEARCH("Released",tblShipments4[[#This Row],[ROSL]])),
      ISNUMBER(SEARCH("Scroll",tblShipments4[[#This Row],[ROSL]])),
      ISNUMBER(SEARCH("Y",tblShipments4[[#This Row],[ROSL]]))),
   "Released",
   "Not Released")</f>
        <v>Released</v>
      </c>
      <c r="I17" t="str">
        <f>IF(OR(tblShipments4[[#This Row],[EGM no]]="", tblShipments4[[#This Row],[EGM no]]="N.A."), "Not Submitted", "Submitted")</f>
        <v>Submitted</v>
      </c>
      <c r="J17" t="str">
        <f>IF(LEFT(tblShipments4[[#This Row],[Gateway_Extracted]],2)="IN","Valid","Invalid")</f>
        <v>Valid</v>
      </c>
      <c r="K17" t="s">
        <v>122</v>
      </c>
      <c r="L17" t="s">
        <v>201</v>
      </c>
      <c r="M17" t="s">
        <v>13</v>
      </c>
      <c r="N17" t="s">
        <v>202</v>
      </c>
      <c r="O17" t="str">
        <f>IFERROR("IN" &amp; _xlfn.TEXTBEFORE(_xlfn.TEXTAFTER(UPPER(tblShipments4[[#This Row],[Gateway_clean]]),"IN")," ",1),"")</f>
        <v>INMUN1</v>
      </c>
      <c r="P17" t="str">
        <f>SUBSTITUTE(tblShipments4[[#This Row],[Gateway]], CHAR(10), " ")</f>
        <v xml:space="preserve">AWB No. Gateway Port Gateway EGM No. Gateway EGM Date Gateway Site ID Error Code N.A.  INMUN1  133567  2017-08-18 00:00:00.0  INMUN1  S </v>
      </c>
      <c r="Q17" t="s">
        <v>203</v>
      </c>
    </row>
    <row r="18" spans="1:17" x14ac:dyDescent="0.35">
      <c r="A18" t="s">
        <v>8</v>
      </c>
      <c r="B18">
        <v>8228343</v>
      </c>
      <c r="C18" s="2" t="s">
        <v>409</v>
      </c>
      <c r="D18" s="2" t="str">
        <f>LEFT(TRIM(MID(SUBSTITUTE(tblShipments4[[#This Row],[Details]],CHAR(10)," "), FIND(CHAR(10),tblShipments4[[#This Row],[Details]])+1, 50)), 10)</f>
        <v>0500075158</v>
      </c>
      <c r="E18" t="s">
        <v>436</v>
      </c>
      <c r="F1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 t="str">
        <f>IF(tblShipments4[[#This Row],[EGM no]]="", "Missing EGM", "EGM Submitted")</f>
        <v>EGM Submitted</v>
      </c>
      <c r="H18" t="str">
        <f>IF(OR(ISNUMBER(SEARCH("Released",tblShipments4[[#This Row],[ROSL]])),
      ISNUMBER(SEARCH("Scroll",tblShipments4[[#This Row],[ROSL]])),
      ISNUMBER(SEARCH("Y",tblShipments4[[#This Row],[ROSL]]))),
   "Released",
   "Not Released")</f>
        <v>Released</v>
      </c>
      <c r="I18" t="str">
        <f>IF(OR(tblShipments4[[#This Row],[EGM no]]="", tblShipments4[[#This Row],[EGM no]]="N.A."), "Not Submitted", "Submitted")</f>
        <v>Submitted</v>
      </c>
      <c r="J18" t="str">
        <f>IF(LEFT(tblShipments4[[#This Row],[Gateway_Extracted]],2)="IN","Valid","Invalid")</f>
        <v>Valid</v>
      </c>
      <c r="K18" t="s">
        <v>437</v>
      </c>
      <c r="L18" t="s">
        <v>438</v>
      </c>
      <c r="M18" t="s">
        <v>439</v>
      </c>
      <c r="N18" t="s">
        <v>440</v>
      </c>
      <c r="O18" t="str">
        <f>IFERROR("IN" &amp; _xlfn.TEXTBEFORE(_xlfn.TEXTAFTER(UPPER(tblShipments4[[#This Row],[Gateway_clean]]),"IN")," ",1),"")</f>
        <v>INMUN1</v>
      </c>
      <c r="P18" t="str">
        <f>SUBSTITUTE(tblShipments4[[#This Row],[Gateway]], CHAR(10), " ")</f>
        <v xml:space="preserve">AWB No. Gateway Port Gateway EGM No. Gateway EGM Date Gateway Site ID Error Code N.A.  INMUN1  134796  2017-09-08 00:00:00.0  INMUN1  S </v>
      </c>
      <c r="Q18" t="s">
        <v>441</v>
      </c>
    </row>
    <row r="19" spans="1:17" x14ac:dyDescent="0.35">
      <c r="A19" t="s">
        <v>8</v>
      </c>
      <c r="B19">
        <v>8361009</v>
      </c>
      <c r="C19" s="2" t="s">
        <v>532</v>
      </c>
      <c r="D19" s="2" t="str">
        <f>LEFT(TRIM(MID(SUBSTITUTE(tblShipments4[[#This Row],[Details]],CHAR(10)," "), FIND(CHAR(10),tblShipments4[[#This Row],[Details]])+1, 50)), 10)</f>
        <v>0500075158</v>
      </c>
      <c r="E19" t="s">
        <v>537</v>
      </c>
      <c r="F1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 t="str">
        <f>IF(tblShipments4[[#This Row],[EGM no]]="", "Missing EGM", "EGM Submitted")</f>
        <v>EGM Submitted</v>
      </c>
      <c r="H19" t="str">
        <f>IF(OR(ISNUMBER(SEARCH("Released",tblShipments4[[#This Row],[ROSL]])),
      ISNUMBER(SEARCH("Scroll",tblShipments4[[#This Row],[ROSL]])),
      ISNUMBER(SEARCH("Y",tblShipments4[[#This Row],[ROSL]]))),
   "Released",
   "Not Released")</f>
        <v>Released</v>
      </c>
      <c r="I19" t="str">
        <f>IF(OR(tblShipments4[[#This Row],[EGM no]]="", tblShipments4[[#This Row],[EGM no]]="N.A."), "Not Submitted", "Submitted")</f>
        <v>Submitted</v>
      </c>
      <c r="J19" t="str">
        <f>IF(LEFT(tblShipments4[[#This Row],[Gateway_Extracted]],2)="IN","Valid","Invalid")</f>
        <v>Valid</v>
      </c>
      <c r="K19" t="s">
        <v>394</v>
      </c>
      <c r="L19" t="s">
        <v>500</v>
      </c>
      <c r="M19" t="s">
        <v>538</v>
      </c>
      <c r="N19" t="s">
        <v>539</v>
      </c>
      <c r="O19" t="str">
        <f>IFERROR("IN" &amp; _xlfn.TEXTBEFORE(_xlfn.TEXTAFTER(UPPER(tblShipments4[[#This Row],[Gateway_clean]]),"IN")," ",1),"")</f>
        <v>INMUN1</v>
      </c>
      <c r="P19" t="str">
        <f>SUBSTITUTE(tblShipments4[[#This Row],[Gateway]], CHAR(10), " ")</f>
        <v xml:space="preserve">AWB No. Gateway Port Gateway EGM No. Gateway EGM Date Gateway Site ID Error Code N.A.  INMUN1  132131  2017-07-25 00:00:00.0  INMUN1  S </v>
      </c>
      <c r="Q19" t="s">
        <v>502</v>
      </c>
    </row>
    <row r="20" spans="1:17" x14ac:dyDescent="0.35">
      <c r="A20" t="s">
        <v>8</v>
      </c>
      <c r="B20">
        <v>9425848</v>
      </c>
      <c r="C20" s="2" t="s">
        <v>1049</v>
      </c>
      <c r="D20" s="2" t="str">
        <f>LEFT(TRIM(MID(SUBSTITUTE(tblShipments4[[#This Row],[Details]],CHAR(10)," "), FIND(CHAR(10),tblShipments4[[#This Row],[Details]])+1, 50)), 10)</f>
        <v>0500075158</v>
      </c>
      <c r="E20" t="s">
        <v>1050</v>
      </c>
      <c r="F2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 t="str">
        <f>IF(tblShipments4[[#This Row],[EGM no]]="", "Missing EGM", "EGM Submitted")</f>
        <v>EGM Submitted</v>
      </c>
      <c r="H20" t="str">
        <f>IF(OR(ISNUMBER(SEARCH("Released",tblShipments4[[#This Row],[ROSL]])),
      ISNUMBER(SEARCH("Scroll",tblShipments4[[#This Row],[ROSL]])),
      ISNUMBER(SEARCH("Y",tblShipments4[[#This Row],[ROSL]]))),
   "Released",
   "Not Released")</f>
        <v>Released</v>
      </c>
      <c r="I20" t="str">
        <f>IF(OR(tblShipments4[[#This Row],[EGM no]]="", tblShipments4[[#This Row],[EGM no]]="N.A."), "Not Submitted", "Submitted")</f>
        <v>Submitted</v>
      </c>
      <c r="J20" t="str">
        <f>IF(LEFT(tblShipments4[[#This Row],[Gateway_Extracted]],2)="IN","Valid","Invalid")</f>
        <v>Valid</v>
      </c>
      <c r="K20" t="s">
        <v>1051</v>
      </c>
      <c r="L20" t="s">
        <v>1052</v>
      </c>
      <c r="M20" t="s">
        <v>1053</v>
      </c>
      <c r="N20" t="s">
        <v>1054</v>
      </c>
      <c r="O20" t="str">
        <f>IFERROR("IN" &amp; _xlfn.TEXTBEFORE(_xlfn.TEXTAFTER(UPPER(tblShipments4[[#This Row],[Gateway_clean]]),"IN")," ",1),"")</f>
        <v>INMUN1</v>
      </c>
      <c r="P20" t="str">
        <f>SUBSTITUTE(tblShipments4[[#This Row],[Gateway]], CHAR(10), " ")</f>
        <v xml:space="preserve">AWB No. Gateway Port Gateway EGM No. Gateway EGM Date Gateway Site ID Error Code N.A.  INMUN1  N.A.  N.A.  N.A.  N.A. </v>
      </c>
      <c r="Q20" t="s">
        <v>244</v>
      </c>
    </row>
    <row r="21" spans="1:17" x14ac:dyDescent="0.35">
      <c r="A21" t="s">
        <v>8</v>
      </c>
      <c r="B21">
        <v>9791045</v>
      </c>
      <c r="C21" s="2" t="s">
        <v>1188</v>
      </c>
      <c r="D21" s="2" t="str">
        <f>LEFT(TRIM(MID(SUBSTITUTE(tblShipments4[[#This Row],[Details]],CHAR(10)," "), FIND(CHAR(10),tblShipments4[[#This Row],[Details]])+1, 50)), 10)</f>
        <v>0500075158</v>
      </c>
      <c r="E21" t="s">
        <v>1193</v>
      </c>
      <c r="F2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 t="str">
        <f>IF(tblShipments4[[#This Row],[EGM no]]="", "Missing EGM", "EGM Submitted")</f>
        <v>EGM Submitted</v>
      </c>
      <c r="H21" t="str">
        <f>IF(OR(ISNUMBER(SEARCH("Released",tblShipments4[[#This Row],[ROSL]])),
      ISNUMBER(SEARCH("Scroll",tblShipments4[[#This Row],[ROSL]])),
      ISNUMBER(SEARCH("Y",tblShipments4[[#This Row],[ROSL]]))),
   "Released",
   "Not Released")</f>
        <v>Released</v>
      </c>
      <c r="I21" t="str">
        <f>IF(OR(tblShipments4[[#This Row],[EGM no]]="", tblShipments4[[#This Row],[EGM no]]="N.A."), "Not Submitted", "Submitted")</f>
        <v>Submitted</v>
      </c>
      <c r="J21" t="str">
        <f>IF(LEFT(tblShipments4[[#This Row],[Gateway_Extracted]],2)="IN","Valid","Invalid")</f>
        <v>Valid</v>
      </c>
      <c r="K21" t="s">
        <v>1108</v>
      </c>
      <c r="L21" t="s">
        <v>1194</v>
      </c>
      <c r="M21" t="s">
        <v>1195</v>
      </c>
      <c r="N21" t="s">
        <v>1196</v>
      </c>
      <c r="O21" t="str">
        <f>IFERROR("IN" &amp; _xlfn.TEXTBEFORE(_xlfn.TEXTAFTER(UPPER(tblShipments4[[#This Row],[Gateway_clean]]),"IN")," ",1),"")</f>
        <v>INMUN1</v>
      </c>
      <c r="P21" t="str">
        <f>SUBSTITUTE(tblShipments4[[#This Row],[Gateway]], CHAR(10), " ")</f>
        <v xml:space="preserve">AWB No. Gateway Port Gateway EGM No. Gateway EGM Date Gateway Site ID Error Code N.A.  INMUN1  138685  2017-11-13 00:00:00.0  INMUN1  S </v>
      </c>
      <c r="Q21" t="s">
        <v>1197</v>
      </c>
    </row>
    <row r="22" spans="1:17" x14ac:dyDescent="0.35">
      <c r="A22" t="s">
        <v>8</v>
      </c>
      <c r="B22">
        <v>1249499</v>
      </c>
      <c r="C22" s="2" t="s">
        <v>1336</v>
      </c>
      <c r="D22" s="2" t="str">
        <f>LEFT(TRIM(MID(SUBSTITUTE(tblShipments4[[#This Row],[Details]],CHAR(10)," "), FIND(CHAR(10),tblShipments4[[#This Row],[Details]])+1, 50)), 10)</f>
        <v>0500075158</v>
      </c>
      <c r="E22" t="s">
        <v>1347</v>
      </c>
      <c r="F2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 t="str">
        <f>IF(tblShipments4[[#This Row],[EGM no]]="", "Missing EGM", "EGM Submitted")</f>
        <v>EGM Submitted</v>
      </c>
      <c r="H22" t="str">
        <f>IF(OR(ISNUMBER(SEARCH("Released",tblShipments4[[#This Row],[ROSL]])),
      ISNUMBER(SEARCH("Scroll",tblShipments4[[#This Row],[ROSL]])),
      ISNUMBER(SEARCH("Y",tblShipments4[[#This Row],[ROSL]]))),
   "Released",
   "Not Released")</f>
        <v>Released</v>
      </c>
      <c r="I22" t="str">
        <f>IF(OR(tblShipments4[[#This Row],[EGM no]]="", tblShipments4[[#This Row],[EGM no]]="N.A."), "Not Submitted", "Submitted")</f>
        <v>Submitted</v>
      </c>
      <c r="J22" t="str">
        <f>IF(LEFT(tblShipments4[[#This Row],[Gateway_Extracted]],2)="IN","Valid","Invalid")</f>
        <v>Valid</v>
      </c>
      <c r="K22" t="s">
        <v>1343</v>
      </c>
      <c r="L22" t="s">
        <v>1348</v>
      </c>
      <c r="M22" t="s">
        <v>1349</v>
      </c>
      <c r="N22" t="s">
        <v>1350</v>
      </c>
      <c r="O22" t="str">
        <f>IFERROR("IN" &amp; _xlfn.TEXTBEFORE(_xlfn.TEXTAFTER(UPPER(tblShipments4[[#This Row],[Gateway_clean]]),"IN")," ",1),"")</f>
        <v>INMUN1</v>
      </c>
      <c r="P22" t="str">
        <f>SUBSTITUTE(tblShipments4[[#This Row],[Gateway]], CHAR(10), " ")</f>
        <v xml:space="preserve">AWB No. Gateway Port Gateway EGM No. Gateway EGM Date Gateway Site ID Error Code N.A.  INMUN1  138172  2017-11-03 00:00:00.0  INMUN1  S </v>
      </c>
      <c r="Q22" t="s">
        <v>1341</v>
      </c>
    </row>
    <row r="23" spans="1:17" x14ac:dyDescent="0.35">
      <c r="A23" t="s">
        <v>8</v>
      </c>
      <c r="B23">
        <v>1249514</v>
      </c>
      <c r="C23" s="2" t="s">
        <v>1336</v>
      </c>
      <c r="D23" s="2" t="str">
        <f>LEFT(TRIM(MID(SUBSTITUTE(tblShipments4[[#This Row],[Details]],CHAR(10)," "), FIND(CHAR(10),tblShipments4[[#This Row],[Details]])+1, 50)), 10)</f>
        <v>0500075158</v>
      </c>
      <c r="E23" t="s">
        <v>1351</v>
      </c>
      <c r="F2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 t="str">
        <f>IF(tblShipments4[[#This Row],[EGM no]]="", "Missing EGM", "EGM Submitted")</f>
        <v>EGM Submitted</v>
      </c>
      <c r="H23" t="str">
        <f>IF(OR(ISNUMBER(SEARCH("Released",tblShipments4[[#This Row],[ROSL]])),
      ISNUMBER(SEARCH("Scroll",tblShipments4[[#This Row],[ROSL]])),
      ISNUMBER(SEARCH("Y",tblShipments4[[#This Row],[ROSL]]))),
   "Released",
   "Not Released")</f>
        <v>Released</v>
      </c>
      <c r="I23" t="str">
        <f>IF(OR(tblShipments4[[#This Row],[EGM no]]="", tblShipments4[[#This Row],[EGM no]]="N.A."), "Not Submitted", "Submitted")</f>
        <v>Submitted</v>
      </c>
      <c r="J23" t="str">
        <f>IF(LEFT(tblShipments4[[#This Row],[Gateway_Extracted]],2)="IN","Valid","Invalid")</f>
        <v>Valid</v>
      </c>
      <c r="K23" t="s">
        <v>1343</v>
      </c>
      <c r="L23" t="s">
        <v>1348</v>
      </c>
      <c r="M23" t="s">
        <v>1352</v>
      </c>
      <c r="N23" t="s">
        <v>1353</v>
      </c>
      <c r="O23" t="str">
        <f>IFERROR("IN" &amp; _xlfn.TEXTBEFORE(_xlfn.TEXTAFTER(UPPER(tblShipments4[[#This Row],[Gateway_clean]]),"IN")," ",1),"")</f>
        <v>INMUN1</v>
      </c>
      <c r="P23" t="str">
        <f>SUBSTITUTE(tblShipments4[[#This Row],[Gateway]], CHAR(10), " ")</f>
        <v xml:space="preserve">AWB No. Gateway Port Gateway EGM No. Gateway EGM Date Gateway Site ID Error Code N.A.  INMUN1  138172  2017-11-03 00:00:00.0  INMUN1  S </v>
      </c>
      <c r="Q23" t="s">
        <v>1341</v>
      </c>
    </row>
    <row r="24" spans="1:17" x14ac:dyDescent="0.35">
      <c r="A24" t="s">
        <v>8</v>
      </c>
      <c r="B24">
        <v>7800720</v>
      </c>
      <c r="C24" s="2" t="s">
        <v>153</v>
      </c>
      <c r="D24" s="2" t="str">
        <f>LEFT(TRIM(MID(SUBSTITUTE(tblShipments4[[#This Row],[Details]],CHAR(10)," "), FIND(CHAR(10),tblShipments4[[#This Row],[Details]])+1, 50)), 10)</f>
        <v>0502037547</v>
      </c>
      <c r="E24" t="s">
        <v>172</v>
      </c>
      <c r="F2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 t="str">
        <f>IF(tblShipments4[[#This Row],[EGM no]]="", "Missing EGM", "EGM Submitted")</f>
        <v>EGM Submitted</v>
      </c>
      <c r="H24" t="str">
        <f>IF(OR(ISNUMBER(SEARCH("Released",tblShipments4[[#This Row],[ROSL]])),
      ISNUMBER(SEARCH("Scroll",tblShipments4[[#This Row],[ROSL]])),
      ISNUMBER(SEARCH("Y",tblShipments4[[#This Row],[ROSL]]))),
   "Released",
   "Not Released")</f>
        <v>Released</v>
      </c>
      <c r="I24" t="str">
        <f>IF(OR(tblShipments4[[#This Row],[EGM no]]="", tblShipments4[[#This Row],[EGM no]]="N.A."), "Not Submitted", "Submitted")</f>
        <v>Submitted</v>
      </c>
      <c r="J24" t="str">
        <f>IF(LEFT(tblShipments4[[#This Row],[Gateway_Extracted]],2)="IN","Valid","Invalid")</f>
        <v>Valid</v>
      </c>
      <c r="K24" t="s">
        <v>169</v>
      </c>
      <c r="L24" t="s">
        <v>173</v>
      </c>
      <c r="M24" t="s">
        <v>13</v>
      </c>
      <c r="N24" t="s">
        <v>174</v>
      </c>
      <c r="O24" t="str">
        <f>IFERROR("IN" &amp; _xlfn.TEXTBEFORE(_xlfn.TEXTAFTER(UPPER(tblShipments4[[#This Row],[Gateway_clean]]),"IN")," ",1),"")</f>
        <v>INMUN1</v>
      </c>
      <c r="P24" t="str">
        <f>SUBSTITUTE(tblShipments4[[#This Row],[Gateway]], CHAR(10), " ")</f>
        <v xml:space="preserve">AWB No. Gateway Port Gateway EGM No. Gateway EGM Date Gateway Site ID Error Code N.A.  INMUN1  160432  2018-10-31 00:00:00.0  INMUN1  S </v>
      </c>
      <c r="Q24" t="s">
        <v>175</v>
      </c>
    </row>
    <row r="25" spans="1:17" x14ac:dyDescent="0.35">
      <c r="A25" t="s">
        <v>8</v>
      </c>
      <c r="B25">
        <v>1729499</v>
      </c>
      <c r="C25" s="2" t="s">
        <v>1615</v>
      </c>
      <c r="D25" s="2" t="str">
        <f>LEFT(TRIM(MID(SUBSTITUTE(tblShipments4[[#This Row],[Details]],CHAR(10)," "), FIND(CHAR(10),tblShipments4[[#This Row],[Details]])+1, 50)), 10)</f>
        <v>0503010316</v>
      </c>
      <c r="E25" t="s">
        <v>1623</v>
      </c>
      <c r="F2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 t="str">
        <f>IF(tblShipments4[[#This Row],[EGM no]]="", "Missing EGM", "EGM Submitted")</f>
        <v>EGM Submitted</v>
      </c>
      <c r="H25" t="str">
        <f>IF(OR(ISNUMBER(SEARCH("Released",tblShipments4[[#This Row],[ROSL]])),
      ISNUMBER(SEARCH("Scroll",tblShipments4[[#This Row],[ROSL]])),
      ISNUMBER(SEARCH("Y",tblShipments4[[#This Row],[ROSL]]))),
   "Released",
   "Not Released")</f>
        <v>Released</v>
      </c>
      <c r="I25" t="str">
        <f>IF(OR(tblShipments4[[#This Row],[EGM no]]="", tblShipments4[[#This Row],[EGM no]]="N.A."), "Not Submitted", "Submitted")</f>
        <v>Submitted</v>
      </c>
      <c r="J25" t="str">
        <f>IF(LEFT(tblShipments4[[#This Row],[Gateway_Extracted]],2)="IN","Valid","Invalid")</f>
        <v>Valid</v>
      </c>
      <c r="K25" t="s">
        <v>1624</v>
      </c>
      <c r="L25" t="s">
        <v>1625</v>
      </c>
      <c r="M25" t="s">
        <v>13</v>
      </c>
      <c r="N25" t="s">
        <v>1626</v>
      </c>
      <c r="O25" t="str">
        <f>IFERROR("IN" &amp; _xlfn.TEXTBEFORE(_xlfn.TEXTAFTER(UPPER(tblShipments4[[#This Row],[Gateway_clean]]),"IN")," ",1),"")</f>
        <v>INMUN1</v>
      </c>
      <c r="P25" t="str">
        <f>SUBSTITUTE(tblShipments4[[#This Row],[Gateway]], CHAR(10), " ")</f>
        <v xml:space="preserve">AWB No. Gateway Port Gateway EGM No. Gateway EGM Date Gateway Site ID Error Code N.A.  INMUN1  141855  2018-01-03 00:00:00.0  INMUN1  S </v>
      </c>
      <c r="Q25" t="s">
        <v>1627</v>
      </c>
    </row>
    <row r="26" spans="1:17" x14ac:dyDescent="0.35">
      <c r="A26" t="s">
        <v>8</v>
      </c>
      <c r="B26">
        <v>8697591</v>
      </c>
      <c r="C26" s="2" t="s">
        <v>747</v>
      </c>
      <c r="D26" s="2" t="str">
        <f>LEFT(TRIM(MID(SUBSTITUTE(tblShipments4[[#This Row],[Details]],CHAR(10)," "), FIND(CHAR(10),tblShipments4[[#This Row],[Details]])+1, 50)), 10)</f>
        <v>0503013749</v>
      </c>
      <c r="E26" t="s">
        <v>748</v>
      </c>
      <c r="F2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 t="str">
        <f>IF(tblShipments4[[#This Row],[EGM no]]="", "Missing EGM", "EGM Submitted")</f>
        <v>EGM Submitted</v>
      </c>
      <c r="H26" t="str">
        <f>IF(OR(ISNUMBER(SEARCH("Released",tblShipments4[[#This Row],[ROSL]])),
      ISNUMBER(SEARCH("Scroll",tblShipments4[[#This Row],[ROSL]])),
      ISNUMBER(SEARCH("Y",tblShipments4[[#This Row],[ROSL]]))),
   "Released",
   "Not Released")</f>
        <v>Released</v>
      </c>
      <c r="I26" t="str">
        <f>IF(OR(tblShipments4[[#This Row],[EGM no]]="", tblShipments4[[#This Row],[EGM no]]="N.A."), "Not Submitted", "Submitted")</f>
        <v>Submitted</v>
      </c>
      <c r="J26" t="str">
        <f>IF(LEFT(tblShipments4[[#This Row],[Gateway_Extracted]],2)="IN","Valid","Invalid")</f>
        <v>Valid</v>
      </c>
      <c r="K26" t="s">
        <v>749</v>
      </c>
      <c r="L26" t="s">
        <v>750</v>
      </c>
      <c r="M26" t="s">
        <v>31</v>
      </c>
      <c r="N26" t="s">
        <v>751</v>
      </c>
      <c r="O26" t="str">
        <f>IFERROR("IN" &amp; _xlfn.TEXTBEFORE(_xlfn.TEXTAFTER(UPPER(tblShipments4[[#This Row],[Gateway_clean]]),"IN")," ",1),"")</f>
        <v>INMUN1</v>
      </c>
      <c r="P26" t="str">
        <f>SUBSTITUTE(tblShipments4[[#This Row],[Gateway]], CHAR(10), " ")</f>
        <v xml:space="preserve">AWB No. Gateway Port Gateway EGM No. Gateway EGM Date Gateway Site ID Error Code N.A.  INMUN1  N.A.  N.A.  N.A.  N.A. </v>
      </c>
      <c r="Q26" t="s">
        <v>244</v>
      </c>
    </row>
    <row r="27" spans="1:17" x14ac:dyDescent="0.35">
      <c r="A27" t="s">
        <v>8</v>
      </c>
      <c r="B27">
        <v>9852487</v>
      </c>
      <c r="C27" s="2" t="s">
        <v>1202</v>
      </c>
      <c r="D27" s="2" t="str">
        <f>LEFT(TRIM(MID(SUBSTITUTE(tblShipments4[[#This Row],[Details]],CHAR(10)," "), FIND(CHAR(10),tblShipments4[[#This Row],[Details]])+1, 50)), 10)</f>
        <v>0504011057</v>
      </c>
      <c r="E27" t="s">
        <v>1203</v>
      </c>
      <c r="F2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 t="str">
        <f>IF(tblShipments4[[#This Row],[EGM no]]="", "Missing EGM", "EGM Submitted")</f>
        <v>EGM Submitted</v>
      </c>
      <c r="H27" t="str">
        <f>IF(OR(ISNUMBER(SEARCH("Released",tblShipments4[[#This Row],[ROSL]])),
      ISNUMBER(SEARCH("Scroll",tblShipments4[[#This Row],[ROSL]])),
      ISNUMBER(SEARCH("Y",tblShipments4[[#This Row],[ROSL]]))),
   "Released",
   "Not Released")</f>
        <v>Released</v>
      </c>
      <c r="I27" t="str">
        <f>IF(OR(tblShipments4[[#This Row],[EGM no]]="", tblShipments4[[#This Row],[EGM no]]="N.A."), "Not Submitted", "Submitted")</f>
        <v>Submitted</v>
      </c>
      <c r="J27" t="str">
        <f>IF(LEFT(tblShipments4[[#This Row],[Gateway_Extracted]],2)="IN","Valid","Invalid")</f>
        <v>Valid</v>
      </c>
      <c r="K27" t="s">
        <v>1204</v>
      </c>
      <c r="L27" t="s">
        <v>1205</v>
      </c>
      <c r="M27" t="s">
        <v>13</v>
      </c>
      <c r="N27" t="s">
        <v>1206</v>
      </c>
      <c r="O27" t="str">
        <f>IFERROR("IN" &amp; _xlfn.TEXTBEFORE(_xlfn.TEXTAFTER(UPPER(tblShipments4[[#This Row],[Gateway_clean]]),"IN")," ",1),"")</f>
        <v>INMUN1</v>
      </c>
      <c r="P27" t="str">
        <f>SUBSTITUTE(tblShipments4[[#This Row],[Gateway]], CHAR(10), " ")</f>
        <v xml:space="preserve">AWB No. Gateway Port Gateway EGM No. Gateway EGM Date Gateway Site ID Error Code N.A.  INMUN1  139245  2017-11-21 00:00:00.0  INMUN1  S </v>
      </c>
      <c r="Q27" t="s">
        <v>1207</v>
      </c>
    </row>
    <row r="28" spans="1:17" x14ac:dyDescent="0.35">
      <c r="A28" t="s">
        <v>8</v>
      </c>
      <c r="B28">
        <v>1168946</v>
      </c>
      <c r="C28" s="2" t="s">
        <v>1293</v>
      </c>
      <c r="D28" s="2" t="str">
        <f>LEFT(TRIM(MID(SUBSTITUTE(tblShipments4[[#This Row],[Details]],CHAR(10)," "), FIND(CHAR(10),tblShipments4[[#This Row],[Details]])+1, 50)), 10)</f>
        <v>0504011057</v>
      </c>
      <c r="E28" t="s">
        <v>1294</v>
      </c>
      <c r="F2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 t="str">
        <f>IF(tblShipments4[[#This Row],[EGM no]]="", "Missing EGM", "EGM Submitted")</f>
        <v>EGM Submitted</v>
      </c>
      <c r="H28" t="str">
        <f>IF(OR(ISNUMBER(SEARCH("Released",tblShipments4[[#This Row],[ROSL]])),
      ISNUMBER(SEARCH("Scroll",tblShipments4[[#This Row],[ROSL]])),
      ISNUMBER(SEARCH("Y",tblShipments4[[#This Row],[ROSL]]))),
   "Released",
   "Not Released")</f>
        <v>Released</v>
      </c>
      <c r="I28" t="str">
        <f>IF(OR(tblShipments4[[#This Row],[EGM no]]="", tblShipments4[[#This Row],[EGM no]]="N.A."), "Not Submitted", "Submitted")</f>
        <v>Submitted</v>
      </c>
      <c r="J28" t="str">
        <f>IF(LEFT(tblShipments4[[#This Row],[Gateway_Extracted]],2)="IN","Valid","Invalid")</f>
        <v>Valid</v>
      </c>
      <c r="K28" t="s">
        <v>1225</v>
      </c>
      <c r="L28" t="s">
        <v>1295</v>
      </c>
      <c r="M28" t="s">
        <v>13</v>
      </c>
      <c r="N28" t="s">
        <v>1296</v>
      </c>
      <c r="O28" t="str">
        <f>IFERROR("IN" &amp; _xlfn.TEXTBEFORE(_xlfn.TEXTAFTER(UPPER(tblShipments4[[#This Row],[Gateway_clean]]),"IN")," ",1),"")</f>
        <v>INMUN1</v>
      </c>
      <c r="P28" t="str">
        <f>SUBSTITUTE(tblShipments4[[#This Row],[Gateway]], CHAR(10), " ")</f>
        <v xml:space="preserve">AWB No. Gateway Port Gateway EGM No. Gateway EGM Date Gateway Site ID Error Code N.A.  INMUN1  140199  2017-12-06 00:00:00.0  INMUN1  S </v>
      </c>
      <c r="Q28" t="s">
        <v>1297</v>
      </c>
    </row>
    <row r="29" spans="1:17" x14ac:dyDescent="0.35">
      <c r="A29" t="s">
        <v>8</v>
      </c>
      <c r="B29">
        <v>1521533</v>
      </c>
      <c r="C29" s="2" t="s">
        <v>1499</v>
      </c>
      <c r="D29" s="2" t="str">
        <f>LEFT(TRIM(MID(SUBSTITUTE(tblShipments4[[#This Row],[Details]],CHAR(10)," "), FIND(CHAR(10),tblShipments4[[#This Row],[Details]])+1, 50)), 10)</f>
        <v>0504011057</v>
      </c>
      <c r="E29" t="s">
        <v>1508</v>
      </c>
      <c r="F2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 t="str">
        <f>IF(tblShipments4[[#This Row],[EGM no]]="", "Missing EGM", "EGM Submitted")</f>
        <v>EGM Submitted</v>
      </c>
      <c r="H29" t="str">
        <f>IF(OR(ISNUMBER(SEARCH("Released",tblShipments4[[#This Row],[ROSL]])),
      ISNUMBER(SEARCH("Scroll",tblShipments4[[#This Row],[ROSL]])),
      ISNUMBER(SEARCH("Y",tblShipments4[[#This Row],[ROSL]]))),
   "Released",
   "Not Released")</f>
        <v>Released</v>
      </c>
      <c r="I29" t="str">
        <f>IF(OR(tblShipments4[[#This Row],[EGM no]]="", tblShipments4[[#This Row],[EGM no]]="N.A."), "Not Submitted", "Submitted")</f>
        <v>Submitted</v>
      </c>
      <c r="J29" t="str">
        <f>IF(LEFT(tblShipments4[[#This Row],[Gateway_Extracted]],2)="IN","Valid","Invalid")</f>
        <v>Valid</v>
      </c>
      <c r="K29" t="s">
        <v>1471</v>
      </c>
      <c r="L29" t="s">
        <v>1509</v>
      </c>
      <c r="M29" t="s">
        <v>13</v>
      </c>
      <c r="N29" t="s">
        <v>1510</v>
      </c>
      <c r="O29" t="str">
        <f>IFERROR("IN" &amp; _xlfn.TEXTBEFORE(_xlfn.TEXTAFTER(UPPER(tblShipments4[[#This Row],[Gateway_clean]]),"IN")," ",1),"")</f>
        <v>INMUN1</v>
      </c>
      <c r="P29" t="str">
        <f>SUBSTITUTE(tblShipments4[[#This Row],[Gateway]], CHAR(10), " ")</f>
        <v xml:space="preserve">AWB No. Gateway Port Gateway EGM No. Gateway EGM Date Gateway Site ID Error Code N.A.  INMUN1  140931  2017-12-19 00:00:00.0  INMUN1  S </v>
      </c>
      <c r="Q29" t="s">
        <v>1511</v>
      </c>
    </row>
    <row r="30" spans="1:17" x14ac:dyDescent="0.35">
      <c r="A30" t="s">
        <v>8</v>
      </c>
      <c r="B30">
        <v>8471397</v>
      </c>
      <c r="C30" s="2" t="s">
        <v>590</v>
      </c>
      <c r="D30" s="2" t="str">
        <f>LEFT(TRIM(MID(SUBSTITUTE(tblShipments4[[#This Row],[Details]],CHAR(10)," "), FIND(CHAR(10),tblShipments4[[#This Row],[Details]])+1, 50)), 10)</f>
        <v>0504016865</v>
      </c>
      <c r="E30" t="s">
        <v>611</v>
      </c>
      <c r="F3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 t="str">
        <f>IF(tblShipments4[[#This Row],[EGM no]]="", "Missing EGM", "EGM Submitted")</f>
        <v>EGM Submitted</v>
      </c>
      <c r="H30" t="str">
        <f>IF(OR(ISNUMBER(SEARCH("Released",tblShipments4[[#This Row],[ROSL]])),
      ISNUMBER(SEARCH("Scroll",tblShipments4[[#This Row],[ROSL]])),
      ISNUMBER(SEARCH("Y",tblShipments4[[#This Row],[ROSL]]))),
   "Released",
   "Not Released")</f>
        <v>Released</v>
      </c>
      <c r="I30" t="str">
        <f>IF(OR(tblShipments4[[#This Row],[EGM no]]="", tblShipments4[[#This Row],[EGM no]]="N.A."), "Not Submitted", "Submitted")</f>
        <v>Submitted</v>
      </c>
      <c r="J30" t="str">
        <f>IF(LEFT(tblShipments4[[#This Row],[Gateway_Extracted]],2)="IN","Valid","Invalid")</f>
        <v>Valid</v>
      </c>
      <c r="K30" t="s">
        <v>612</v>
      </c>
      <c r="L30" t="s">
        <v>613</v>
      </c>
      <c r="M30" t="s">
        <v>31</v>
      </c>
      <c r="N30" t="s">
        <v>614</v>
      </c>
      <c r="O30" t="str">
        <f>IFERROR("IN" &amp; _xlfn.TEXTBEFORE(_xlfn.TEXTAFTER(UPPER(tblShipments4[[#This Row],[Gateway_clean]]),"IN")," ",1),"")</f>
        <v>INMUN1</v>
      </c>
      <c r="P30" t="str">
        <f>SUBSTITUTE(tblShipments4[[#This Row],[Gateway]], CHAR(10), " ")</f>
        <v xml:space="preserve">AWB No. Gateway Port Gateway EGM No. Gateway EGM Date Gateway Site ID Error Code N.A.  INMUN1  135378  2017-09-19 00:00:00.0  INMUN1  S </v>
      </c>
      <c r="Q30" t="s">
        <v>425</v>
      </c>
    </row>
    <row r="31" spans="1:17" x14ac:dyDescent="0.35">
      <c r="A31" t="s">
        <v>8</v>
      </c>
      <c r="B31">
        <v>8173971</v>
      </c>
      <c r="C31" s="2" t="s">
        <v>380</v>
      </c>
      <c r="D31" s="2" t="str">
        <f>LEFT(TRIM(MID(SUBSTITUTE(tblShipments4[[#This Row],[Details]],CHAR(10)," "), FIND(CHAR(10),tblShipments4[[#This Row],[Details]])+1, 50)), 10)</f>
        <v>0504038966</v>
      </c>
      <c r="E31" t="s">
        <v>397</v>
      </c>
      <c r="F3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 t="str">
        <f>IF(tblShipments4[[#This Row],[EGM no]]="", "Missing EGM", "EGM Submitted")</f>
        <v>EGM Submitted</v>
      </c>
      <c r="H31" t="str">
        <f>IF(OR(ISNUMBER(SEARCH("Released",tblShipments4[[#This Row],[ROSL]])),
      ISNUMBER(SEARCH("Scroll",tblShipments4[[#This Row],[ROSL]])),
      ISNUMBER(SEARCH("Y",tblShipments4[[#This Row],[ROSL]]))),
   "Released",
   "Not Released")</f>
        <v>Released</v>
      </c>
      <c r="I31" t="str">
        <f>IF(OR(tblShipments4[[#This Row],[EGM no]]="", tblShipments4[[#This Row],[EGM no]]="N.A."), "Not Submitted", "Submitted")</f>
        <v>Submitted</v>
      </c>
      <c r="J31" t="str">
        <f>IF(LEFT(tblShipments4[[#This Row],[Gateway_Extracted]],2)="IN","Valid","Invalid")</f>
        <v>Valid</v>
      </c>
      <c r="K31" t="s">
        <v>317</v>
      </c>
      <c r="L31" t="s">
        <v>398</v>
      </c>
      <c r="M31" t="s">
        <v>13</v>
      </c>
      <c r="N31" t="s">
        <v>399</v>
      </c>
      <c r="O31" t="str">
        <f>IFERROR("IN" &amp; _xlfn.TEXTBEFORE(_xlfn.TEXTAFTER(UPPER(tblShipments4[[#This Row],[Gateway_clean]]),"IN")," ",1),"")</f>
        <v>INMUN1</v>
      </c>
      <c r="P31" t="str">
        <f>SUBSTITUTE(tblShipments4[[#This Row],[Gateway]], CHAR(10), " ")</f>
        <v xml:space="preserve">AWB No. Gateway Port Gateway EGM No. Gateway EGM Date Gateway Site ID Error Code N.A.  INMUN1  134487  2017-09-04 00:00:00.0  INMUN1  S </v>
      </c>
      <c r="Q31" t="s">
        <v>400</v>
      </c>
    </row>
    <row r="32" spans="1:17" x14ac:dyDescent="0.35">
      <c r="A32" t="s">
        <v>8</v>
      </c>
      <c r="B32">
        <v>8687607</v>
      </c>
      <c r="C32" s="2" t="s">
        <v>741</v>
      </c>
      <c r="D32" s="2" t="str">
        <f>LEFT(TRIM(MID(SUBSTITUTE(tblShipments4[[#This Row],[Details]],CHAR(10)," "), FIND(CHAR(10),tblShipments4[[#This Row],[Details]])+1, 50)), 10)</f>
        <v>0504064011</v>
      </c>
      <c r="E32" t="s">
        <v>742</v>
      </c>
      <c r="F3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 t="str">
        <f>IF(tblShipments4[[#This Row],[EGM no]]="", "Missing EGM", "EGM Submitted")</f>
        <v>EGM Submitted</v>
      </c>
      <c r="H32" t="str">
        <f>IF(OR(ISNUMBER(SEARCH("Released",tblShipments4[[#This Row],[ROSL]])),
      ISNUMBER(SEARCH("Scroll",tblShipments4[[#This Row],[ROSL]])),
      ISNUMBER(SEARCH("Y",tblShipments4[[#This Row],[ROSL]]))),
   "Released",
   "Not Released")</f>
        <v>Released</v>
      </c>
      <c r="I32" t="str">
        <f>IF(OR(tblShipments4[[#This Row],[EGM no]]="", tblShipments4[[#This Row],[EGM no]]="N.A."), "Not Submitted", "Submitted")</f>
        <v>Submitted</v>
      </c>
      <c r="J32" t="str">
        <f>IF(LEFT(tblShipments4[[#This Row],[Gateway_Extracted]],2)="IN","Valid","Invalid")</f>
        <v>Valid</v>
      </c>
      <c r="K32" t="s">
        <v>743</v>
      </c>
      <c r="L32" t="s">
        <v>744</v>
      </c>
      <c r="M32" t="s">
        <v>13</v>
      </c>
      <c r="N32" t="s">
        <v>745</v>
      </c>
      <c r="O32" t="str">
        <f>IFERROR("IN" &amp; _xlfn.TEXTBEFORE(_xlfn.TEXTAFTER(UPPER(tblShipments4[[#This Row],[Gateway_clean]]),"IN")," ",1),"")</f>
        <v>INMUN1</v>
      </c>
      <c r="P32" t="str">
        <f>SUBSTITUTE(tblShipments4[[#This Row],[Gateway]], CHAR(10), " ")</f>
        <v xml:space="preserve">AWB No. Gateway Port Gateway EGM No. Gateway EGM Date Gateway Site ID Error Code N.A.  INMUN1  148326  2018-04-13 00:00:00.0  INMUN1  S </v>
      </c>
      <c r="Q32" t="s">
        <v>746</v>
      </c>
    </row>
    <row r="33" spans="1:17" x14ac:dyDescent="0.35">
      <c r="A33" t="s">
        <v>8</v>
      </c>
      <c r="B33">
        <v>1274037</v>
      </c>
      <c r="C33" s="2" t="s">
        <v>1373</v>
      </c>
      <c r="D33" s="2" t="str">
        <f>LEFT(TRIM(MID(SUBSTITUTE(tblShipments4[[#This Row],[Details]],CHAR(10)," "), FIND(CHAR(10),tblShipments4[[#This Row],[Details]])+1, 50)), 10)</f>
        <v>0504077104</v>
      </c>
      <c r="E33" t="s">
        <v>1378</v>
      </c>
      <c r="F3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 t="str">
        <f>IF(tblShipments4[[#This Row],[EGM no]]="", "Missing EGM", "EGM Submitted")</f>
        <v>EGM Submitted</v>
      </c>
      <c r="H33" t="str">
        <f>IF(OR(ISNUMBER(SEARCH("Released",tblShipments4[[#This Row],[ROSL]])),
      ISNUMBER(SEARCH("Scroll",tblShipments4[[#This Row],[ROSL]])),
      ISNUMBER(SEARCH("Y",tblShipments4[[#This Row],[ROSL]]))),
   "Released",
   "Not Released")</f>
        <v>Released</v>
      </c>
      <c r="I33" t="str">
        <f>IF(OR(tblShipments4[[#This Row],[EGM no]]="", tblShipments4[[#This Row],[EGM no]]="N.A."), "Not Submitted", "Submitted")</f>
        <v>Submitted</v>
      </c>
      <c r="J33" t="str">
        <f>IF(LEFT(tblShipments4[[#This Row],[Gateway_Extracted]],2)="IN","Valid","Invalid")</f>
        <v>Valid</v>
      </c>
      <c r="K33" t="s">
        <v>1379</v>
      </c>
      <c r="L33" t="s">
        <v>1380</v>
      </c>
      <c r="M33" t="s">
        <v>13</v>
      </c>
      <c r="N33" t="s">
        <v>1381</v>
      </c>
      <c r="O33" t="str">
        <f>IFERROR("IN" &amp; _xlfn.TEXTBEFORE(_xlfn.TEXTAFTER(UPPER(tblShipments4[[#This Row],[Gateway_clean]]),"IN")," ",1),"")</f>
        <v>INMUN1</v>
      </c>
      <c r="P33" t="str">
        <f>SUBSTITUTE(tblShipments4[[#This Row],[Gateway]], CHAR(10), " ")</f>
        <v xml:space="preserve">AWB No. Gateway Port Gateway EGM No. Gateway EGM Date Gateway Site ID Error Code N.A.  INMUN1  140925  2017-12-19 00:00:00.0  INMUN1  S </v>
      </c>
      <c r="Q33" t="s">
        <v>1382</v>
      </c>
    </row>
    <row r="34" spans="1:17" x14ac:dyDescent="0.35">
      <c r="A34" t="s">
        <v>8</v>
      </c>
      <c r="B34">
        <v>1364053</v>
      </c>
      <c r="C34" s="2" t="s">
        <v>1436</v>
      </c>
      <c r="D34" s="2" t="str">
        <f>LEFT(TRIM(MID(SUBSTITUTE(tblShipments4[[#This Row],[Details]],CHAR(10)," "), FIND(CHAR(10),tblShipments4[[#This Row],[Details]])+1, 50)), 10)</f>
        <v>0504077171</v>
      </c>
      <c r="E34" t="s">
        <v>1437</v>
      </c>
      <c r="F3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 t="str">
        <f>IF(tblShipments4[[#This Row],[EGM no]]="", "Missing EGM", "EGM Submitted")</f>
        <v>EGM Submitted</v>
      </c>
      <c r="H34" t="str">
        <f>IF(OR(ISNUMBER(SEARCH("Released",tblShipments4[[#This Row],[ROSL]])),
      ISNUMBER(SEARCH("Scroll",tblShipments4[[#This Row],[ROSL]])),
      ISNUMBER(SEARCH("Y",tblShipments4[[#This Row],[ROSL]]))),
   "Released",
   "Not Released")</f>
        <v>Released</v>
      </c>
      <c r="I34" t="str">
        <f>IF(OR(tblShipments4[[#This Row],[EGM no]]="", tblShipments4[[#This Row],[EGM no]]="N.A."), "Not Submitted", "Submitted")</f>
        <v>Submitted</v>
      </c>
      <c r="J34" t="str">
        <f>IF(LEFT(tblShipments4[[#This Row],[Gateway_Extracted]],2)="IN","Valid","Invalid")</f>
        <v>Valid</v>
      </c>
      <c r="K34" t="s">
        <v>1438</v>
      </c>
      <c r="L34" t="s">
        <v>1439</v>
      </c>
      <c r="M34" t="s">
        <v>31</v>
      </c>
      <c r="N34" t="s">
        <v>1440</v>
      </c>
      <c r="O34" t="str">
        <f>IFERROR("IN" &amp; _xlfn.TEXTBEFORE(_xlfn.TEXTAFTER(UPPER(tblShipments4[[#This Row],[Gateway_clean]]),"IN")," ",1),"")</f>
        <v>INMUN1</v>
      </c>
      <c r="P34" t="str">
        <f>SUBSTITUTE(tblShipments4[[#This Row],[Gateway]], CHAR(10), " ")</f>
        <v xml:space="preserve">AWB No. Gateway Port Gateway EGM No. Gateway EGM Date Gateway Site ID Error Code N.A.  INMUN1  140290  2017-12-07 00:00:00.0  INMUN1  S </v>
      </c>
      <c r="Q34" t="s">
        <v>1441</v>
      </c>
    </row>
    <row r="35" spans="1:17" x14ac:dyDescent="0.35">
      <c r="A35" t="s">
        <v>8</v>
      </c>
      <c r="B35">
        <v>1773410</v>
      </c>
      <c r="C35" s="2" t="s">
        <v>1633</v>
      </c>
      <c r="D35" s="2" t="str">
        <f>LEFT(TRIM(MID(SUBSTITUTE(tblShipments4[[#This Row],[Details]],CHAR(10)," "), FIND(CHAR(10),tblShipments4[[#This Row],[Details]])+1, 50)), 10)</f>
        <v>0504077171</v>
      </c>
      <c r="E35" t="s">
        <v>1634</v>
      </c>
      <c r="F3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 t="str">
        <f>IF(tblShipments4[[#This Row],[EGM no]]="", "Missing EGM", "EGM Submitted")</f>
        <v>EGM Submitted</v>
      </c>
      <c r="H35" t="str">
        <f>IF(OR(ISNUMBER(SEARCH("Released",tblShipments4[[#This Row],[ROSL]])),
      ISNUMBER(SEARCH("Scroll",tblShipments4[[#This Row],[ROSL]])),
      ISNUMBER(SEARCH("Y",tblShipments4[[#This Row],[ROSL]]))),
   "Released",
   "Not Released")</f>
        <v>Released</v>
      </c>
      <c r="I35" t="str">
        <f>IF(OR(tblShipments4[[#This Row],[EGM no]]="", tblShipments4[[#This Row],[EGM no]]="N.A."), "Not Submitted", "Submitted")</f>
        <v>Submitted</v>
      </c>
      <c r="J35" t="str">
        <f>IF(LEFT(tblShipments4[[#This Row],[Gateway_Extracted]],2)="IN","Valid","Invalid")</f>
        <v>Valid</v>
      </c>
      <c r="K35" t="s">
        <v>1635</v>
      </c>
      <c r="L35" t="s">
        <v>1636</v>
      </c>
      <c r="M35" t="s">
        <v>31</v>
      </c>
      <c r="N35" t="s">
        <v>1637</v>
      </c>
      <c r="O35" t="str">
        <f>IFERROR("IN" &amp; _xlfn.TEXTBEFORE(_xlfn.TEXTAFTER(UPPER(tblShipments4[[#This Row],[Gateway_clean]]),"IN")," ",1),"")</f>
        <v>INMUN1</v>
      </c>
      <c r="P35" t="str">
        <f>SUBSTITUTE(tblShipments4[[#This Row],[Gateway]], CHAR(10), " ")</f>
        <v xml:space="preserve">AWB No. Gateway Port Gateway EGM No. Gateway EGM Date Gateway Site ID Error Code N.A.  INMUN1  142133  2018-01-08 00:00:00.0  INMUN1  S </v>
      </c>
      <c r="Q35" t="s">
        <v>1638</v>
      </c>
    </row>
    <row r="36" spans="1:17" x14ac:dyDescent="0.35">
      <c r="A36" t="s">
        <v>8</v>
      </c>
      <c r="B36">
        <v>1808535</v>
      </c>
      <c r="C36" s="2" t="s">
        <v>1657</v>
      </c>
      <c r="D36" s="2" t="str">
        <f>LEFT(TRIM(MID(SUBSTITUTE(tblShipments4[[#This Row],[Details]],CHAR(10)," "), FIND(CHAR(10),tblShipments4[[#This Row],[Details]])+1, 50)), 10)</f>
        <v>0504077171</v>
      </c>
      <c r="E36" t="s">
        <v>1658</v>
      </c>
      <c r="F3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 t="str">
        <f>IF(tblShipments4[[#This Row],[EGM no]]="", "Missing EGM", "EGM Submitted")</f>
        <v>EGM Submitted</v>
      </c>
      <c r="H36" t="str">
        <f>IF(OR(ISNUMBER(SEARCH("Released",tblShipments4[[#This Row],[ROSL]])),
      ISNUMBER(SEARCH("Scroll",tblShipments4[[#This Row],[ROSL]])),
      ISNUMBER(SEARCH("Y",tblShipments4[[#This Row],[ROSL]]))),
   "Released",
   "Not Released")</f>
        <v>Released</v>
      </c>
      <c r="I36" t="str">
        <f>IF(OR(tblShipments4[[#This Row],[EGM no]]="", tblShipments4[[#This Row],[EGM no]]="N.A."), "Not Submitted", "Submitted")</f>
        <v>Submitted</v>
      </c>
      <c r="J36" t="str">
        <f>IF(LEFT(tblShipments4[[#This Row],[Gateway_Extracted]],2)="IN","Valid","Invalid")</f>
        <v>Valid</v>
      </c>
      <c r="K36" t="s">
        <v>1659</v>
      </c>
      <c r="L36" t="s">
        <v>1660</v>
      </c>
      <c r="M36" t="s">
        <v>31</v>
      </c>
      <c r="N36" t="s">
        <v>1661</v>
      </c>
      <c r="O36" t="str">
        <f>IFERROR("IN" &amp; _xlfn.TEXTBEFORE(_xlfn.TEXTAFTER(UPPER(tblShipments4[[#This Row],[Gateway_clean]]),"IN")," ",1),"")</f>
        <v>INMUN1</v>
      </c>
      <c r="P36" t="str">
        <f>SUBSTITUTE(tblShipments4[[#This Row],[Gateway]], CHAR(10), " ")</f>
        <v xml:space="preserve">AWB No. Gateway Port Gateway EGM No. Gateway EGM Date Gateway Site ID Error Code N.A.  INMUN1  142133  2018-01-08 00:00:00.0  INMUN1  S </v>
      </c>
      <c r="Q36" t="s">
        <v>1638</v>
      </c>
    </row>
    <row r="37" spans="1:17" x14ac:dyDescent="0.35">
      <c r="A37" t="s">
        <v>8</v>
      </c>
      <c r="B37">
        <v>1838515</v>
      </c>
      <c r="C37" s="2" t="s">
        <v>1677</v>
      </c>
      <c r="D37" s="2" t="str">
        <f>LEFT(TRIM(MID(SUBSTITUTE(tblShipments4[[#This Row],[Details]],CHAR(10)," "), FIND(CHAR(10),tblShipments4[[#This Row],[Details]])+1, 50)), 10)</f>
        <v>0504077171</v>
      </c>
      <c r="E37" t="s">
        <v>1678</v>
      </c>
      <c r="F3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 t="str">
        <f>IF(tblShipments4[[#This Row],[EGM no]]="", "Missing EGM", "EGM Submitted")</f>
        <v>EGM Submitted</v>
      </c>
      <c r="H37" t="str">
        <f>IF(OR(ISNUMBER(SEARCH("Released",tblShipments4[[#This Row],[ROSL]])),
      ISNUMBER(SEARCH("Scroll",tblShipments4[[#This Row],[ROSL]])),
      ISNUMBER(SEARCH("Y",tblShipments4[[#This Row],[ROSL]]))),
   "Released",
   "Not Released")</f>
        <v>Released</v>
      </c>
      <c r="I37" t="str">
        <f>IF(OR(tblShipments4[[#This Row],[EGM no]]="", tblShipments4[[#This Row],[EGM no]]="N.A."), "Not Submitted", "Submitted")</f>
        <v>Submitted</v>
      </c>
      <c r="J37" t="str">
        <f>IF(LEFT(tblShipments4[[#This Row],[Gateway_Extracted]],2)="IN","Valid","Invalid")</f>
        <v>Valid</v>
      </c>
      <c r="K37" t="s">
        <v>1679</v>
      </c>
      <c r="L37" t="s">
        <v>1680</v>
      </c>
      <c r="M37" t="s">
        <v>31</v>
      </c>
      <c r="N37" t="s">
        <v>1681</v>
      </c>
      <c r="O37" t="str">
        <f>IFERROR("IN" &amp; _xlfn.TEXTBEFORE(_xlfn.TEXTAFTER(UPPER(tblShipments4[[#This Row],[Gateway_clean]]),"IN")," ",1),"")</f>
        <v>INMUN1</v>
      </c>
      <c r="P37" t="str">
        <f>SUBSTITUTE(tblShipments4[[#This Row],[Gateway]], CHAR(10), " ")</f>
        <v xml:space="preserve">AWB No. Gateway Port Gateway EGM No. Gateway EGM Date Gateway Site ID Error Code N.A.  INMUN1  142479  2018-01-12 00:00:00.0  INMUN1  S </v>
      </c>
      <c r="Q37" t="s">
        <v>1682</v>
      </c>
    </row>
    <row r="38" spans="1:17" x14ac:dyDescent="0.35">
      <c r="A38" t="s">
        <v>8</v>
      </c>
      <c r="B38">
        <v>8513208</v>
      </c>
      <c r="C38" s="2" t="s">
        <v>633</v>
      </c>
      <c r="D38" s="2" t="str">
        <f>LEFT(TRIM(MID(SUBSTITUTE(tblShipments4[[#This Row],[Details]],CHAR(10)," "), FIND(CHAR(10),tblShipments4[[#This Row],[Details]])+1, 50)), 10)</f>
        <v>0505032473</v>
      </c>
      <c r="E38" t="s">
        <v>638</v>
      </c>
      <c r="F3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8" t="str">
        <f>IF(tblShipments4[[#This Row],[EGM no]]="", "Missing EGM", "EGM Submitted")</f>
        <v>EGM Submitted</v>
      </c>
      <c r="H38" t="str">
        <f>IF(OR(ISNUMBER(SEARCH("Released",tblShipments4[[#This Row],[ROSL]])),
      ISNUMBER(SEARCH("Scroll",tblShipments4[[#This Row],[ROSL]])),
      ISNUMBER(SEARCH("Y",tblShipments4[[#This Row],[ROSL]]))),
   "Released",
   "Not Released")</f>
        <v>Released</v>
      </c>
      <c r="I38" t="str">
        <f>IF(OR(tblShipments4[[#This Row],[EGM no]]="", tblShipments4[[#This Row],[EGM no]]="N.A."), "Not Submitted", "Submitted")</f>
        <v>Submitted</v>
      </c>
      <c r="J38" t="str">
        <f>IF(LEFT(tblShipments4[[#This Row],[Gateway_Extracted]],2)="IN","Valid","Invalid")</f>
        <v>Valid</v>
      </c>
      <c r="K38" t="s">
        <v>639</v>
      </c>
      <c r="L38" t="s">
        <v>640</v>
      </c>
      <c r="M38" t="s">
        <v>13</v>
      </c>
      <c r="N38" t="s">
        <v>641</v>
      </c>
      <c r="O38" t="str">
        <f>IFERROR("IN" &amp; _xlfn.TEXTBEFORE(_xlfn.TEXTAFTER(UPPER(tblShipments4[[#This Row],[Gateway_clean]]),"IN")," ",1),"")</f>
        <v>INMUN1</v>
      </c>
      <c r="P38" t="str">
        <f>SUBSTITUTE(tblShipments4[[#This Row],[Gateway]], CHAR(10), " ")</f>
        <v xml:space="preserve">AWB No. Gateway Port Gateway EGM No. Gateway EGM Date Gateway Site ID Error Code N.A.  INMUN1  135462  2017-09-20 00:00:00.0  INMUN1  S </v>
      </c>
      <c r="Q38" t="s">
        <v>642</v>
      </c>
    </row>
    <row r="39" spans="1:17" x14ac:dyDescent="0.35">
      <c r="A39" t="s">
        <v>8</v>
      </c>
      <c r="B39">
        <v>8304313</v>
      </c>
      <c r="C39" s="2" t="s">
        <v>489</v>
      </c>
      <c r="D39" s="2" t="str">
        <f>LEFT(TRIM(MID(SUBSTITUTE(tblShipments4[[#This Row],[Details]],CHAR(10)," "), FIND(CHAR(10),tblShipments4[[#This Row],[Details]])+1, 50)), 10)</f>
        <v>0505088681</v>
      </c>
      <c r="E39" t="s">
        <v>490</v>
      </c>
      <c r="F3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9" t="str">
        <f>IF(tblShipments4[[#This Row],[EGM no]]="", "Missing EGM", "EGM Submitted")</f>
        <v>EGM Submitted</v>
      </c>
      <c r="H39" t="str">
        <f>IF(OR(ISNUMBER(SEARCH("Released",tblShipments4[[#This Row],[ROSL]])),
      ISNUMBER(SEARCH("Scroll",tblShipments4[[#This Row],[ROSL]])),
      ISNUMBER(SEARCH("Y",tblShipments4[[#This Row],[ROSL]]))),
   "Released",
   "Not Released")</f>
        <v>Released</v>
      </c>
      <c r="I39" t="str">
        <f>IF(OR(tblShipments4[[#This Row],[EGM no]]="", tblShipments4[[#This Row],[EGM no]]="N.A."), "Not Submitted", "Submitted")</f>
        <v>Submitted</v>
      </c>
      <c r="J39" t="str">
        <f>IF(LEFT(tblShipments4[[#This Row],[Gateway_Extracted]],2)="IN","Valid","Invalid")</f>
        <v>Valid</v>
      </c>
      <c r="K39" t="s">
        <v>382</v>
      </c>
      <c r="L39" t="s">
        <v>491</v>
      </c>
      <c r="M39" t="s">
        <v>13</v>
      </c>
      <c r="N39" t="s">
        <v>492</v>
      </c>
      <c r="O39" t="str">
        <f>IFERROR("IN" &amp; _xlfn.TEXTBEFORE(_xlfn.TEXTAFTER(UPPER(tblShipments4[[#This Row],[Gateway_clean]]),"IN")," ",1),"")</f>
        <v>INMUN1</v>
      </c>
      <c r="P39" t="str">
        <f>SUBSTITUTE(tblShipments4[[#This Row],[Gateway]], CHAR(10), " ")</f>
        <v xml:space="preserve">AWB No. Gateway Port Gateway EGM No. Gateway EGM Date Gateway Site ID Error Code N.A.  INMUN1  134406  2017-09-01 00:00:00.0  INMUN1  S </v>
      </c>
      <c r="Q39" t="s">
        <v>493</v>
      </c>
    </row>
    <row r="40" spans="1:17" x14ac:dyDescent="0.35">
      <c r="A40" t="s">
        <v>8</v>
      </c>
      <c r="B40">
        <v>8375057</v>
      </c>
      <c r="C40" s="2" t="s">
        <v>532</v>
      </c>
      <c r="D40" s="2" t="str">
        <f>LEFT(TRIM(MID(SUBSTITUTE(tblShipments4[[#This Row],[Details]],CHAR(10)," "), FIND(CHAR(10),tblShipments4[[#This Row],[Details]])+1, 50)), 10)</f>
        <v>0506035182</v>
      </c>
      <c r="E40" t="s">
        <v>544</v>
      </c>
      <c r="F4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0" t="str">
        <f>IF(tblShipments4[[#This Row],[EGM no]]="", "Missing EGM", "EGM Submitted")</f>
        <v>EGM Submitted</v>
      </c>
      <c r="H40" t="str">
        <f>IF(OR(ISNUMBER(SEARCH("Released",tblShipments4[[#This Row],[ROSL]])),
      ISNUMBER(SEARCH("Scroll",tblShipments4[[#This Row],[ROSL]])),
      ISNUMBER(SEARCH("Y",tblShipments4[[#This Row],[ROSL]]))),
   "Released",
   "Not Released")</f>
        <v>Released</v>
      </c>
      <c r="I40" t="str">
        <f>IF(OR(tblShipments4[[#This Row],[EGM no]]="", tblShipments4[[#This Row],[EGM no]]="N.A."), "Not Submitted", "Submitted")</f>
        <v>Submitted</v>
      </c>
      <c r="J40" t="str">
        <f>IF(LEFT(tblShipments4[[#This Row],[Gateway_Extracted]],2)="IN","Valid","Invalid")</f>
        <v>Valid</v>
      </c>
      <c r="K40" t="s">
        <v>545</v>
      </c>
      <c r="L40" t="s">
        <v>546</v>
      </c>
      <c r="M40" t="s">
        <v>13</v>
      </c>
      <c r="N40" t="s">
        <v>547</v>
      </c>
      <c r="O40" t="str">
        <f>IFERROR("IN" &amp; _xlfn.TEXTBEFORE(_xlfn.TEXTAFTER(UPPER(tblShipments4[[#This Row],[Gateway_clean]]),"IN")," ",1),"")</f>
        <v>INMUN1</v>
      </c>
      <c r="P40" t="str">
        <f>SUBSTITUTE(tblShipments4[[#This Row],[Gateway]], CHAR(10), " ")</f>
        <v xml:space="preserve">AWB No. Gateway Port Gateway EGM No. Gateway EGM Date Gateway Site ID Error Code N.A.  INMUN1  N.A.  N.A.  N.A.  N.A. </v>
      </c>
      <c r="Q40" t="s">
        <v>244</v>
      </c>
    </row>
    <row r="41" spans="1:17" x14ac:dyDescent="0.35">
      <c r="A41" t="s">
        <v>8</v>
      </c>
      <c r="B41">
        <v>7891796</v>
      </c>
      <c r="C41" s="2" t="s">
        <v>208</v>
      </c>
      <c r="D41" s="2" t="str">
        <f>LEFT(TRIM(MID(SUBSTITUTE(tblShipments4[[#This Row],[Details]],CHAR(10)," "), FIND(CHAR(10),tblShipments4[[#This Row],[Details]])+1, 50)), 10)</f>
        <v>0506054306</v>
      </c>
      <c r="E41" t="s">
        <v>217</v>
      </c>
      <c r="F4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1" t="str">
        <f>IF(tblShipments4[[#This Row],[EGM no]]="", "Missing EGM", "EGM Submitted")</f>
        <v>EGM Submitted</v>
      </c>
      <c r="H41" t="str">
        <f>IF(OR(ISNUMBER(SEARCH("Released",tblShipments4[[#This Row],[ROSL]])),
      ISNUMBER(SEARCH("Scroll",tblShipments4[[#This Row],[ROSL]])),
      ISNUMBER(SEARCH("Y",tblShipments4[[#This Row],[ROSL]]))),
   "Released",
   "Not Released")</f>
        <v>Released</v>
      </c>
      <c r="I41" t="str">
        <f>IF(OR(tblShipments4[[#This Row],[EGM no]]="", tblShipments4[[#This Row],[EGM no]]="N.A."), "Not Submitted", "Submitted")</f>
        <v>Submitted</v>
      </c>
      <c r="J41" t="str">
        <f>IF(LEFT(tblShipments4[[#This Row],[Gateway_Extracted]],2)="IN","Valid","Invalid")</f>
        <v>Valid</v>
      </c>
      <c r="K41" t="s">
        <v>122</v>
      </c>
      <c r="L41" t="s">
        <v>218</v>
      </c>
      <c r="M41" t="s">
        <v>13</v>
      </c>
      <c r="N41" t="s">
        <v>219</v>
      </c>
      <c r="O41" t="str">
        <f>IFERROR("IN" &amp; _xlfn.TEXTBEFORE(_xlfn.TEXTAFTER(UPPER(tblShipments4[[#This Row],[Gateway_clean]]),"IN")," ",1),"")</f>
        <v>INMUN1</v>
      </c>
      <c r="P41" t="str">
        <f>SUBSTITUTE(tblShipments4[[#This Row],[Gateway]], CHAR(10), " ")</f>
        <v xml:space="preserve">AWB No. Gateway Port Gateway EGM No. Gateway EGM Date Gateway Site ID Error Code N.A.  INMUN1  133566  2017-08-18 00:00:00.0  INMUN1  S </v>
      </c>
      <c r="Q41" t="s">
        <v>220</v>
      </c>
    </row>
    <row r="42" spans="1:17" x14ac:dyDescent="0.35">
      <c r="A42" t="s">
        <v>8</v>
      </c>
      <c r="B42">
        <v>8234289</v>
      </c>
      <c r="C42" s="2" t="s">
        <v>442</v>
      </c>
      <c r="D42" s="2" t="str">
        <f>LEFT(TRIM(MID(SUBSTITUTE(tblShipments4[[#This Row],[Details]],CHAR(10)," "), FIND(CHAR(10),tblShipments4[[#This Row],[Details]])+1, 50)), 10)</f>
        <v>0507001061</v>
      </c>
      <c r="E42" t="s">
        <v>443</v>
      </c>
      <c r="F4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2" t="str">
        <f>IF(tblShipments4[[#This Row],[EGM no]]="", "Missing EGM", "EGM Submitted")</f>
        <v>EGM Submitted</v>
      </c>
      <c r="H42" t="str">
        <f>IF(OR(ISNUMBER(SEARCH("Released",tblShipments4[[#This Row],[ROSL]])),
      ISNUMBER(SEARCH("Scroll",tblShipments4[[#This Row],[ROSL]])),
      ISNUMBER(SEARCH("Y",tblShipments4[[#This Row],[ROSL]]))),
   "Released",
   "Not Released")</f>
        <v>Released</v>
      </c>
      <c r="I42" t="str">
        <f>IF(OR(tblShipments4[[#This Row],[EGM no]]="", tblShipments4[[#This Row],[EGM no]]="N.A."), "Not Submitted", "Submitted")</f>
        <v>Submitted</v>
      </c>
      <c r="J42" t="str">
        <f>IF(LEFT(tblShipments4[[#This Row],[Gateway_Extracted]],2)="IN","Valid","Invalid")</f>
        <v>Valid</v>
      </c>
      <c r="K42" t="s">
        <v>444</v>
      </c>
      <c r="L42" t="s">
        <v>445</v>
      </c>
      <c r="M42" t="s">
        <v>13</v>
      </c>
      <c r="N42" t="s">
        <v>446</v>
      </c>
      <c r="O42" t="str">
        <f>IFERROR("IN" &amp; _xlfn.TEXTBEFORE(_xlfn.TEXTAFTER(UPPER(tblShipments4[[#This Row],[Gateway_clean]]),"IN")," ",1),"")</f>
        <v>INMUN1</v>
      </c>
      <c r="P42" t="str">
        <f>SUBSTITUTE(tblShipments4[[#This Row],[Gateway]], CHAR(10), " ")</f>
        <v xml:space="preserve">AWB No. Gateway Port Gateway EGM No. Gateway EGM Date Gateway Site ID Error Code N.A.  INMUN1  134487  2017-09-04 00:00:00.0  INMUN1  S </v>
      </c>
      <c r="Q42" t="s">
        <v>400</v>
      </c>
    </row>
    <row r="43" spans="1:17" x14ac:dyDescent="0.35">
      <c r="A43" t="s">
        <v>8</v>
      </c>
      <c r="B43">
        <v>8201692</v>
      </c>
      <c r="C43" s="2" t="s">
        <v>409</v>
      </c>
      <c r="D43" s="2" t="str">
        <f>LEFT(TRIM(MID(SUBSTITUTE(tblShipments4[[#This Row],[Details]],CHAR(10)," "), FIND(CHAR(10),tblShipments4[[#This Row],[Details]])+1, 50)), 10)</f>
        <v>0507042034</v>
      </c>
      <c r="E43" t="s">
        <v>410</v>
      </c>
      <c r="F4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3" t="str">
        <f>IF(tblShipments4[[#This Row],[EGM no]]="", "Missing EGM", "EGM Submitted")</f>
        <v>EGM Submitted</v>
      </c>
      <c r="H43" t="str">
        <f>IF(OR(ISNUMBER(SEARCH("Released",tblShipments4[[#This Row],[ROSL]])),
      ISNUMBER(SEARCH("Scroll",tblShipments4[[#This Row],[ROSL]])),
      ISNUMBER(SEARCH("Y",tblShipments4[[#This Row],[ROSL]]))),
   "Released",
   "Not Released")</f>
        <v>Released</v>
      </c>
      <c r="I43" t="str">
        <f>IF(OR(tblShipments4[[#This Row],[EGM no]]="", tblShipments4[[#This Row],[EGM no]]="N.A."), "Not Submitted", "Submitted")</f>
        <v>Submitted</v>
      </c>
      <c r="J43" t="str">
        <f>IF(LEFT(tblShipments4[[#This Row],[Gateway_Extracted]],2)="IN","Valid","Invalid")</f>
        <v>Valid</v>
      </c>
      <c r="K43" t="s">
        <v>374</v>
      </c>
      <c r="L43" t="s">
        <v>411</v>
      </c>
      <c r="M43" t="s">
        <v>13</v>
      </c>
      <c r="N43" t="s">
        <v>412</v>
      </c>
      <c r="O43" t="str">
        <f>IFERROR("IN" &amp; _xlfn.TEXTBEFORE(_xlfn.TEXTAFTER(UPPER(tblShipments4[[#This Row],[Gateway_clean]]),"IN")," ",1),"")</f>
        <v>INMUN1</v>
      </c>
      <c r="P43" t="str">
        <f>SUBSTITUTE(tblShipments4[[#This Row],[Gateway]], CHAR(10), " ")</f>
        <v xml:space="preserve">AWB No. Gateway Port Gateway EGM No. Gateway EGM Date Gateway Site ID Error Code N.A.  INMUN1  133789  2017-08-23 00:00:00.0  INMUN1  S </v>
      </c>
      <c r="Q43" t="s">
        <v>413</v>
      </c>
    </row>
    <row r="44" spans="1:17" x14ac:dyDescent="0.35">
      <c r="A44" t="s">
        <v>8</v>
      </c>
      <c r="B44">
        <v>8090388</v>
      </c>
      <c r="C44" s="2" t="s">
        <v>334</v>
      </c>
      <c r="D44" s="2" t="str">
        <f>LEFT(TRIM(MID(SUBSTITUTE(tblShipments4[[#This Row],[Details]],CHAR(10)," "), FIND(CHAR(10),tblShipments4[[#This Row],[Details]])+1, 50)), 10)</f>
        <v>0507062884</v>
      </c>
      <c r="E44" t="s">
        <v>340</v>
      </c>
      <c r="F4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4" t="str">
        <f>IF(tblShipments4[[#This Row],[EGM no]]="", "Missing EGM", "EGM Submitted")</f>
        <v>EGM Submitted</v>
      </c>
      <c r="H44" t="str">
        <f>IF(OR(ISNUMBER(SEARCH("Released",tblShipments4[[#This Row],[ROSL]])),
      ISNUMBER(SEARCH("Scroll",tblShipments4[[#This Row],[ROSL]])),
      ISNUMBER(SEARCH("Y",tblShipments4[[#This Row],[ROSL]]))),
   "Released",
   "Not Released")</f>
        <v>Released</v>
      </c>
      <c r="I44" t="str">
        <f>IF(OR(tblShipments4[[#This Row],[EGM no]]="", tblShipments4[[#This Row],[EGM no]]="N.A."), "Not Submitted", "Submitted")</f>
        <v>Submitted</v>
      </c>
      <c r="J44" t="str">
        <f>IF(LEFT(tblShipments4[[#This Row],[Gateway_Extracted]],2)="IN","Valid","Invalid")</f>
        <v>Valid</v>
      </c>
      <c r="K44" t="s">
        <v>261</v>
      </c>
      <c r="L44" t="s">
        <v>341</v>
      </c>
      <c r="M44" t="s">
        <v>13</v>
      </c>
      <c r="N44" t="s">
        <v>342</v>
      </c>
      <c r="O44" t="str">
        <f>IFERROR("IN" &amp; _xlfn.TEXTBEFORE(_xlfn.TEXTAFTER(UPPER(tblShipments4[[#This Row],[Gateway_clean]]),"IN")," ",1),"")</f>
        <v>INMUN1</v>
      </c>
      <c r="P44" t="str">
        <f>SUBSTITUTE(tblShipments4[[#This Row],[Gateway]], CHAR(10), " ")</f>
        <v xml:space="preserve">AWB No. Gateway Port Gateway EGM No. Gateway EGM Date Gateway Site ID Error Code N.A.  INMUN1  134147  2017-08-29 00:00:00.0  INMUN1  S </v>
      </c>
      <c r="Q44" t="s">
        <v>275</v>
      </c>
    </row>
    <row r="45" spans="1:17" x14ac:dyDescent="0.35">
      <c r="A45" t="s">
        <v>8</v>
      </c>
      <c r="B45">
        <v>8305029</v>
      </c>
      <c r="C45" s="2" t="s">
        <v>489</v>
      </c>
      <c r="D45" s="2" t="str">
        <f>LEFT(TRIM(MID(SUBSTITUTE(tblShipments4[[#This Row],[Details]],CHAR(10)," "), FIND(CHAR(10),tblShipments4[[#This Row],[Details]])+1, 50)), 10)</f>
        <v>0507062884</v>
      </c>
      <c r="E45" t="s">
        <v>494</v>
      </c>
      <c r="F4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5" t="str">
        <f>IF(tblShipments4[[#This Row],[EGM no]]="", "Missing EGM", "EGM Submitted")</f>
        <v>EGM Submitted</v>
      </c>
      <c r="H45" t="str">
        <f>IF(OR(ISNUMBER(SEARCH("Released",tblShipments4[[#This Row],[ROSL]])),
      ISNUMBER(SEARCH("Scroll",tblShipments4[[#This Row],[ROSL]])),
      ISNUMBER(SEARCH("Y",tblShipments4[[#This Row],[ROSL]]))),
   "Released",
   "Not Released")</f>
        <v>Released</v>
      </c>
      <c r="I45" t="str">
        <f>IF(OR(tblShipments4[[#This Row],[EGM no]]="", tblShipments4[[#This Row],[EGM no]]="N.A."), "Not Submitted", "Submitted")</f>
        <v>Submitted</v>
      </c>
      <c r="J45" t="str">
        <f>IF(LEFT(tblShipments4[[#This Row],[Gateway_Extracted]],2)="IN","Valid","Invalid")</f>
        <v>Valid</v>
      </c>
      <c r="K45" t="s">
        <v>394</v>
      </c>
      <c r="L45" t="s">
        <v>495</v>
      </c>
      <c r="M45" t="s">
        <v>13</v>
      </c>
      <c r="N45" t="s">
        <v>496</v>
      </c>
      <c r="O45" t="str">
        <f>IFERROR("IN" &amp; _xlfn.TEXTBEFORE(_xlfn.TEXTAFTER(UPPER(tblShipments4[[#This Row],[Gateway_clean]]),"IN")," ",1),"")</f>
        <v>INMUN1</v>
      </c>
      <c r="P45" t="str">
        <f>SUBSTITUTE(tblShipments4[[#This Row],[Gateway]], CHAR(10), " ")</f>
        <v xml:space="preserve">AWB No. Gateway Port Gateway EGM No. Gateway EGM Date Gateway Site ID Error Code N.A.  INMUN1  134923  2017-09-12 00:00:00.0  INMUN1  S </v>
      </c>
      <c r="Q45" t="s">
        <v>497</v>
      </c>
    </row>
    <row r="46" spans="1:17" x14ac:dyDescent="0.35">
      <c r="A46" t="s">
        <v>8</v>
      </c>
      <c r="B46">
        <v>8486246</v>
      </c>
      <c r="C46" s="2" t="s">
        <v>615</v>
      </c>
      <c r="D46" s="2" t="str">
        <f>LEFT(TRIM(MID(SUBSTITUTE(tblShipments4[[#This Row],[Details]],CHAR(10)," "), FIND(CHAR(10),tblShipments4[[#This Row],[Details]])+1, 50)), 10)</f>
        <v>0507062884</v>
      </c>
      <c r="E46" t="s">
        <v>620</v>
      </c>
      <c r="F4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6" t="str">
        <f>IF(tblShipments4[[#This Row],[EGM no]]="", "Missing EGM", "EGM Submitted")</f>
        <v>EGM Submitted</v>
      </c>
      <c r="H46" t="str">
        <f>IF(OR(ISNUMBER(SEARCH("Released",tblShipments4[[#This Row],[ROSL]])),
      ISNUMBER(SEARCH("Scroll",tblShipments4[[#This Row],[ROSL]])),
      ISNUMBER(SEARCH("Y",tblShipments4[[#This Row],[ROSL]]))),
   "Released",
   "Not Released")</f>
        <v>Released</v>
      </c>
      <c r="I46" t="str">
        <f>IF(OR(tblShipments4[[#This Row],[EGM no]]="", tblShipments4[[#This Row],[EGM no]]="N.A."), "Not Submitted", "Submitted")</f>
        <v>Submitted</v>
      </c>
      <c r="J46" t="str">
        <f>IF(LEFT(tblShipments4[[#This Row],[Gateway_Extracted]],2)="IN","Valid","Invalid")</f>
        <v>Valid</v>
      </c>
      <c r="K46" t="s">
        <v>545</v>
      </c>
      <c r="L46" t="s">
        <v>621</v>
      </c>
      <c r="M46" t="s">
        <v>13</v>
      </c>
      <c r="N46" t="s">
        <v>622</v>
      </c>
      <c r="O46" t="str">
        <f>IFERROR("IN" &amp; _xlfn.TEXTBEFORE(_xlfn.TEXTAFTER(UPPER(tblShipments4[[#This Row],[Gateway_clean]]),"IN")," ",1),"")</f>
        <v>INMUN1</v>
      </c>
      <c r="P46" t="str">
        <f>SUBSTITUTE(tblShipments4[[#This Row],[Gateway]], CHAR(10), " ")</f>
        <v xml:space="preserve">AWB No. Gateway Port Gateway EGM No. Gateway EGM Date Gateway Site ID Error Code N.A.  INMUN1  134923  2017-09-12 00:00:00.0  INMUN1  S </v>
      </c>
      <c r="Q46" t="s">
        <v>497</v>
      </c>
    </row>
    <row r="47" spans="1:17" x14ac:dyDescent="0.35">
      <c r="A47" t="s">
        <v>8</v>
      </c>
      <c r="B47">
        <v>9731029</v>
      </c>
      <c r="C47" s="2" t="s">
        <v>1156</v>
      </c>
      <c r="D47" s="2" t="str">
        <f>LEFT(TRIM(MID(SUBSTITUTE(tblShipments4[[#This Row],[Details]],CHAR(10)," "), FIND(CHAR(10),tblShipments4[[#This Row],[Details]])+1, 50)), 10)</f>
        <v>0507062884</v>
      </c>
      <c r="E47" t="s">
        <v>1164</v>
      </c>
      <c r="F4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7" t="str">
        <f>IF(tblShipments4[[#This Row],[EGM no]]="", "Missing EGM", "EGM Submitted")</f>
        <v>EGM Submitted</v>
      </c>
      <c r="H47" t="str">
        <f>IF(OR(ISNUMBER(SEARCH("Released",tblShipments4[[#This Row],[ROSL]])),
      ISNUMBER(SEARCH("Scroll",tblShipments4[[#This Row],[ROSL]])),
      ISNUMBER(SEARCH("Y",tblShipments4[[#This Row],[ROSL]]))),
   "Released",
   "Not Released")</f>
        <v>Released</v>
      </c>
      <c r="I47" t="str">
        <f>IF(OR(tblShipments4[[#This Row],[EGM no]]="", tblShipments4[[#This Row],[EGM no]]="N.A."), "Not Submitted", "Submitted")</f>
        <v>Submitted</v>
      </c>
      <c r="J47" t="str">
        <f>IF(LEFT(tblShipments4[[#This Row],[Gateway_Extracted]],2)="IN","Valid","Invalid")</f>
        <v>Valid</v>
      </c>
      <c r="K47" t="s">
        <v>1099</v>
      </c>
      <c r="L47" t="s">
        <v>1165</v>
      </c>
      <c r="M47" t="s">
        <v>13</v>
      </c>
      <c r="N47" t="s">
        <v>1166</v>
      </c>
      <c r="O47" t="str">
        <f>IFERROR("IN" &amp; _xlfn.TEXTBEFORE(_xlfn.TEXTAFTER(UPPER(tblShipments4[[#This Row],[Gateway_clean]]),"IN")," ",1),"")</f>
        <v>INMUN1</v>
      </c>
      <c r="P47" t="str">
        <f>SUBSTITUTE(tblShipments4[[#This Row],[Gateway]], CHAR(10), " ")</f>
        <v xml:space="preserve">AWB No. Gateway Port Gateway EGM No. Gateway EGM Date Gateway Site ID Error Code N.A.  INMUN1  137950  2017-11-01 00:00:00.0  INMUN1  S </v>
      </c>
      <c r="Q47" t="s">
        <v>1167</v>
      </c>
    </row>
    <row r="48" spans="1:17" x14ac:dyDescent="0.35">
      <c r="A48" t="s">
        <v>8</v>
      </c>
      <c r="B48">
        <v>8322996</v>
      </c>
      <c r="C48" s="2" t="s">
        <v>498</v>
      </c>
      <c r="D48" s="2" t="str">
        <f>LEFT(TRIM(MID(SUBSTITUTE(tblShipments4[[#This Row],[Details]],CHAR(10)," "), FIND(CHAR(10),tblShipments4[[#This Row],[Details]])+1, 50)), 10)</f>
        <v>0509003061</v>
      </c>
      <c r="E48" t="s">
        <v>499</v>
      </c>
      <c r="F4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8" t="str">
        <f>IF(tblShipments4[[#This Row],[EGM no]]="", "Missing EGM", "EGM Submitted")</f>
        <v>EGM Submitted</v>
      </c>
      <c r="H48" t="str">
        <f>IF(OR(ISNUMBER(SEARCH("Released",tblShipments4[[#This Row],[ROSL]])),
      ISNUMBER(SEARCH("Scroll",tblShipments4[[#This Row],[ROSL]])),
      ISNUMBER(SEARCH("Y",tblShipments4[[#This Row],[ROSL]]))),
   "Released",
   "Not Released")</f>
        <v>Released</v>
      </c>
      <c r="I48" t="str">
        <f>IF(OR(tblShipments4[[#This Row],[EGM no]]="", tblShipments4[[#This Row],[EGM no]]="N.A."), "Not Submitted", "Submitted")</f>
        <v>Submitted</v>
      </c>
      <c r="J48" t="str">
        <f>IF(LEFT(tblShipments4[[#This Row],[Gateway_Extracted]],2)="IN","Valid","Invalid")</f>
        <v>Valid</v>
      </c>
      <c r="K48" t="s">
        <v>394</v>
      </c>
      <c r="L48" t="s">
        <v>500</v>
      </c>
      <c r="M48" t="s">
        <v>13</v>
      </c>
      <c r="N48" t="s">
        <v>501</v>
      </c>
      <c r="O48" t="str">
        <f>IFERROR("IN" &amp; _xlfn.TEXTBEFORE(_xlfn.TEXTAFTER(UPPER(tblShipments4[[#This Row],[Gateway_clean]]),"IN")," ",1),"")</f>
        <v>INMUN1</v>
      </c>
      <c r="P48" t="str">
        <f>SUBSTITUTE(tblShipments4[[#This Row],[Gateway]], CHAR(10), " ")</f>
        <v xml:space="preserve">AWB No. Gateway Port Gateway EGM No. Gateway EGM Date Gateway Site ID Error Code N.A.  INMUN1  132131  2017-07-25 00:00:00.0  INMUN1  S </v>
      </c>
      <c r="Q48" t="s">
        <v>502</v>
      </c>
    </row>
    <row r="49" spans="1:17" x14ac:dyDescent="0.35">
      <c r="A49" t="s">
        <v>8</v>
      </c>
      <c r="B49">
        <v>1254519</v>
      </c>
      <c r="C49" s="2" t="s">
        <v>1336</v>
      </c>
      <c r="D49" s="2" t="str">
        <f>LEFT(TRIM(MID(SUBSTITUTE(tblShipments4[[#This Row],[Details]],CHAR(10)," "), FIND(CHAR(10),tblShipments4[[#This Row],[Details]])+1, 50)), 10)</f>
        <v>0509003061</v>
      </c>
      <c r="E49" t="s">
        <v>1359</v>
      </c>
      <c r="F4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49" t="str">
        <f>IF(tblShipments4[[#This Row],[EGM no]]="", "Missing EGM", "EGM Submitted")</f>
        <v>EGM Submitted</v>
      </c>
      <c r="H49" t="str">
        <f>IF(OR(ISNUMBER(SEARCH("Released",tblShipments4[[#This Row],[ROSL]])),
      ISNUMBER(SEARCH("Scroll",tblShipments4[[#This Row],[ROSL]])),
      ISNUMBER(SEARCH("Y",tblShipments4[[#This Row],[ROSL]]))),
   "Released",
   "Not Released")</f>
        <v>Released</v>
      </c>
      <c r="I49" t="str">
        <f>IF(OR(tblShipments4[[#This Row],[EGM no]]="", tblShipments4[[#This Row],[EGM no]]="N.A."), "Not Submitted", "Submitted")</f>
        <v>Submitted</v>
      </c>
      <c r="J49" t="str">
        <f>IF(LEFT(tblShipments4[[#This Row],[Gateway_Extracted]],2)="IN","Valid","Invalid")</f>
        <v>Valid</v>
      </c>
      <c r="K49" t="s">
        <v>1360</v>
      </c>
      <c r="L49" t="s">
        <v>1356</v>
      </c>
      <c r="M49" t="s">
        <v>13</v>
      </c>
      <c r="N49" t="s">
        <v>1361</v>
      </c>
      <c r="O49" t="str">
        <f>IFERROR("IN" &amp; _xlfn.TEXTBEFORE(_xlfn.TEXTAFTER(UPPER(tblShipments4[[#This Row],[Gateway_clean]]),"IN")," ",1),"")</f>
        <v>INMUN1</v>
      </c>
      <c r="P49" t="str">
        <f>SUBSTITUTE(tblShipments4[[#This Row],[Gateway]], CHAR(10), " ")</f>
        <v xml:space="preserve">AWB No. Gateway Port Gateway EGM No. Gateway EGM Date Gateway Site ID Error Code N.A.  INMUN1  138991  2017-11-17 00:00:00.0  INMUN1  S </v>
      </c>
      <c r="Q49" t="s">
        <v>1362</v>
      </c>
    </row>
    <row r="50" spans="1:17" x14ac:dyDescent="0.35">
      <c r="A50" t="s">
        <v>8</v>
      </c>
      <c r="B50">
        <v>1252402</v>
      </c>
      <c r="C50" s="2" t="s">
        <v>1336</v>
      </c>
      <c r="D50" s="2" t="str">
        <f>LEFT(TRIM(MID(SUBSTITUTE(tblShipments4[[#This Row],[Details]],CHAR(10)," "), FIND(CHAR(10),tblShipments4[[#This Row],[Details]])+1, 50)), 10)</f>
        <v>0509003061</v>
      </c>
      <c r="E50" t="s">
        <v>1354</v>
      </c>
      <c r="F5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0" t="str">
        <f>IF(tblShipments4[[#This Row],[EGM no]]="", "Missing EGM", "EGM Submitted")</f>
        <v>EGM Submitted</v>
      </c>
      <c r="H50" t="str">
        <f>IF(OR(ISNUMBER(SEARCH("Released",tblShipments4[[#This Row],[ROSL]])),
      ISNUMBER(SEARCH("Scroll",tblShipments4[[#This Row],[ROSL]])),
      ISNUMBER(SEARCH("Y",tblShipments4[[#This Row],[ROSL]]))),
   "Released",
   "Not Released")</f>
        <v>Released</v>
      </c>
      <c r="I50" t="str">
        <f>IF(OR(tblShipments4[[#This Row],[EGM no]]="", tblShipments4[[#This Row],[EGM no]]="N.A."), "Not Submitted", "Submitted")</f>
        <v>Submitted</v>
      </c>
      <c r="J50" t="str">
        <f>IF(LEFT(tblShipments4[[#This Row],[Gateway_Extracted]],2)="IN","Valid","Invalid")</f>
        <v>Valid</v>
      </c>
      <c r="K50" t="s">
        <v>1355</v>
      </c>
      <c r="L50" t="s">
        <v>1356</v>
      </c>
      <c r="M50" t="s">
        <v>13</v>
      </c>
      <c r="N50" t="s">
        <v>1357</v>
      </c>
      <c r="O50" t="str">
        <f>IFERROR("IN" &amp; _xlfn.TEXTBEFORE(_xlfn.TEXTAFTER(UPPER(tblShipments4[[#This Row],[Gateway_clean]]),"IN")," ",1),"")</f>
        <v>INMUN1</v>
      </c>
      <c r="P50" t="str">
        <f>SUBSTITUTE(tblShipments4[[#This Row],[Gateway]], CHAR(10), " ")</f>
        <v xml:space="preserve">AWB No. Gateway Port Gateway EGM No. Gateway EGM Date Gateway Site ID Error Code N.A.  INMUN1  138681  2017-11-13 00:00:00.0  INMUN1  S </v>
      </c>
      <c r="Q50" t="s">
        <v>1358</v>
      </c>
    </row>
    <row r="51" spans="1:17" x14ac:dyDescent="0.35">
      <c r="A51" t="s">
        <v>8</v>
      </c>
      <c r="B51">
        <v>8065467</v>
      </c>
      <c r="C51" s="2" t="s">
        <v>310</v>
      </c>
      <c r="D51" s="2" t="str">
        <f>LEFT(TRIM(MID(SUBSTITUTE(tblShipments4[[#This Row],[Details]],CHAR(10)," "), FIND(CHAR(10),tblShipments4[[#This Row],[Details]])+1, 50)), 10)</f>
        <v>0509092110</v>
      </c>
      <c r="E51" t="s">
        <v>321</v>
      </c>
      <c r="F5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1" t="str">
        <f>IF(tblShipments4[[#This Row],[EGM no]]="", "Missing EGM", "EGM Submitted")</f>
        <v>EGM Submitted</v>
      </c>
      <c r="H51" t="str">
        <f>IF(OR(ISNUMBER(SEARCH("Released",tblShipments4[[#This Row],[ROSL]])),
      ISNUMBER(SEARCH("Scroll",tblShipments4[[#This Row],[ROSL]])),
      ISNUMBER(SEARCH("Y",tblShipments4[[#This Row],[ROSL]]))),
   "Released",
   "Not Released")</f>
        <v>Not Released</v>
      </c>
      <c r="I51" t="str">
        <f>IF(OR(tblShipments4[[#This Row],[EGM no]]="", tblShipments4[[#This Row],[EGM no]]="N.A."), "Not Submitted", "Submitted")</f>
        <v>Submitted</v>
      </c>
      <c r="J51" t="str">
        <f>IF(LEFT(tblShipments4[[#This Row],[Gateway_Extracted]],2)="IN","Valid","Invalid")</f>
        <v>Valid</v>
      </c>
      <c r="K51" t="s">
        <v>261</v>
      </c>
      <c r="L51" t="s">
        <v>322</v>
      </c>
      <c r="M51" t="s">
        <v>105</v>
      </c>
      <c r="N51" t="s">
        <v>323</v>
      </c>
      <c r="O51" t="str">
        <f>IFERROR("IN" &amp; _xlfn.TEXTBEFORE(_xlfn.TEXTAFTER(UPPER(tblShipments4[[#This Row],[Gateway_clean]]),"IN")," ",1),"")</f>
        <v>INMUN1</v>
      </c>
      <c r="P51" t="str">
        <f>SUBSTITUTE(tblShipments4[[#This Row],[Gateway]], CHAR(10), " ")</f>
        <v xml:space="preserve">AWB No. Gateway Port Gateway EGM No. Gateway EGM Date Gateway Site ID Error Code N.A.  INMUN1  137180  2017-10-18 00:00:00.0  INMUN1  ST </v>
      </c>
      <c r="Q51" t="s">
        <v>212</v>
      </c>
    </row>
    <row r="52" spans="1:17" x14ac:dyDescent="0.35">
      <c r="A52" t="s">
        <v>8</v>
      </c>
      <c r="B52">
        <v>8913772</v>
      </c>
      <c r="C52" s="2" t="s">
        <v>835</v>
      </c>
      <c r="D52" s="2" t="str">
        <f>LEFT(TRIM(MID(SUBSTITUTE(tblShipments4[[#This Row],[Details]],CHAR(10)," "), FIND(CHAR(10),tblShipments4[[#This Row],[Details]])+1, 50)), 10)</f>
        <v>0510005021</v>
      </c>
      <c r="E52" t="s">
        <v>856</v>
      </c>
      <c r="F5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2" t="str">
        <f>IF(tblShipments4[[#This Row],[EGM no]]="", "Missing EGM", "EGM Submitted")</f>
        <v>EGM Submitted</v>
      </c>
      <c r="H52" t="str">
        <f>IF(OR(ISNUMBER(SEARCH("Released",tblShipments4[[#This Row],[ROSL]])),
      ISNUMBER(SEARCH("Scroll",tblShipments4[[#This Row],[ROSL]])),
      ISNUMBER(SEARCH("Y",tblShipments4[[#This Row],[ROSL]]))),
   "Released",
   "Not Released")</f>
        <v>Released</v>
      </c>
      <c r="I52" t="str">
        <f>IF(OR(tblShipments4[[#This Row],[EGM no]]="", tblShipments4[[#This Row],[EGM no]]="N.A."), "Not Submitted", "Submitted")</f>
        <v>Submitted</v>
      </c>
      <c r="J52" t="str">
        <f>IF(LEFT(tblShipments4[[#This Row],[Gateway_Extracted]],2)="IN","Valid","Invalid")</f>
        <v>Valid</v>
      </c>
      <c r="K52" t="s">
        <v>857</v>
      </c>
      <c r="L52" t="s">
        <v>858</v>
      </c>
      <c r="M52" t="s">
        <v>31</v>
      </c>
      <c r="N52" t="s">
        <v>859</v>
      </c>
      <c r="O52" t="str">
        <f>IFERROR("IN" &amp; _xlfn.TEXTBEFORE(_xlfn.TEXTAFTER(UPPER(tblShipments4[[#This Row],[Gateway_clean]]),"IN")," ",1),"")</f>
        <v>INMUN1</v>
      </c>
      <c r="P52" t="str">
        <f>SUBSTITUTE(tblShipments4[[#This Row],[Gateway]], CHAR(10), " ")</f>
        <v xml:space="preserve">AWB No. Gateway Port Gateway EGM No. Gateway EGM Date Gateway Site ID Error Code N.A.  INMUN1  137768  2017-10-28 00:00:00.0  INMUN1  S </v>
      </c>
      <c r="Q52" t="s">
        <v>860</v>
      </c>
    </row>
    <row r="53" spans="1:17" x14ac:dyDescent="0.35">
      <c r="A53" t="s">
        <v>8</v>
      </c>
      <c r="B53">
        <v>7774110</v>
      </c>
      <c r="C53" s="2" t="s">
        <v>120</v>
      </c>
      <c r="D53" s="2" t="str">
        <f>LEFT(TRIM(MID(SUBSTITUTE(tblShipments4[[#This Row],[Details]],CHAR(10)," "), FIND(CHAR(10),tblShipments4[[#This Row],[Details]])+1, 50)), 10)</f>
        <v>0510011683</v>
      </c>
      <c r="E53" t="s">
        <v>140</v>
      </c>
      <c r="F5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3" t="str">
        <f>IF(tblShipments4[[#This Row],[EGM no]]="", "Missing EGM", "EGM Submitted")</f>
        <v>EGM Submitted</v>
      </c>
      <c r="H53" t="str">
        <f>IF(OR(ISNUMBER(SEARCH("Released",tblShipments4[[#This Row],[ROSL]])),
      ISNUMBER(SEARCH("Scroll",tblShipments4[[#This Row],[ROSL]])),
      ISNUMBER(SEARCH("Y",tblShipments4[[#This Row],[ROSL]]))),
   "Released",
   "Not Released")</f>
        <v>Released</v>
      </c>
      <c r="I53" t="str">
        <f>IF(OR(tblShipments4[[#This Row],[EGM no]]="", tblShipments4[[#This Row],[EGM no]]="N.A."), "Not Submitted", "Submitted")</f>
        <v>Submitted</v>
      </c>
      <c r="J53" t="str">
        <f>IF(LEFT(tblShipments4[[#This Row],[Gateway_Extracted]],2)="IN","Valid","Invalid")</f>
        <v>Valid</v>
      </c>
      <c r="K53" t="s">
        <v>141</v>
      </c>
      <c r="L53" t="s">
        <v>142</v>
      </c>
      <c r="M53" t="s">
        <v>31</v>
      </c>
      <c r="N53" t="s">
        <v>143</v>
      </c>
      <c r="O53" t="str">
        <f>IFERROR("IN" &amp; _xlfn.TEXTBEFORE(_xlfn.TEXTAFTER(UPPER(tblShipments4[[#This Row],[Gateway_clean]]),"IN")," ",1),"")</f>
        <v>INMUN1</v>
      </c>
      <c r="P53" t="str">
        <f>SUBSTITUTE(tblShipments4[[#This Row],[Gateway]], CHAR(10), " ")</f>
        <v xml:space="preserve">AWB No. Gateway Port Gateway EGM No. Gateway EGM Date Gateway Site ID Error Code N.A.  INMUN1  134015  2017-08-28 00:00:00.0  INMUN1  S </v>
      </c>
      <c r="Q53" t="s">
        <v>144</v>
      </c>
    </row>
    <row r="54" spans="1:17" x14ac:dyDescent="0.35">
      <c r="A54" t="s">
        <v>8</v>
      </c>
      <c r="B54">
        <v>1206147</v>
      </c>
      <c r="C54" s="2" t="s">
        <v>1314</v>
      </c>
      <c r="D54" s="2" t="str">
        <f>LEFT(TRIM(MID(SUBSTITUTE(tblShipments4[[#This Row],[Details]],CHAR(10)," "), FIND(CHAR(10),tblShipments4[[#This Row],[Details]])+1, 50)), 10)</f>
        <v>0510019439</v>
      </c>
      <c r="E54" t="s">
        <v>1315</v>
      </c>
      <c r="F5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4" t="str">
        <f>IF(tblShipments4[[#This Row],[EGM no]]="", "Missing EGM", "EGM Submitted")</f>
        <v>EGM Submitted</v>
      </c>
      <c r="H54" t="str">
        <f>IF(OR(ISNUMBER(SEARCH("Released",tblShipments4[[#This Row],[ROSL]])),
      ISNUMBER(SEARCH("Scroll",tblShipments4[[#This Row],[ROSL]])),
      ISNUMBER(SEARCH("Y",tblShipments4[[#This Row],[ROSL]]))),
   "Released",
   "Not Released")</f>
        <v>Released</v>
      </c>
      <c r="I54" t="str">
        <f>IF(OR(tblShipments4[[#This Row],[EGM no]]="", tblShipments4[[#This Row],[EGM no]]="N.A."), "Not Submitted", "Submitted")</f>
        <v>Submitted</v>
      </c>
      <c r="J54" t="str">
        <f>IF(LEFT(tblShipments4[[#This Row],[Gateway_Extracted]],2)="IN","Valid","Invalid")</f>
        <v>Valid</v>
      </c>
      <c r="K54" t="s">
        <v>1316</v>
      </c>
      <c r="L54" t="s">
        <v>1317</v>
      </c>
      <c r="M54" t="s">
        <v>31</v>
      </c>
      <c r="N54" t="s">
        <v>1318</v>
      </c>
      <c r="O54" t="str">
        <f>IFERROR("IN" &amp; _xlfn.TEXTBEFORE(_xlfn.TEXTAFTER(UPPER(tblShipments4[[#This Row],[Gateway_clean]]),"IN")," ",1),"")</f>
        <v>INMUN1</v>
      </c>
      <c r="P54" t="str">
        <f>SUBSTITUTE(tblShipments4[[#This Row],[Gateway]], CHAR(10), " ")</f>
        <v xml:space="preserve">AWB No. Gateway Port Gateway EGM No. Gateway EGM Date Gateway Site ID Error Code N.A.  INMUN1  141045  2017-12-20 00:00:00.0  INMUN1  S </v>
      </c>
      <c r="Q54" t="s">
        <v>1319</v>
      </c>
    </row>
    <row r="55" spans="1:17" x14ac:dyDescent="0.35">
      <c r="A55" t="s">
        <v>8</v>
      </c>
      <c r="B55">
        <v>8222240</v>
      </c>
      <c r="C55" s="2" t="s">
        <v>409</v>
      </c>
      <c r="D55" s="2" t="str">
        <f>LEFT(TRIM(MID(SUBSTITUTE(tblShipments4[[#This Row],[Details]],CHAR(10)," "), FIND(CHAR(10),tblShipments4[[#This Row],[Details]])+1, 50)), 10)</f>
        <v>0510059732</v>
      </c>
      <c r="E55" t="s">
        <v>431</v>
      </c>
      <c r="F5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5" t="str">
        <f>IF(tblShipments4[[#This Row],[EGM no]]="", "Missing EGM", "EGM Submitted")</f>
        <v>EGM Submitted</v>
      </c>
      <c r="H55" t="str">
        <f>IF(OR(ISNUMBER(SEARCH("Released",tblShipments4[[#This Row],[ROSL]])),
      ISNUMBER(SEARCH("Scroll",tblShipments4[[#This Row],[ROSL]])),
      ISNUMBER(SEARCH("Y",tblShipments4[[#This Row],[ROSL]]))),
   "Released",
   "Not Released")</f>
        <v>Released</v>
      </c>
      <c r="I55" t="str">
        <f>IF(OR(tblShipments4[[#This Row],[EGM no]]="", tblShipments4[[#This Row],[EGM no]]="N.A."), "Not Submitted", "Submitted")</f>
        <v>Submitted</v>
      </c>
      <c r="J55" t="str">
        <f>IF(LEFT(tblShipments4[[#This Row],[Gateway_Extracted]],2)="IN","Valid","Invalid")</f>
        <v>Valid</v>
      </c>
      <c r="K55" t="s">
        <v>432</v>
      </c>
      <c r="L55" t="s">
        <v>433</v>
      </c>
      <c r="M55" t="s">
        <v>31</v>
      </c>
      <c r="N55" t="s">
        <v>434</v>
      </c>
      <c r="O55" t="str">
        <f>IFERROR("IN" &amp; _xlfn.TEXTBEFORE(_xlfn.TEXTAFTER(UPPER(tblShipments4[[#This Row],[Gateway_clean]]),"IN")," ",1),"")</f>
        <v>INMUN1</v>
      </c>
      <c r="P55" t="str">
        <f>SUBSTITUTE(tblShipments4[[#This Row],[Gateway]], CHAR(10), " ")</f>
        <v xml:space="preserve">AWB No. Gateway Port Gateway EGM No. Gateway EGM Date Gateway Site ID Error Code N.A.  INMUN1  140358  2017-12-08 00:00:00.0  INMUN1  ST </v>
      </c>
      <c r="Q55" t="s">
        <v>435</v>
      </c>
    </row>
    <row r="56" spans="1:17" x14ac:dyDescent="0.35">
      <c r="A56" t="s">
        <v>8</v>
      </c>
      <c r="B56">
        <v>8235656</v>
      </c>
      <c r="C56" s="2" t="s">
        <v>442</v>
      </c>
      <c r="D56" s="2" t="str">
        <f>LEFT(TRIM(MID(SUBSTITUTE(tblShipments4[[#This Row],[Details]],CHAR(10)," "), FIND(CHAR(10),tblShipments4[[#This Row],[Details]])+1, 50)), 10)</f>
        <v>0510064663</v>
      </c>
      <c r="E56" t="s">
        <v>447</v>
      </c>
      <c r="F5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6" t="str">
        <f>IF(tblShipments4[[#This Row],[EGM no]]="", "Missing EGM", "EGM Submitted")</f>
        <v>EGM Submitted</v>
      </c>
      <c r="H56" t="str">
        <f>IF(OR(ISNUMBER(SEARCH("Released",tblShipments4[[#This Row],[ROSL]])),
      ISNUMBER(SEARCH("Scroll",tblShipments4[[#This Row],[ROSL]])),
      ISNUMBER(SEARCH("Y",tblShipments4[[#This Row],[ROSL]]))),
   "Released",
   "Not Released")</f>
        <v>Released</v>
      </c>
      <c r="I56" t="str">
        <f>IF(OR(tblShipments4[[#This Row],[EGM no]]="", tblShipments4[[#This Row],[EGM no]]="N.A."), "Not Submitted", "Submitted")</f>
        <v>Submitted</v>
      </c>
      <c r="J56" t="str">
        <f>IF(LEFT(tblShipments4[[#This Row],[Gateway_Extracted]],2)="IN","Valid","Invalid")</f>
        <v>Valid</v>
      </c>
      <c r="K56" t="s">
        <v>382</v>
      </c>
      <c r="L56" t="s">
        <v>448</v>
      </c>
      <c r="M56" t="s">
        <v>449</v>
      </c>
      <c r="N56" t="s">
        <v>450</v>
      </c>
      <c r="O56" t="str">
        <f>IFERROR("IN" &amp; _xlfn.TEXTBEFORE(_xlfn.TEXTAFTER(UPPER(tblShipments4[[#This Row],[Gateway_clean]]),"IN")," ",1),"")</f>
        <v>INMUN1</v>
      </c>
      <c r="P56" t="str">
        <f>SUBSTITUTE(tblShipments4[[#This Row],[Gateway]], CHAR(10), " ")</f>
        <v xml:space="preserve">AWB No. Gateway Port Gateway EGM No. Gateway EGM Date Gateway Site ID Error Code N.A.  INMUN1  134795  2017-09-08 00:00:00.0  INMUN1  S </v>
      </c>
      <c r="Q56" t="s">
        <v>451</v>
      </c>
    </row>
    <row r="57" spans="1:17" x14ac:dyDescent="0.35">
      <c r="A57" t="s">
        <v>8</v>
      </c>
      <c r="B57">
        <v>1752198</v>
      </c>
      <c r="C57" s="2" t="s">
        <v>1628</v>
      </c>
      <c r="D57" s="2" t="str">
        <f>LEFT(TRIM(MID(SUBSTITUTE(tblShipments4[[#This Row],[Details]],CHAR(10)," "), FIND(CHAR(10),tblShipments4[[#This Row],[Details]])+1, 50)), 10)</f>
        <v>0511006519</v>
      </c>
      <c r="E57" t="s">
        <v>1629</v>
      </c>
      <c r="F5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7" t="str">
        <f>IF(tblShipments4[[#This Row],[EGM no]]="", "Missing EGM", "EGM Submitted")</f>
        <v>EGM Submitted</v>
      </c>
      <c r="H57" t="str">
        <f>IF(OR(ISNUMBER(SEARCH("Released",tblShipments4[[#This Row],[ROSL]])),
      ISNUMBER(SEARCH("Scroll",tblShipments4[[#This Row],[ROSL]])),
      ISNUMBER(SEARCH("Y",tblShipments4[[#This Row],[ROSL]]))),
   "Released",
   "Not Released")</f>
        <v>Released</v>
      </c>
      <c r="I57" t="str">
        <f>IF(OR(tblShipments4[[#This Row],[EGM no]]="", tblShipments4[[#This Row],[EGM no]]="N.A."), "Not Submitted", "Submitted")</f>
        <v>Submitted</v>
      </c>
      <c r="J57" t="str">
        <f>IF(LEFT(tblShipments4[[#This Row],[Gateway_Extracted]],2)="IN","Valid","Invalid")</f>
        <v>Valid</v>
      </c>
      <c r="K57" t="s">
        <v>1597</v>
      </c>
      <c r="L57" t="s">
        <v>1630</v>
      </c>
      <c r="M57" t="s">
        <v>13</v>
      </c>
      <c r="N57" t="s">
        <v>1631</v>
      </c>
      <c r="O57" t="str">
        <f>IFERROR("IN" &amp; _xlfn.TEXTBEFORE(_xlfn.TEXTAFTER(UPPER(tblShipments4[[#This Row],[Gateway_clean]]),"IN")," ",1),"")</f>
        <v>INMUN1</v>
      </c>
      <c r="P57" t="str">
        <f>SUBSTITUTE(tblShipments4[[#This Row],[Gateway]], CHAR(10), " ")</f>
        <v xml:space="preserve">AWB No. Gateway Port Gateway EGM No. Gateway EGM Date Gateway Site ID Error Code N.A.  INMUN1  141901  2018-01-03 00:00:00.0  INMUN1  S </v>
      </c>
      <c r="Q57" t="s">
        <v>1632</v>
      </c>
    </row>
    <row r="58" spans="1:17" x14ac:dyDescent="0.35">
      <c r="A58" t="s">
        <v>8</v>
      </c>
      <c r="B58">
        <v>8091385</v>
      </c>
      <c r="C58" s="2" t="s">
        <v>334</v>
      </c>
      <c r="D58" s="2" t="str">
        <f>LEFT(TRIM(MID(SUBSTITUTE(tblShipments4[[#This Row],[Details]],CHAR(10)," "), FIND(CHAR(10),tblShipments4[[#This Row],[Details]])+1, 50)), 10)</f>
        <v>0512002835</v>
      </c>
      <c r="E58" t="s">
        <v>343</v>
      </c>
      <c r="F5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8" t="str">
        <f>IF(tblShipments4[[#This Row],[EGM no]]="", "Missing EGM", "EGM Submitted")</f>
        <v>EGM Submitted</v>
      </c>
      <c r="H58" t="str">
        <f>IF(OR(ISNUMBER(SEARCH("Released",tblShipments4[[#This Row],[ROSL]])),
      ISNUMBER(SEARCH("Scroll",tblShipments4[[#This Row],[ROSL]])),
      ISNUMBER(SEARCH("Y",tblShipments4[[#This Row],[ROSL]]))),
   "Released",
   "Not Released")</f>
        <v>Released</v>
      </c>
      <c r="I58" t="str">
        <f>IF(OR(tblShipments4[[#This Row],[EGM no]]="", tblShipments4[[#This Row],[EGM no]]="N.A."), "Not Submitted", "Submitted")</f>
        <v>Submitted</v>
      </c>
      <c r="J58" t="str">
        <f>IF(LEFT(tblShipments4[[#This Row],[Gateway_Extracted]],2)="IN","Valid","Invalid")</f>
        <v>Valid</v>
      </c>
      <c r="K58" t="s">
        <v>307</v>
      </c>
      <c r="L58" t="s">
        <v>344</v>
      </c>
      <c r="M58" t="s">
        <v>13</v>
      </c>
      <c r="N58" t="s">
        <v>345</v>
      </c>
      <c r="O58" t="str">
        <f>IFERROR("IN" &amp; _xlfn.TEXTBEFORE(_xlfn.TEXTAFTER(UPPER(tblShipments4[[#This Row],[Gateway_clean]]),"IN")," ",1),"")</f>
        <v>INMUN1</v>
      </c>
      <c r="P58" t="str">
        <f>SUBSTITUTE(tblShipments4[[#This Row],[Gateway]], CHAR(10), " ")</f>
        <v xml:space="preserve">AWB No. Gateway Port Gateway EGM No. Gateway EGM Date Gateway Site ID Error Code N.A.  INMUN1  N.A.  N.A.  N.A.  N.A. </v>
      </c>
      <c r="Q58" t="s">
        <v>244</v>
      </c>
    </row>
    <row r="59" spans="1:17" ht="58" x14ac:dyDescent="0.35">
      <c r="A59" t="s">
        <v>8</v>
      </c>
      <c r="B59">
        <v>8502112</v>
      </c>
      <c r="C59" s="2" t="s">
        <v>633</v>
      </c>
      <c r="D59" s="2" t="str">
        <f>LEFT(TRIM(MID(SUBSTITUTE(tblShipments4[[#This Row],[Details]],CHAR(10)," "), FIND(CHAR(10),tblShipments4[[#This Row],[Details]])+1, 50)), 10)</f>
        <v>0512059152</v>
      </c>
      <c r="E59" s="1" t="s">
        <v>634</v>
      </c>
      <c r="F59" s="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59" s="1" t="str">
        <f>IF(tblShipments4[[#This Row],[EGM no]]="", "Missing EGM", "EGM Submitted")</f>
        <v>EGM Submitted</v>
      </c>
      <c r="H59" s="1" t="str">
        <f>IF(OR(ISNUMBER(SEARCH("Released",tblShipments4[[#This Row],[ROSL]])),
      ISNUMBER(SEARCH("Scroll",tblShipments4[[#This Row],[ROSL]])),
      ISNUMBER(SEARCH("Y",tblShipments4[[#This Row],[ROSL]]))),
   "Released",
   "Not Released")</f>
        <v>Released</v>
      </c>
      <c r="I59" s="1" t="str">
        <f>IF(OR(tblShipments4[[#This Row],[EGM no]]="", tblShipments4[[#This Row],[EGM no]]="N.A."), "Not Submitted", "Submitted")</f>
        <v>Submitted</v>
      </c>
      <c r="J59" s="1" t="str">
        <f>IF(LEFT(tblShipments4[[#This Row],[Gateway_Extracted]],2)="IN","Valid","Invalid")</f>
        <v>Valid</v>
      </c>
      <c r="K59" t="s">
        <v>635</v>
      </c>
      <c r="L59" t="s">
        <v>636</v>
      </c>
      <c r="M59" t="s">
        <v>13</v>
      </c>
      <c r="N59" t="s">
        <v>637</v>
      </c>
      <c r="O59" t="str">
        <f>IFERROR("IN" &amp; _xlfn.TEXTBEFORE(_xlfn.TEXTAFTER(UPPER(tblShipments4[[#This Row],[Gateway_clean]]),"IN")," ",1),"")</f>
        <v>INMUN1</v>
      </c>
      <c r="P59" t="str">
        <f>SUBSTITUTE(tblShipments4[[#This Row],[Gateway]], CHAR(10), " ")</f>
        <v xml:space="preserve">AWB No. Gateway Port Gateway EGM No. Gateway EGM Date Gateway Site ID Error Code N.A.  INMUN1  N.A.  N.A.  N.A.  N.A. </v>
      </c>
      <c r="Q59" t="s">
        <v>244</v>
      </c>
    </row>
    <row r="60" spans="1:17" x14ac:dyDescent="0.35">
      <c r="A60" t="s">
        <v>8</v>
      </c>
      <c r="B60">
        <v>1254838</v>
      </c>
      <c r="C60" s="2" t="s">
        <v>1336</v>
      </c>
      <c r="D60" s="2" t="str">
        <f>LEFT(TRIM(MID(SUBSTITUTE(tblShipments4[[#This Row],[Details]],CHAR(10)," "), FIND(CHAR(10),tblShipments4[[#This Row],[Details]])+1, 50)), 10)</f>
        <v>0512064172</v>
      </c>
      <c r="E60" t="s">
        <v>1363</v>
      </c>
      <c r="F6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0" t="str">
        <f>IF(tblShipments4[[#This Row],[EGM no]]="", "Missing EGM", "EGM Submitted")</f>
        <v>EGM Submitted</v>
      </c>
      <c r="H60" t="str">
        <f>IF(OR(ISNUMBER(SEARCH("Released",tblShipments4[[#This Row],[ROSL]])),
      ISNUMBER(SEARCH("Scroll",tblShipments4[[#This Row],[ROSL]])),
      ISNUMBER(SEARCH("Y",tblShipments4[[#This Row],[ROSL]]))),
   "Released",
   "Not Released")</f>
        <v>Released</v>
      </c>
      <c r="I60" t="str">
        <f>IF(OR(tblShipments4[[#This Row],[EGM no]]="", tblShipments4[[#This Row],[EGM no]]="N.A."), "Not Submitted", "Submitted")</f>
        <v>Submitted</v>
      </c>
      <c r="J60" t="str">
        <f>IF(LEFT(tblShipments4[[#This Row],[Gateway_Extracted]],2)="IN","Valid","Invalid")</f>
        <v>Valid</v>
      </c>
      <c r="K60" t="s">
        <v>1364</v>
      </c>
      <c r="L60" t="s">
        <v>1365</v>
      </c>
      <c r="M60" t="s">
        <v>1366</v>
      </c>
      <c r="N60" t="s">
        <v>1367</v>
      </c>
      <c r="O60" t="str">
        <f>IFERROR("IN" &amp; _xlfn.TEXTBEFORE(_xlfn.TEXTAFTER(UPPER(tblShipments4[[#This Row],[Gateway_clean]]),"IN")," ",1),"")</f>
        <v>INMUN1</v>
      </c>
      <c r="P60" t="str">
        <f>SUBSTITUTE(tblShipments4[[#This Row],[Gateway]], CHAR(10), " ")</f>
        <v xml:space="preserve">AWB No. Gateway Port Gateway EGM No. Gateway EGM Date Gateway Site ID Error Code N.A.  INMUN1  140232  2017-12-07 00:00:00.0  INMUN1  S </v>
      </c>
      <c r="Q60" t="s">
        <v>1368</v>
      </c>
    </row>
    <row r="61" spans="1:17" x14ac:dyDescent="0.35">
      <c r="A61" t="s">
        <v>8</v>
      </c>
      <c r="B61">
        <v>9474719</v>
      </c>
      <c r="C61" s="2" t="s">
        <v>1055</v>
      </c>
      <c r="D61" s="2" t="str">
        <f>LEFT(TRIM(MID(SUBSTITUTE(tblShipments4[[#This Row],[Details]],CHAR(10)," "), FIND(CHAR(10),tblShipments4[[#This Row],[Details]])+1, 50)), 10)</f>
        <v>0512076341</v>
      </c>
      <c r="E61" t="s">
        <v>1056</v>
      </c>
      <c r="F6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1" t="str">
        <f>IF(tblShipments4[[#This Row],[EGM no]]="", "Missing EGM", "EGM Submitted")</f>
        <v>EGM Submitted</v>
      </c>
      <c r="H61" t="str">
        <f>IF(OR(ISNUMBER(SEARCH("Released",tblShipments4[[#This Row],[ROSL]])),
      ISNUMBER(SEARCH("Scroll",tblShipments4[[#This Row],[ROSL]])),
      ISNUMBER(SEARCH("Y",tblShipments4[[#This Row],[ROSL]]))),
   "Released",
   "Not Released")</f>
        <v>Released</v>
      </c>
      <c r="I61" t="str">
        <f>IF(OR(tblShipments4[[#This Row],[EGM no]]="", tblShipments4[[#This Row],[EGM no]]="N.A."), "Not Submitted", "Submitted")</f>
        <v>Submitted</v>
      </c>
      <c r="J61" t="str">
        <f>IF(LEFT(tblShipments4[[#This Row],[Gateway_Extracted]],2)="IN","Valid","Invalid")</f>
        <v>Valid</v>
      </c>
      <c r="K61" t="s">
        <v>1057</v>
      </c>
      <c r="L61" t="s">
        <v>1058</v>
      </c>
      <c r="M61" t="s">
        <v>13</v>
      </c>
      <c r="N61" t="s">
        <v>1059</v>
      </c>
      <c r="O61" t="str">
        <f>IFERROR("IN" &amp; _xlfn.TEXTBEFORE(_xlfn.TEXTAFTER(UPPER(tblShipments4[[#This Row],[Gateway_clean]]),"IN")," ",1),"")</f>
        <v>INMUN1</v>
      </c>
      <c r="P61" t="str">
        <f>SUBSTITUTE(tblShipments4[[#This Row],[Gateway]], CHAR(10), " ")</f>
        <v xml:space="preserve">AWB No. Gateway Port Gateway EGM No. Gateway EGM Date Gateway Site ID Error Code N.A.  INMUN1  137953  2017-11-01 00:00:00.0  INMUN1  S </v>
      </c>
      <c r="Q61" t="s">
        <v>1060</v>
      </c>
    </row>
    <row r="62" spans="1:17" x14ac:dyDescent="0.35">
      <c r="A62" t="s">
        <v>8</v>
      </c>
      <c r="B62">
        <v>8607213</v>
      </c>
      <c r="C62" s="2" t="s">
        <v>681</v>
      </c>
      <c r="D62" s="2" t="str">
        <f>LEFT(TRIM(MID(SUBSTITUTE(tblShipments4[[#This Row],[Details]],CHAR(10)," "), FIND(CHAR(10),tblShipments4[[#This Row],[Details]])+1, 50)), 10)</f>
        <v>0513013261</v>
      </c>
      <c r="E62" t="s">
        <v>693</v>
      </c>
      <c r="F6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2" t="str">
        <f>IF(tblShipments4[[#This Row],[EGM no]]="", "Missing EGM", "EGM Submitted")</f>
        <v>EGM Submitted</v>
      </c>
      <c r="H62" t="str">
        <f>IF(OR(ISNUMBER(SEARCH("Released",tblShipments4[[#This Row],[ROSL]])),
      ISNUMBER(SEARCH("Scroll",tblShipments4[[#This Row],[ROSL]])),
      ISNUMBER(SEARCH("Y",tblShipments4[[#This Row],[ROSL]]))),
   "Released",
   "Not Released")</f>
        <v>Released</v>
      </c>
      <c r="I62" t="str">
        <f>IF(OR(tblShipments4[[#This Row],[EGM no]]="", tblShipments4[[#This Row],[EGM no]]="N.A."), "Not Submitted", "Submitted")</f>
        <v>Submitted</v>
      </c>
      <c r="J62" t="str">
        <f>IF(LEFT(tblShipments4[[#This Row],[Gateway_Extracted]],2)="IN","Valid","Invalid")</f>
        <v>Valid</v>
      </c>
      <c r="K62" t="s">
        <v>694</v>
      </c>
      <c r="L62" t="s">
        <v>695</v>
      </c>
      <c r="M62" t="s">
        <v>13</v>
      </c>
      <c r="N62" t="s">
        <v>696</v>
      </c>
      <c r="O62" t="str">
        <f>IFERROR("IN" &amp; _xlfn.TEXTBEFORE(_xlfn.TEXTAFTER(UPPER(tblShipments4[[#This Row],[Gateway_clean]]),"IN")," ",1),"")</f>
        <v>INMUN1</v>
      </c>
      <c r="P62" t="str">
        <f>SUBSTITUTE(tblShipments4[[#This Row],[Gateway]], CHAR(10), " ")</f>
        <v xml:space="preserve">AWB No. Gateway Port Gateway EGM No. Gateway EGM Date Gateway Site ID Error Code N.A.  INMUN1  135995  2017-09-28 00:00:00.0  INMUN1  S </v>
      </c>
      <c r="Q62" t="s">
        <v>697</v>
      </c>
    </row>
    <row r="63" spans="1:17" x14ac:dyDescent="0.35">
      <c r="A63" t="s">
        <v>8</v>
      </c>
      <c r="B63">
        <v>1787183</v>
      </c>
      <c r="C63" s="2" t="s">
        <v>1633</v>
      </c>
      <c r="D63" s="2" t="str">
        <f>LEFT(TRIM(MID(SUBSTITUTE(tblShipments4[[#This Row],[Details]],CHAR(10)," "), FIND(CHAR(10),tblShipments4[[#This Row],[Details]])+1, 50)), 10)</f>
        <v>0513039759</v>
      </c>
      <c r="E63" t="s">
        <v>1649</v>
      </c>
      <c r="F6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3" t="str">
        <f>IF(tblShipments4[[#This Row],[EGM no]]="", "Missing EGM", "EGM Submitted")</f>
        <v>EGM Submitted</v>
      </c>
      <c r="H63" t="str">
        <f>IF(OR(ISNUMBER(SEARCH("Released",tblShipments4[[#This Row],[ROSL]])),
      ISNUMBER(SEARCH("Scroll",tblShipments4[[#This Row],[ROSL]])),
      ISNUMBER(SEARCH("Y",tblShipments4[[#This Row],[ROSL]]))),
   "Released",
   "Not Released")</f>
        <v>Released</v>
      </c>
      <c r="I63" t="str">
        <f>IF(OR(tblShipments4[[#This Row],[EGM no]]="", tblShipments4[[#This Row],[EGM no]]="N.A."), "Not Submitted", "Submitted")</f>
        <v>Submitted</v>
      </c>
      <c r="J63" t="str">
        <f>IF(LEFT(tblShipments4[[#This Row],[Gateway_Extracted]],2)="IN","Valid","Invalid")</f>
        <v>Valid</v>
      </c>
      <c r="K63" t="s">
        <v>1650</v>
      </c>
      <c r="L63" t="s">
        <v>1651</v>
      </c>
      <c r="M63" t="s">
        <v>13</v>
      </c>
      <c r="N63" t="s">
        <v>1652</v>
      </c>
      <c r="O63" t="str">
        <f>IFERROR("IN" &amp; _xlfn.TEXTBEFORE(_xlfn.TEXTAFTER(UPPER(tblShipments4[[#This Row],[Gateway_clean]]),"IN")," ",1),"")</f>
        <v>INMUN1</v>
      </c>
      <c r="P63" t="str">
        <f>SUBSTITUTE(tblShipments4[[#This Row],[Gateway]], CHAR(10), " ")</f>
        <v xml:space="preserve">AWB No. Gateway Port Gateway EGM No. Gateway EGM Date Gateway Site ID Error Code N.A.  INMUN1  141297  2017-12-26 00:00:00.0  INMUN1  S </v>
      </c>
      <c r="Q63" t="s">
        <v>1561</v>
      </c>
    </row>
    <row r="64" spans="1:17" x14ac:dyDescent="0.35">
      <c r="A64" t="s">
        <v>8</v>
      </c>
      <c r="B64">
        <v>7640213</v>
      </c>
      <c r="C64" s="2" t="s">
        <v>38</v>
      </c>
      <c r="D64" s="2" t="str">
        <f>LEFT(TRIM(MID(SUBSTITUTE(tblShipments4[[#This Row],[Details]],CHAR(10)," "), FIND(CHAR(10),tblShipments4[[#This Row],[Details]])+1, 50)), 10)</f>
        <v>0514019492</v>
      </c>
      <c r="E64" t="s">
        <v>48</v>
      </c>
      <c r="F6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4" t="str">
        <f>IF(tblShipments4[[#This Row],[EGM no]]="", "Missing EGM", "EGM Submitted")</f>
        <v>EGM Submitted</v>
      </c>
      <c r="H64" t="str">
        <f>IF(OR(ISNUMBER(SEARCH("Released",tblShipments4[[#This Row],[ROSL]])),
      ISNUMBER(SEARCH("Scroll",tblShipments4[[#This Row],[ROSL]])),
      ISNUMBER(SEARCH("Y",tblShipments4[[#This Row],[ROSL]]))),
   "Released",
   "Not Released")</f>
        <v>Released</v>
      </c>
      <c r="I64" t="str">
        <f>IF(OR(tblShipments4[[#This Row],[EGM no]]="", tblShipments4[[#This Row],[EGM no]]="N.A."), "Not Submitted", "Submitted")</f>
        <v>Submitted</v>
      </c>
      <c r="J64" t="str">
        <f>IF(LEFT(tblShipments4[[#This Row],[Gateway_Extracted]],2)="IN","Valid","Invalid")</f>
        <v>Valid</v>
      </c>
      <c r="K64" t="s">
        <v>49</v>
      </c>
      <c r="L64" t="s">
        <v>50</v>
      </c>
      <c r="M64" t="s">
        <v>13</v>
      </c>
      <c r="N64" t="s">
        <v>51</v>
      </c>
      <c r="O64" t="str">
        <f>IFERROR("IN" &amp; _xlfn.TEXTBEFORE(_xlfn.TEXTAFTER(UPPER(tblShipments4[[#This Row],[Gateway_clean]]),"IN")," ",1),"")</f>
        <v>INMUN1</v>
      </c>
      <c r="P64" t="str">
        <f>SUBSTITUTE(tblShipments4[[#This Row],[Gateway]], CHAR(10), " ")</f>
        <v xml:space="preserve">AWB No. Gateway Port Gateway EGM No. Gateway EGM Date Gateway Site ID Error Code N.A.  INMUN1  134053  2017-08-28 00:00:00.0  INMUN1  ST </v>
      </c>
      <c r="Q64" t="s">
        <v>52</v>
      </c>
    </row>
    <row r="65" spans="1:17" x14ac:dyDescent="0.35">
      <c r="A65" t="s">
        <v>8</v>
      </c>
      <c r="B65">
        <v>7944561</v>
      </c>
      <c r="C65" s="2" t="s">
        <v>239</v>
      </c>
      <c r="D65" s="2" t="str">
        <f>LEFT(TRIM(MID(SUBSTITUTE(tblShipments4[[#This Row],[Details]],CHAR(10)," "), FIND(CHAR(10),tblShipments4[[#This Row],[Details]])+1, 50)), 10)</f>
        <v>0514026804</v>
      </c>
      <c r="E65" t="s">
        <v>247</v>
      </c>
      <c r="F6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5" t="str">
        <f>IF(tblShipments4[[#This Row],[EGM no]]="", "Missing EGM", "EGM Submitted")</f>
        <v>EGM Submitted</v>
      </c>
      <c r="H65" t="str">
        <f>IF(OR(ISNUMBER(SEARCH("Released",tblShipments4[[#This Row],[ROSL]])),
      ISNUMBER(SEARCH("Scroll",tblShipments4[[#This Row],[ROSL]])),
      ISNUMBER(SEARCH("Y",tblShipments4[[#This Row],[ROSL]]))),
   "Released",
   "Not Released")</f>
        <v>Released</v>
      </c>
      <c r="I65" t="str">
        <f>IF(OR(tblShipments4[[#This Row],[EGM no]]="", tblShipments4[[#This Row],[EGM no]]="N.A."), "Not Submitted", "Submitted")</f>
        <v>Submitted</v>
      </c>
      <c r="J65" t="str">
        <f>IF(LEFT(tblShipments4[[#This Row],[Gateway_Extracted]],2)="IN","Valid","Invalid")</f>
        <v>Valid</v>
      </c>
      <c r="K65" t="s">
        <v>248</v>
      </c>
      <c r="L65" t="s">
        <v>249</v>
      </c>
      <c r="M65" t="s">
        <v>13</v>
      </c>
      <c r="N65" t="s">
        <v>250</v>
      </c>
      <c r="O65" t="str">
        <f>IFERROR("IN" &amp; _xlfn.TEXTBEFORE(_xlfn.TEXTAFTER(UPPER(tblShipments4[[#This Row],[Gateway_clean]]),"IN")," ",1),"")</f>
        <v>INMUN1</v>
      </c>
      <c r="P65" t="str">
        <f>SUBSTITUTE(tblShipments4[[#This Row],[Gateway]], CHAR(10), " ")</f>
        <v xml:space="preserve">AWB No. Gateway Port Gateway EGM No. Gateway EGM Date Gateway Site ID Error Code N.A.  INMUN1  134209  2017-08-30 00:00:00.0  INMUN1  NC </v>
      </c>
      <c r="Q65" t="s">
        <v>251</v>
      </c>
    </row>
    <row r="66" spans="1:17" x14ac:dyDescent="0.35">
      <c r="A66" t="s">
        <v>8</v>
      </c>
      <c r="B66">
        <v>8709897</v>
      </c>
      <c r="C66" s="2" t="s">
        <v>747</v>
      </c>
      <c r="D66" s="2" t="str">
        <f>LEFT(TRIM(MID(SUBSTITUTE(tblShipments4[[#This Row],[Details]],CHAR(10)," "), FIND(CHAR(10),tblShipments4[[#This Row],[Details]])+1, 50)), 10)</f>
        <v>0514036265</v>
      </c>
      <c r="E66" t="s">
        <v>757</v>
      </c>
      <c r="F6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6" t="str">
        <f>IF(tblShipments4[[#This Row],[EGM no]]="", "Missing EGM", "EGM Submitted")</f>
        <v>EGM Submitted</v>
      </c>
      <c r="H66" t="str">
        <f>IF(OR(ISNUMBER(SEARCH("Released",tblShipments4[[#This Row],[ROSL]])),
      ISNUMBER(SEARCH("Scroll",tblShipments4[[#This Row],[ROSL]])),
      ISNUMBER(SEARCH("Y",tblShipments4[[#This Row],[ROSL]]))),
   "Released",
   "Not Released")</f>
        <v>Released</v>
      </c>
      <c r="I66" t="str">
        <f>IF(OR(tblShipments4[[#This Row],[EGM no]]="", tblShipments4[[#This Row],[EGM no]]="N.A."), "Not Submitted", "Submitted")</f>
        <v>Submitted</v>
      </c>
      <c r="J66" t="str">
        <f>IF(LEFT(tblShipments4[[#This Row],[Gateway_Extracted]],2)="IN","Valid","Invalid")</f>
        <v>Valid</v>
      </c>
      <c r="K66" t="s">
        <v>758</v>
      </c>
      <c r="L66" t="s">
        <v>759</v>
      </c>
      <c r="M66" t="s">
        <v>13</v>
      </c>
      <c r="N66" t="s">
        <v>760</v>
      </c>
      <c r="O66" t="str">
        <f>IFERROR("IN" &amp; _xlfn.TEXTBEFORE(_xlfn.TEXTAFTER(UPPER(tblShipments4[[#This Row],[Gateway_clean]]),"IN")," ",1),"")</f>
        <v>INMUN1</v>
      </c>
      <c r="P66" t="str">
        <f>SUBSTITUTE(tblShipments4[[#This Row],[Gateway]], CHAR(10), " ")</f>
        <v xml:space="preserve">AWB No. Gateway Port Gateway EGM No. Gateway EGM Date Gateway Site ID Error Code N.A.  INMUN1  135887  2017-09-27 00:00:00.0  INMUN1  S </v>
      </c>
      <c r="Q66" t="s">
        <v>761</v>
      </c>
    </row>
    <row r="67" spans="1:17" x14ac:dyDescent="0.35">
      <c r="A67" t="s">
        <v>8</v>
      </c>
      <c r="B67">
        <v>8067051</v>
      </c>
      <c r="C67" s="2" t="s">
        <v>310</v>
      </c>
      <c r="D67" s="2" t="str">
        <f>LEFT(TRIM(MID(SUBSTITUTE(tblShipments4[[#This Row],[Details]],CHAR(10)," "), FIND(CHAR(10),tblShipments4[[#This Row],[Details]])+1, 50)), 10)</f>
        <v>0514087234</v>
      </c>
      <c r="E67" t="s">
        <v>329</v>
      </c>
      <c r="F6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7" t="str">
        <f>IF(tblShipments4[[#This Row],[EGM no]]="", "Missing EGM", "EGM Submitted")</f>
        <v>EGM Submitted</v>
      </c>
      <c r="H67" t="str">
        <f>IF(OR(ISNUMBER(SEARCH("Released",tblShipments4[[#This Row],[ROSL]])),
      ISNUMBER(SEARCH("Scroll",tblShipments4[[#This Row],[ROSL]])),
      ISNUMBER(SEARCH("Y",tblShipments4[[#This Row],[ROSL]]))),
   "Released",
   "Not Released")</f>
        <v>Released</v>
      </c>
      <c r="I67" t="str">
        <f>IF(OR(tblShipments4[[#This Row],[EGM no]]="", tblShipments4[[#This Row],[EGM no]]="N.A."), "Not Submitted", "Submitted")</f>
        <v>Submitted</v>
      </c>
      <c r="J67" t="str">
        <f>IF(LEFT(tblShipments4[[#This Row],[Gateway_Extracted]],2)="IN","Valid","Invalid")</f>
        <v>Valid</v>
      </c>
      <c r="K67" t="s">
        <v>330</v>
      </c>
      <c r="L67" t="s">
        <v>331</v>
      </c>
      <c r="M67" t="s">
        <v>13</v>
      </c>
      <c r="N67" t="s">
        <v>332</v>
      </c>
      <c r="O67" t="str">
        <f>IFERROR("IN" &amp; _xlfn.TEXTBEFORE(_xlfn.TEXTAFTER(UPPER(tblShipments4[[#This Row],[Gateway_clean]]),"IN")," ",1),"")</f>
        <v>INMUN1</v>
      </c>
      <c r="P67" t="str">
        <f>SUBSTITUTE(tblShipments4[[#This Row],[Gateway]], CHAR(10), " ")</f>
        <v xml:space="preserve">AWB No. Gateway Port Gateway EGM No. Gateway EGM Date Gateway Site ID Error Code N.A.  INMUN1  133949  2017-08-26 00:00:00.0  INMUN1  S </v>
      </c>
      <c r="Q67" t="s">
        <v>333</v>
      </c>
    </row>
    <row r="68" spans="1:17" x14ac:dyDescent="0.35">
      <c r="A68" t="s">
        <v>8</v>
      </c>
      <c r="B68">
        <v>1042281</v>
      </c>
      <c r="C68" s="2" t="s">
        <v>1234</v>
      </c>
      <c r="D68" s="2" t="str">
        <f>LEFT(TRIM(MID(SUBSTITUTE(tblShipments4[[#This Row],[Details]],CHAR(10)," "), FIND(CHAR(10),tblShipments4[[#This Row],[Details]])+1, 50)), 10)</f>
        <v>0515015504</v>
      </c>
      <c r="E68" t="s">
        <v>1240</v>
      </c>
      <c r="F6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8" t="str">
        <f>IF(tblShipments4[[#This Row],[EGM no]]="", "Missing EGM", "EGM Submitted")</f>
        <v>EGM Submitted</v>
      </c>
      <c r="H68" t="str">
        <f>IF(OR(ISNUMBER(SEARCH("Released",tblShipments4[[#This Row],[ROSL]])),
      ISNUMBER(SEARCH("Scroll",tblShipments4[[#This Row],[ROSL]])),
      ISNUMBER(SEARCH("Y",tblShipments4[[#This Row],[ROSL]]))),
   "Released",
   "Not Released")</f>
        <v>Released</v>
      </c>
      <c r="I68" t="str">
        <f>IF(OR(tblShipments4[[#This Row],[EGM no]]="", tblShipments4[[#This Row],[EGM no]]="N.A."), "Not Submitted", "Submitted")</f>
        <v>Submitted</v>
      </c>
      <c r="J68" t="str">
        <f>IF(LEFT(tblShipments4[[#This Row],[Gateway_Extracted]],2)="IN","Valid","Invalid")</f>
        <v>Valid</v>
      </c>
      <c r="K68" t="s">
        <v>1241</v>
      </c>
      <c r="L68" t="s">
        <v>1242</v>
      </c>
      <c r="M68" t="s">
        <v>13</v>
      </c>
      <c r="N68" t="s">
        <v>1243</v>
      </c>
      <c r="O68" t="str">
        <f>IFERROR("IN" &amp; _xlfn.TEXTBEFORE(_xlfn.TEXTAFTER(UPPER(tblShipments4[[#This Row],[Gateway_clean]]),"IN")," ",1),"")</f>
        <v>INMUN1</v>
      </c>
      <c r="P68" t="str">
        <f>SUBSTITUTE(tblShipments4[[#This Row],[Gateway]], CHAR(10), " ")</f>
        <v xml:space="preserve">AWB No. Gateway Port Gateway EGM No. Gateway EGM Date Gateway Site ID Error Code N.A.  INMUN1  140712  2017-12-15 00:00:00.0  INMUN1  S </v>
      </c>
      <c r="Q68" t="s">
        <v>1244</v>
      </c>
    </row>
    <row r="69" spans="1:17" x14ac:dyDescent="0.35">
      <c r="A69" t="s">
        <v>8</v>
      </c>
      <c r="B69">
        <v>9786910</v>
      </c>
      <c r="C69" s="2" t="s">
        <v>1188</v>
      </c>
      <c r="D69" s="2" t="str">
        <f>LEFT(TRIM(MID(SUBSTITUTE(tblShipments4[[#This Row],[Details]],CHAR(10)," "), FIND(CHAR(10),tblShipments4[[#This Row],[Details]])+1, 50)), 10)</f>
        <v>0515019372</v>
      </c>
      <c r="E69" t="s">
        <v>1189</v>
      </c>
      <c r="F6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69" t="str">
        <f>IF(tblShipments4[[#This Row],[EGM no]]="", "Missing EGM", "EGM Submitted")</f>
        <v>EGM Submitted</v>
      </c>
      <c r="H69" t="str">
        <f>IF(OR(ISNUMBER(SEARCH("Released",tblShipments4[[#This Row],[ROSL]])),
      ISNUMBER(SEARCH("Scroll",tblShipments4[[#This Row],[ROSL]])),
      ISNUMBER(SEARCH("Y",tblShipments4[[#This Row],[ROSL]]))),
   "Released",
   "Not Released")</f>
        <v>Released</v>
      </c>
      <c r="I69" t="str">
        <f>IF(OR(tblShipments4[[#This Row],[EGM no]]="", tblShipments4[[#This Row],[EGM no]]="N.A."), "Not Submitted", "Submitted")</f>
        <v>Submitted</v>
      </c>
      <c r="J69" t="str">
        <f>IF(LEFT(tblShipments4[[#This Row],[Gateway_Extracted]],2)="IN","Valid","Invalid")</f>
        <v>Valid</v>
      </c>
      <c r="K69" t="s">
        <v>1108</v>
      </c>
      <c r="L69" t="s">
        <v>1190</v>
      </c>
      <c r="M69" t="s">
        <v>13</v>
      </c>
      <c r="N69" t="s">
        <v>1191</v>
      </c>
      <c r="O69" t="str">
        <f>IFERROR("IN" &amp; _xlfn.TEXTBEFORE(_xlfn.TEXTAFTER(UPPER(tblShipments4[[#This Row],[Gateway_clean]]),"IN")," ",1),"")</f>
        <v>INMUN1</v>
      </c>
      <c r="P69" t="str">
        <f>SUBSTITUTE(tblShipments4[[#This Row],[Gateway]], CHAR(10), " ")</f>
        <v xml:space="preserve">AWB No. Gateway Port Gateway EGM No. Gateway EGM Date Gateway Site ID Error Code N.A.  INMUN1  139000  2017-11-17 00:00:00.0  INMUN1  S </v>
      </c>
      <c r="Q69" t="s">
        <v>1192</v>
      </c>
    </row>
    <row r="70" spans="1:17" x14ac:dyDescent="0.35">
      <c r="A70" t="s">
        <v>8</v>
      </c>
      <c r="B70">
        <v>9736929</v>
      </c>
      <c r="C70" s="2" t="s">
        <v>1168</v>
      </c>
      <c r="D70" s="2" t="str">
        <f>LEFT(TRIM(MID(SUBSTITUTE(tblShipments4[[#This Row],[Details]],CHAR(10)," "), FIND(CHAR(10),tblShipments4[[#This Row],[Details]])+1, 50)), 10)</f>
        <v>0515019933</v>
      </c>
      <c r="E70" t="s">
        <v>1169</v>
      </c>
      <c r="F7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0" t="str">
        <f>IF(tblShipments4[[#This Row],[EGM no]]="", "Missing EGM", "EGM Submitted")</f>
        <v>EGM Submitted</v>
      </c>
      <c r="H70" t="str">
        <f>IF(OR(ISNUMBER(SEARCH("Released",tblShipments4[[#This Row],[ROSL]])),
      ISNUMBER(SEARCH("Scroll",tblShipments4[[#This Row],[ROSL]])),
      ISNUMBER(SEARCH("Y",tblShipments4[[#This Row],[ROSL]]))),
   "Released",
   "Not Released")</f>
        <v>Released</v>
      </c>
      <c r="I70" t="str">
        <f>IF(OR(tblShipments4[[#This Row],[EGM no]]="", tblShipments4[[#This Row],[EGM no]]="N.A."), "Not Submitted", "Submitted")</f>
        <v>Submitted</v>
      </c>
      <c r="J70" t="str">
        <f>IF(LEFT(tblShipments4[[#This Row],[Gateway_Extracted]],2)="IN","Valid","Invalid")</f>
        <v>Valid</v>
      </c>
      <c r="K70" t="s">
        <v>1123</v>
      </c>
      <c r="L70" t="s">
        <v>1170</v>
      </c>
      <c r="M70" t="s">
        <v>13</v>
      </c>
      <c r="N70" t="s">
        <v>1171</v>
      </c>
      <c r="O70" t="str">
        <f>IFERROR("IN" &amp; _xlfn.TEXTBEFORE(_xlfn.TEXTAFTER(UPPER(tblShipments4[[#This Row],[Gateway_clean]]),"IN")," ",1),"")</f>
        <v>INMUN1</v>
      </c>
      <c r="P70" t="str">
        <f>SUBSTITUTE(tblShipments4[[#This Row],[Gateway]], CHAR(10), " ")</f>
        <v xml:space="preserve">AWB No. Gateway Port Gateway EGM No. Gateway EGM Date Gateway Site ID Error Code N.A.  INMUN1  141255  2017-12-23 00:00:00.0  INMUN1  S </v>
      </c>
      <c r="Q70" t="s">
        <v>1172</v>
      </c>
    </row>
    <row r="71" spans="1:17" x14ac:dyDescent="0.35">
      <c r="A71" t="s">
        <v>8</v>
      </c>
      <c r="B71">
        <v>7877440</v>
      </c>
      <c r="C71" s="2" t="s">
        <v>208</v>
      </c>
      <c r="D71" s="2" t="str">
        <f>LEFT(TRIM(MID(SUBSTITUTE(tblShipments4[[#This Row],[Details]],CHAR(10)," "), FIND(CHAR(10),tblShipments4[[#This Row],[Details]])+1, 50)), 10)</f>
        <v>0515918024</v>
      </c>
      <c r="E71" t="s">
        <v>209</v>
      </c>
      <c r="F7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1" t="str">
        <f>IF(tblShipments4[[#This Row],[EGM no]]="", "Missing EGM", "EGM Submitted")</f>
        <v>EGM Submitted</v>
      </c>
      <c r="H71" t="str">
        <f>IF(OR(ISNUMBER(SEARCH("Released",tblShipments4[[#This Row],[ROSL]])),
      ISNUMBER(SEARCH("Scroll",tblShipments4[[#This Row],[ROSL]])),
      ISNUMBER(SEARCH("Y",tblShipments4[[#This Row],[ROSL]]))),
   "Released",
   "Not Released")</f>
        <v>Released</v>
      </c>
      <c r="I71" t="str">
        <f>IF(OR(tblShipments4[[#This Row],[EGM no]]="", tblShipments4[[#This Row],[EGM no]]="N.A."), "Not Submitted", "Submitted")</f>
        <v>Submitted</v>
      </c>
      <c r="J71" t="str">
        <f>IF(LEFT(tblShipments4[[#This Row],[Gateway_Extracted]],2)="IN","Valid","Invalid")</f>
        <v>Valid</v>
      </c>
      <c r="K71" t="s">
        <v>136</v>
      </c>
      <c r="L71" t="s">
        <v>210</v>
      </c>
      <c r="M71" t="s">
        <v>13</v>
      </c>
      <c r="N71" t="s">
        <v>211</v>
      </c>
      <c r="O71" t="str">
        <f>IFERROR("IN" &amp; _xlfn.TEXTBEFORE(_xlfn.TEXTAFTER(UPPER(tblShipments4[[#This Row],[Gateway_clean]]),"IN")," ",1),"")</f>
        <v>INMUN1</v>
      </c>
      <c r="P71" t="str">
        <f>SUBSTITUTE(tblShipments4[[#This Row],[Gateway]], CHAR(10), " ")</f>
        <v xml:space="preserve">AWB No. Gateway Port Gateway EGM No. Gateway EGM Date Gateway Site ID Error Code N.A.  INMUN1  137180  2017-10-18 00:00:00.0  INMUN1  ST </v>
      </c>
      <c r="Q71" t="s">
        <v>212</v>
      </c>
    </row>
    <row r="72" spans="1:17" x14ac:dyDescent="0.35">
      <c r="A72" t="s">
        <v>8</v>
      </c>
      <c r="B72">
        <v>9093386</v>
      </c>
      <c r="C72" s="2" t="s">
        <v>939</v>
      </c>
      <c r="D72" s="2" t="str">
        <f>LEFT(TRIM(MID(SUBSTITUTE(tblShipments4[[#This Row],[Details]],CHAR(10)," "), FIND(CHAR(10),tblShipments4[[#This Row],[Details]])+1, 50)), 10)</f>
        <v>0516502123</v>
      </c>
      <c r="E72" t="s">
        <v>949</v>
      </c>
      <c r="F7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2" t="str">
        <f>IF(tblShipments4[[#This Row],[EGM no]]="", "Missing EGM", "EGM Submitted")</f>
        <v>EGM Submitted</v>
      </c>
      <c r="H72" t="str">
        <f>IF(OR(ISNUMBER(SEARCH("Released",tblShipments4[[#This Row],[ROSL]])),
      ISNUMBER(SEARCH("Scroll",tblShipments4[[#This Row],[ROSL]])),
      ISNUMBER(SEARCH("Y",tblShipments4[[#This Row],[ROSL]]))),
   "Released",
   "Not Released")</f>
        <v>Released</v>
      </c>
      <c r="I72" t="str">
        <f>IF(OR(tblShipments4[[#This Row],[EGM no]]="", tblShipments4[[#This Row],[EGM no]]="N.A."), "Not Submitted", "Submitted")</f>
        <v>Submitted</v>
      </c>
      <c r="J72" t="str">
        <f>IF(LEFT(tblShipments4[[#This Row],[Gateway_Extracted]],2)="IN","Valid","Invalid")</f>
        <v>Valid</v>
      </c>
      <c r="K72" t="s">
        <v>930</v>
      </c>
      <c r="L72" t="s">
        <v>950</v>
      </c>
      <c r="M72" t="s">
        <v>13</v>
      </c>
      <c r="N72" t="s">
        <v>951</v>
      </c>
      <c r="O72" t="str">
        <f>IFERROR("IN" &amp; _xlfn.TEXTBEFORE(_xlfn.TEXTAFTER(UPPER(tblShipments4[[#This Row],[Gateway_clean]]),"IN")," ",1),"")</f>
        <v>INMUN1</v>
      </c>
      <c r="P72" t="str">
        <f>SUBSTITUTE(tblShipments4[[#This Row],[Gateway]], CHAR(10), " ")</f>
        <v xml:space="preserve">AWB No. Gateway Port Gateway EGM No. Gateway EGM Date Gateway Site ID Error Code N.A.  INMUN1  140361  2017-12-08 00:00:00.0  INMUN1  S </v>
      </c>
      <c r="Q72" t="s">
        <v>952</v>
      </c>
    </row>
    <row r="73" spans="1:17" x14ac:dyDescent="0.35">
      <c r="A73" t="s">
        <v>8</v>
      </c>
      <c r="B73">
        <v>8425293</v>
      </c>
      <c r="C73" s="2" t="s">
        <v>565</v>
      </c>
      <c r="D73" s="2" t="str">
        <f>LEFT(TRIM(MID(SUBSTITUTE(tblShipments4[[#This Row],[Details]],CHAR(10)," "), FIND(CHAR(10),tblShipments4[[#This Row],[Details]])+1, 50)), 10)</f>
        <v>0516900692</v>
      </c>
      <c r="E73" t="s">
        <v>574</v>
      </c>
      <c r="F7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3" t="str">
        <f>IF(tblShipments4[[#This Row],[EGM no]]="", "Missing EGM", "EGM Submitted")</f>
        <v>EGM Submitted</v>
      </c>
      <c r="H73" t="str">
        <f>IF(OR(ISNUMBER(SEARCH("Released",tblShipments4[[#This Row],[ROSL]])),
      ISNUMBER(SEARCH("Scroll",tblShipments4[[#This Row],[ROSL]])),
      ISNUMBER(SEARCH("Y",tblShipments4[[#This Row],[ROSL]]))),
   "Released",
   "Not Released")</f>
        <v>Released</v>
      </c>
      <c r="I73" t="str">
        <f>IF(OR(tblShipments4[[#This Row],[EGM no]]="", tblShipments4[[#This Row],[EGM no]]="N.A."), "Not Submitted", "Submitted")</f>
        <v>Submitted</v>
      </c>
      <c r="J73" t="str">
        <f>IF(LEFT(tblShipments4[[#This Row],[Gateway_Extracted]],2)="IN","Valid","Invalid")</f>
        <v>Valid</v>
      </c>
      <c r="K73" t="s">
        <v>575</v>
      </c>
      <c r="L73" t="s">
        <v>576</v>
      </c>
      <c r="M73" t="s">
        <v>13</v>
      </c>
      <c r="N73" t="s">
        <v>577</v>
      </c>
      <c r="O73" t="str">
        <f>IFERROR("IN" &amp; _xlfn.TEXTBEFORE(_xlfn.TEXTAFTER(UPPER(tblShipments4[[#This Row],[Gateway_clean]]),"IN")," ",1),"")</f>
        <v>INMUN1</v>
      </c>
      <c r="P73" t="str">
        <f>SUBSTITUTE(tblShipments4[[#This Row],[Gateway]], CHAR(10), " ")</f>
        <v xml:space="preserve">AWB No. Gateway Port Gateway EGM No. Gateway EGM Date Gateway Site ID Error Code N.A.  INMUN1  135448  2017-09-20 00:00:00.0  INMUN1  S </v>
      </c>
      <c r="Q73" t="s">
        <v>578</v>
      </c>
    </row>
    <row r="74" spans="1:17" x14ac:dyDescent="0.35">
      <c r="A74" t="s">
        <v>8</v>
      </c>
      <c r="B74">
        <v>8338807</v>
      </c>
      <c r="C74" s="2" t="s">
        <v>498</v>
      </c>
      <c r="D74" s="2" t="str">
        <f>LEFT(TRIM(MID(SUBSTITUTE(tblShipments4[[#This Row],[Details]],CHAR(10)," "), FIND(CHAR(10),tblShipments4[[#This Row],[Details]])+1, 50)), 10)</f>
        <v>0516954725</v>
      </c>
      <c r="E74" t="s">
        <v>517</v>
      </c>
      <c r="F7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4" t="str">
        <f>IF(tblShipments4[[#This Row],[EGM no]]="", "Missing EGM", "EGM Submitted")</f>
        <v>EGM Submitted</v>
      </c>
      <c r="H74" t="str">
        <f>IF(OR(ISNUMBER(SEARCH("Released",tblShipments4[[#This Row],[ROSL]])),
      ISNUMBER(SEARCH("Scroll",tblShipments4[[#This Row],[ROSL]])),
      ISNUMBER(SEARCH("Y",tblShipments4[[#This Row],[ROSL]]))),
   "Released",
   "Not Released")</f>
        <v>Released</v>
      </c>
      <c r="I74" t="str">
        <f>IF(OR(tblShipments4[[#This Row],[EGM no]]="", tblShipments4[[#This Row],[EGM no]]="N.A."), "Not Submitted", "Submitted")</f>
        <v>Submitted</v>
      </c>
      <c r="J74" t="str">
        <f>IF(LEFT(tblShipments4[[#This Row],[Gateway_Extracted]],2)="IN","Valid","Invalid")</f>
        <v>Valid</v>
      </c>
      <c r="K74" t="s">
        <v>518</v>
      </c>
      <c r="L74" t="s">
        <v>519</v>
      </c>
      <c r="M74" t="s">
        <v>31</v>
      </c>
      <c r="N74" t="s">
        <v>520</v>
      </c>
      <c r="O74" t="str">
        <f>IFERROR("IN" &amp; _xlfn.TEXTBEFORE(_xlfn.TEXTAFTER(UPPER(tblShipments4[[#This Row],[Gateway_clean]]),"IN")," ",1),"")</f>
        <v>INMUN1</v>
      </c>
      <c r="P74" t="str">
        <f>SUBSTITUTE(tblShipments4[[#This Row],[Gateway]], CHAR(10), " ")</f>
        <v xml:space="preserve">AWB No. Gateway Port Gateway EGM No. Gateway EGM Date Gateway Site ID Error Code N.A.  INMUN1  134870  2017-09-11 00:00:00.0  INMUN1  S </v>
      </c>
      <c r="Q74" t="s">
        <v>521</v>
      </c>
    </row>
    <row r="75" spans="1:17" x14ac:dyDescent="0.35">
      <c r="A75" t="s">
        <v>8</v>
      </c>
      <c r="B75">
        <v>7918086</v>
      </c>
      <c r="C75" s="2" t="s">
        <v>221</v>
      </c>
      <c r="D75" s="2" t="str">
        <f>LEFT(TRIM(MID(SUBSTITUTE(tblShipments4[[#This Row],[Details]],CHAR(10)," "), FIND(CHAR(10),tblShipments4[[#This Row],[Details]])+1, 50)), 10)</f>
        <v>0517542374</v>
      </c>
      <c r="E75" t="s">
        <v>237</v>
      </c>
      <c r="F7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5" t="str">
        <f>IF(tblShipments4[[#This Row],[EGM no]]="", "Missing EGM", "EGM Submitted")</f>
        <v>EGM Submitted</v>
      </c>
      <c r="H75" t="str">
        <f>IF(OR(ISNUMBER(SEARCH("Released",tblShipments4[[#This Row],[ROSL]])),
      ISNUMBER(SEARCH("Scroll",tblShipments4[[#This Row],[ROSL]])),
      ISNUMBER(SEARCH("Y",tblShipments4[[#This Row],[ROSL]]))),
   "Released",
   "Not Released")</f>
        <v>Released</v>
      </c>
      <c r="I75" t="str">
        <f>IF(OR(tblShipments4[[#This Row],[EGM no]]="", tblShipments4[[#This Row],[EGM no]]="N.A."), "Not Submitted", "Submitted")</f>
        <v>Submitted</v>
      </c>
      <c r="J75" t="str">
        <f>IF(LEFT(tblShipments4[[#This Row],[Gateway_Extracted]],2)="IN","Valid","Invalid")</f>
        <v>Valid</v>
      </c>
      <c r="K75" t="s">
        <v>136</v>
      </c>
      <c r="L75" t="s">
        <v>210</v>
      </c>
      <c r="M75" t="s">
        <v>13</v>
      </c>
      <c r="N75" t="s">
        <v>238</v>
      </c>
      <c r="O75" t="str">
        <f>IFERROR("IN" &amp; _xlfn.TEXTBEFORE(_xlfn.TEXTAFTER(UPPER(tblShipments4[[#This Row],[Gateway_clean]]),"IN")," ",1),"")</f>
        <v>INMUN1</v>
      </c>
      <c r="P75" t="str">
        <f>SUBSTITUTE(tblShipments4[[#This Row],[Gateway]], CHAR(10), " ")</f>
        <v xml:space="preserve">AWB No. Gateway Port Gateway EGM No. Gateway EGM Date Gateway Site ID Error Code N.A.  INMUN1  137180  2017-10-18 00:00:00.0  INMUN1  ST </v>
      </c>
      <c r="Q75" t="s">
        <v>212</v>
      </c>
    </row>
    <row r="76" spans="1:17" x14ac:dyDescent="0.35">
      <c r="A76" t="s">
        <v>8</v>
      </c>
      <c r="B76">
        <v>9572277</v>
      </c>
      <c r="C76" s="2" t="s">
        <v>1092</v>
      </c>
      <c r="D76" s="2" t="str">
        <f>LEFT(TRIM(MID(SUBSTITUTE(tblShipments4[[#This Row],[Details]],CHAR(10)," "), FIND(CHAR(10),tblShipments4[[#This Row],[Details]])+1, 50)), 10)</f>
        <v>0517542374</v>
      </c>
      <c r="E76" t="s">
        <v>1098</v>
      </c>
      <c r="F7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6" t="str">
        <f>IF(tblShipments4[[#This Row],[EGM no]]="", "Missing EGM", "EGM Submitted")</f>
        <v>EGM Submitted</v>
      </c>
      <c r="H76" t="str">
        <f>IF(OR(ISNUMBER(SEARCH("Released",tblShipments4[[#This Row],[ROSL]])),
      ISNUMBER(SEARCH("Scroll",tblShipments4[[#This Row],[ROSL]])),
      ISNUMBER(SEARCH("Y",tblShipments4[[#This Row],[ROSL]]))),
   "Released",
   "Not Released")</f>
        <v>Released</v>
      </c>
      <c r="I76" t="str">
        <f>IF(OR(tblShipments4[[#This Row],[EGM no]]="", tblShipments4[[#This Row],[EGM no]]="N.A."), "Not Submitted", "Submitted")</f>
        <v>Submitted</v>
      </c>
      <c r="J76" t="str">
        <f>IF(LEFT(tblShipments4[[#This Row],[Gateway_Extracted]],2)="IN","Valid","Invalid")</f>
        <v>Valid</v>
      </c>
      <c r="K76" t="s">
        <v>1099</v>
      </c>
      <c r="L76" t="s">
        <v>1100</v>
      </c>
      <c r="M76" t="s">
        <v>13</v>
      </c>
      <c r="N76" t="s">
        <v>1101</v>
      </c>
      <c r="O76" t="str">
        <f>IFERROR("IN" &amp; _xlfn.TEXTBEFORE(_xlfn.TEXTAFTER(UPPER(tblShipments4[[#This Row],[Gateway_clean]]),"IN")," ",1),"")</f>
        <v>INMUN1</v>
      </c>
      <c r="P76" t="str">
        <f>SUBSTITUTE(tblShipments4[[#This Row],[Gateway]], CHAR(10), " ")</f>
        <v xml:space="preserve">AWB No. Gateway Port Gateway EGM No. Gateway EGM Date Gateway Site ID Error Code N.A.  INMUN1  139244  2017-11-21 00:00:00.0  INMUN1  S </v>
      </c>
      <c r="Q76" t="s">
        <v>1102</v>
      </c>
    </row>
    <row r="77" spans="1:17" x14ac:dyDescent="0.35">
      <c r="A77" t="s">
        <v>8</v>
      </c>
      <c r="B77">
        <v>7968231</v>
      </c>
      <c r="C77" s="2" t="s">
        <v>255</v>
      </c>
      <c r="D77" s="2" t="str">
        <f>LEFT(TRIM(MID(SUBSTITUTE(tblShipments4[[#This Row],[Details]],CHAR(10)," "), FIND(CHAR(10),tblShipments4[[#This Row],[Details]])+1, 50)), 10)</f>
        <v>0517546981</v>
      </c>
      <c r="E77" t="s">
        <v>267</v>
      </c>
      <c r="F7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7" t="str">
        <f>IF(tblShipments4[[#This Row],[EGM no]]="", "Missing EGM", "EGM Submitted")</f>
        <v>EGM Submitted</v>
      </c>
      <c r="H77" t="str">
        <f>IF(OR(ISNUMBER(SEARCH("Released",tblShipments4[[#This Row],[ROSL]])),
      ISNUMBER(SEARCH("Scroll",tblShipments4[[#This Row],[ROSL]])),
      ISNUMBER(SEARCH("Y",tblShipments4[[#This Row],[ROSL]]))),
   "Released",
   "Not Released")</f>
        <v>Released</v>
      </c>
      <c r="I77" t="str">
        <f>IF(OR(tblShipments4[[#This Row],[EGM no]]="", tblShipments4[[#This Row],[EGM no]]="N.A."), "Not Submitted", "Submitted")</f>
        <v>Submitted</v>
      </c>
      <c r="J77" t="str">
        <f>IF(LEFT(tblShipments4[[#This Row],[Gateway_Extracted]],2)="IN","Valid","Invalid")</f>
        <v>Valid</v>
      </c>
      <c r="K77" t="s">
        <v>268</v>
      </c>
      <c r="L77" t="s">
        <v>269</v>
      </c>
      <c r="M77" t="s">
        <v>31</v>
      </c>
      <c r="N77" t="s">
        <v>270</v>
      </c>
      <c r="O77" t="str">
        <f>IFERROR("IN" &amp; _xlfn.TEXTBEFORE(_xlfn.TEXTAFTER(UPPER(tblShipments4[[#This Row],[Gateway_clean]]),"IN")," ",1),"")</f>
        <v>INMUN1</v>
      </c>
      <c r="P77" t="str">
        <f>SUBSTITUTE(tblShipments4[[#This Row],[Gateway]], CHAR(10), " ")</f>
        <v xml:space="preserve">AWB No. Gateway Port Gateway EGM No. Gateway EGM Date Gateway Site ID Error Code N.A.  INMUN1  137180  2017-10-18 00:00:00.0  INMUN1  ST </v>
      </c>
      <c r="Q77" t="s">
        <v>212</v>
      </c>
    </row>
    <row r="78" spans="1:17" x14ac:dyDescent="0.35">
      <c r="A78" t="s">
        <v>8</v>
      </c>
      <c r="B78">
        <v>9096262</v>
      </c>
      <c r="C78" s="2" t="s">
        <v>939</v>
      </c>
      <c r="D78" s="2" t="str">
        <f>LEFT(TRIM(MID(SUBSTITUTE(tblShipments4[[#This Row],[Details]],CHAR(10)," "), FIND(CHAR(10),tblShipments4[[#This Row],[Details]])+1, 50)), 10)</f>
        <v>0588128180</v>
      </c>
      <c r="E78" t="s">
        <v>953</v>
      </c>
      <c r="F7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8" t="str">
        <f>IF(tblShipments4[[#This Row],[EGM no]]="", "Missing EGM", "EGM Submitted")</f>
        <v>EGM Submitted</v>
      </c>
      <c r="H78" t="str">
        <f>IF(OR(ISNUMBER(SEARCH("Released",tblShipments4[[#This Row],[ROSL]])),
      ISNUMBER(SEARCH("Scroll",tblShipments4[[#This Row],[ROSL]])),
      ISNUMBER(SEARCH("Y",tblShipments4[[#This Row],[ROSL]]))),
   "Released",
   "Not Released")</f>
        <v>Released</v>
      </c>
      <c r="I78" t="str">
        <f>IF(OR(tblShipments4[[#This Row],[EGM no]]="", tblShipments4[[#This Row],[EGM no]]="N.A."), "Not Submitted", "Submitted")</f>
        <v>Submitted</v>
      </c>
      <c r="J78" t="str">
        <f>IF(LEFT(tblShipments4[[#This Row],[Gateway_Extracted]],2)="IN","Valid","Invalid")</f>
        <v>Valid</v>
      </c>
      <c r="K78" t="s">
        <v>887</v>
      </c>
      <c r="L78" t="s">
        <v>954</v>
      </c>
      <c r="M78" t="s">
        <v>13</v>
      </c>
      <c r="N78" t="s">
        <v>955</v>
      </c>
      <c r="O78" t="str">
        <f>IFERROR("IN" &amp; _xlfn.TEXTBEFORE(_xlfn.TEXTAFTER(UPPER(tblShipments4[[#This Row],[Gateway_clean]]),"IN")," ",1),"")</f>
        <v>INMUN1</v>
      </c>
      <c r="P78" t="str">
        <f>SUBSTITUTE(tblShipments4[[#This Row],[Gateway]], CHAR(10), " ")</f>
        <v xml:space="preserve">AWB No. Gateway Port Gateway EGM No. Gateway EGM Date Gateway Site ID Error Code N.A.  INMUN1  136910  2017-10-13 00:00:00.0  INMUN1  S </v>
      </c>
      <c r="Q78" t="s">
        <v>956</v>
      </c>
    </row>
    <row r="79" spans="1:17" x14ac:dyDescent="0.35">
      <c r="A79" t="s">
        <v>8</v>
      </c>
      <c r="B79">
        <v>1350667</v>
      </c>
      <c r="C79" s="2" t="s">
        <v>1415</v>
      </c>
      <c r="D79" s="2" t="str">
        <f>LEFT(TRIM(MID(SUBSTITUTE(tblShipments4[[#This Row],[Details]],CHAR(10)," "), FIND(CHAR(10),tblShipments4[[#This Row],[Details]])+1, 50)), 10)</f>
        <v>0588128180</v>
      </c>
      <c r="E79" t="s">
        <v>1431</v>
      </c>
      <c r="F7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79" t="str">
        <f>IF(tblShipments4[[#This Row],[EGM no]]="", "Missing EGM", "EGM Submitted")</f>
        <v>EGM Submitted</v>
      </c>
      <c r="H79" t="str">
        <f>IF(OR(ISNUMBER(SEARCH("Released",tblShipments4[[#This Row],[ROSL]])),
      ISNUMBER(SEARCH("Scroll",tblShipments4[[#This Row],[ROSL]])),
      ISNUMBER(SEARCH("Y",tblShipments4[[#This Row],[ROSL]]))),
   "Released",
   "Not Released")</f>
        <v>Released</v>
      </c>
      <c r="I79" t="str">
        <f>IF(OR(tblShipments4[[#This Row],[EGM no]]="", tblShipments4[[#This Row],[EGM no]]="N.A."), "Not Submitted", "Submitted")</f>
        <v>Submitted</v>
      </c>
      <c r="J79" t="str">
        <f>IF(LEFT(tblShipments4[[#This Row],[Gateway_Extracted]],2)="IN","Valid","Invalid")</f>
        <v>Valid</v>
      </c>
      <c r="K79" t="s">
        <v>1432</v>
      </c>
      <c r="L79" t="s">
        <v>1433</v>
      </c>
      <c r="M79" t="s">
        <v>13</v>
      </c>
      <c r="N79" t="s">
        <v>1434</v>
      </c>
      <c r="O79" t="str">
        <f>IFERROR("IN" &amp; _xlfn.TEXTBEFORE(_xlfn.TEXTAFTER(UPPER(tblShipments4[[#This Row],[Gateway_clean]]),"IN")," ",1),"")</f>
        <v>INMUN1</v>
      </c>
      <c r="P79" t="str">
        <f>SUBSTITUTE(tblShipments4[[#This Row],[Gateway]], CHAR(10), " ")</f>
        <v xml:space="preserve">AWB No. Gateway Port Gateway EGM No. Gateway EGM Date Gateway Site ID Error Code N.A.  INMUN1  140703  2017-12-14 00:00:00.0  INMUN1  S </v>
      </c>
      <c r="Q79" t="s">
        <v>1435</v>
      </c>
    </row>
    <row r="80" spans="1:17" x14ac:dyDescent="0.35">
      <c r="A80" t="s">
        <v>8</v>
      </c>
      <c r="B80">
        <v>1899578</v>
      </c>
      <c r="C80" s="2" t="s">
        <v>1704</v>
      </c>
      <c r="D80" s="2" t="str">
        <f>LEFT(TRIM(MID(SUBSTITUTE(tblShipments4[[#This Row],[Details]],CHAR(10)," "), FIND(CHAR(10),tblShipments4[[#This Row],[Details]])+1, 50)), 10)</f>
        <v>0588128180</v>
      </c>
      <c r="E80" t="s">
        <v>1705</v>
      </c>
      <c r="F8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0" t="str">
        <f>IF(tblShipments4[[#This Row],[EGM no]]="", "Missing EGM", "EGM Submitted")</f>
        <v>EGM Submitted</v>
      </c>
      <c r="H80" t="str">
        <f>IF(OR(ISNUMBER(SEARCH("Released",tblShipments4[[#This Row],[ROSL]])),
      ISNUMBER(SEARCH("Scroll",tblShipments4[[#This Row],[ROSL]])),
      ISNUMBER(SEARCH("Y",tblShipments4[[#This Row],[ROSL]]))),
   "Released",
   "Not Released")</f>
        <v>Released</v>
      </c>
      <c r="I80" t="str">
        <f>IF(OR(tblShipments4[[#This Row],[EGM no]]="", tblShipments4[[#This Row],[EGM no]]="N.A."), "Not Submitted", "Submitted")</f>
        <v>Submitted</v>
      </c>
      <c r="J80" t="str">
        <f>IF(LEFT(tblShipments4[[#This Row],[Gateway_Extracted]],2)="IN","Valid","Invalid")</f>
        <v>Valid</v>
      </c>
      <c r="K80" t="s">
        <v>1706</v>
      </c>
      <c r="L80" t="s">
        <v>1668</v>
      </c>
      <c r="M80" t="s">
        <v>31</v>
      </c>
      <c r="N80" t="s">
        <v>1707</v>
      </c>
      <c r="O80" t="str">
        <f>IFERROR("IN" &amp; _xlfn.TEXTBEFORE(_xlfn.TEXTAFTER(UPPER(tblShipments4[[#This Row],[Gateway_clean]]),"IN")," ",1),"")</f>
        <v>INMUN1</v>
      </c>
      <c r="P80" t="str">
        <f>SUBSTITUTE(tblShipments4[[#This Row],[Gateway]], CHAR(10), " ")</f>
        <v xml:space="preserve">AWB No. Gateway Port Gateway EGM No. Gateway EGM Date Gateway Site ID Error Code N.A.  INMUN1  143166  2018-01-23 00:00:00.0  INMUN1  S </v>
      </c>
      <c r="Q80" t="s">
        <v>1670</v>
      </c>
    </row>
    <row r="81" spans="1:17" x14ac:dyDescent="0.35">
      <c r="A81" t="s">
        <v>8</v>
      </c>
      <c r="B81">
        <v>1718128</v>
      </c>
      <c r="C81" s="2" t="s">
        <v>1615</v>
      </c>
      <c r="D81" s="2" t="str">
        <f>LEFT(TRIM(MID(SUBSTITUTE(tblShipments4[[#This Row],[Details]],CHAR(10)," "), FIND(CHAR(10),tblShipments4[[#This Row],[Details]])+1, 50)), 10)</f>
        <v>0589036734</v>
      </c>
      <c r="E81" t="s">
        <v>1616</v>
      </c>
      <c r="F8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1" t="str">
        <f>IF(tblShipments4[[#This Row],[EGM no]]="", "Missing EGM", "EGM Submitted")</f>
        <v>EGM Submitted</v>
      </c>
      <c r="H81" t="str">
        <f>IF(OR(ISNUMBER(SEARCH("Released",tblShipments4[[#This Row],[ROSL]])),
      ISNUMBER(SEARCH("Scroll",tblShipments4[[#This Row],[ROSL]])),
      ISNUMBER(SEARCH("Y",tblShipments4[[#This Row],[ROSL]]))),
   "Released",
   "Not Released")</f>
        <v>Released</v>
      </c>
      <c r="I81" t="str">
        <f>IF(OR(tblShipments4[[#This Row],[EGM no]]="", tblShipments4[[#This Row],[EGM no]]="N.A."), "Not Submitted", "Submitted")</f>
        <v>Submitted</v>
      </c>
      <c r="J81" t="str">
        <f>IF(LEFT(tblShipments4[[#This Row],[Gateway_Extracted]],2)="IN","Valid","Invalid")</f>
        <v>Valid</v>
      </c>
      <c r="K81" t="s">
        <v>1558</v>
      </c>
      <c r="L81" t="s">
        <v>1617</v>
      </c>
      <c r="M81" t="s">
        <v>13</v>
      </c>
      <c r="N81" t="s">
        <v>1618</v>
      </c>
      <c r="O81" t="str">
        <f>IFERROR("IN" &amp; _xlfn.TEXTBEFORE(_xlfn.TEXTAFTER(UPPER(tblShipments4[[#This Row],[Gateway_clean]]),"IN")," ",1),"")</f>
        <v>INMUN1</v>
      </c>
      <c r="P81" t="str">
        <f>SUBSTITUTE(tblShipments4[[#This Row],[Gateway]], CHAR(10), " ")</f>
        <v xml:space="preserve">AWB No. Gateway Port Gateway EGM No. Gateway EGM Date Gateway Site ID Error Code N.A.  INMUN1  141502  2017-12-27 00:00:00.0  INMUN1  S </v>
      </c>
      <c r="Q81" t="s">
        <v>1619</v>
      </c>
    </row>
    <row r="82" spans="1:17" x14ac:dyDescent="0.35">
      <c r="A82" t="s">
        <v>8</v>
      </c>
      <c r="B82">
        <v>1780079</v>
      </c>
      <c r="C82" s="2" t="s">
        <v>1633</v>
      </c>
      <c r="D82" s="2" t="str">
        <f>LEFT(TRIM(MID(SUBSTITUTE(tblShipments4[[#This Row],[Details]],CHAR(10)," "), FIND(CHAR(10),tblShipments4[[#This Row],[Details]])+1, 50)), 10)</f>
        <v>0589036734</v>
      </c>
      <c r="E82" t="s">
        <v>1647</v>
      </c>
      <c r="F8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2" t="str">
        <f>IF(tblShipments4[[#This Row],[EGM no]]="", "Missing EGM", "EGM Submitted")</f>
        <v>EGM Submitted</v>
      </c>
      <c r="H82" t="str">
        <f>IF(OR(ISNUMBER(SEARCH("Released",tblShipments4[[#This Row],[ROSL]])),
      ISNUMBER(SEARCH("Scroll",tblShipments4[[#This Row],[ROSL]])),
      ISNUMBER(SEARCH("Y",tblShipments4[[#This Row],[ROSL]]))),
   "Released",
   "Not Released")</f>
        <v>Released</v>
      </c>
      <c r="I82" t="str">
        <f>IF(OR(tblShipments4[[#This Row],[EGM no]]="", tblShipments4[[#This Row],[EGM no]]="N.A."), "Not Submitted", "Submitted")</f>
        <v>Submitted</v>
      </c>
      <c r="J82" t="str">
        <f>IF(LEFT(tblShipments4[[#This Row],[Gateway_Extracted]],2)="IN","Valid","Invalid")</f>
        <v>Valid</v>
      </c>
      <c r="K82" t="s">
        <v>1597</v>
      </c>
      <c r="L82" t="s">
        <v>1617</v>
      </c>
      <c r="M82" t="s">
        <v>13</v>
      </c>
      <c r="N82" t="s">
        <v>1648</v>
      </c>
      <c r="O82" t="str">
        <f>IFERROR("IN" &amp; _xlfn.TEXTBEFORE(_xlfn.TEXTAFTER(UPPER(tblShipments4[[#This Row],[Gateway_clean]]),"IN")," ",1),"")</f>
        <v>INMUN1</v>
      </c>
      <c r="P82" t="str">
        <f>SUBSTITUTE(tblShipments4[[#This Row],[Gateway]], CHAR(10), " ")</f>
        <v xml:space="preserve">AWB No. Gateway Port Gateway EGM No. Gateway EGM Date Gateway Site ID Error Code N.A.  INMUN1  141502  2017-12-27 00:00:00.0  INMUN1  S </v>
      </c>
      <c r="Q82" t="s">
        <v>1619</v>
      </c>
    </row>
    <row r="83" spans="1:17" x14ac:dyDescent="0.35">
      <c r="A83" t="s">
        <v>8</v>
      </c>
      <c r="B83">
        <v>1866627</v>
      </c>
      <c r="C83" s="2" t="s">
        <v>1687</v>
      </c>
      <c r="D83" s="2" t="str">
        <f>LEFT(TRIM(MID(SUBSTITUTE(tblShipments4[[#This Row],[Details]],CHAR(10)," "), FIND(CHAR(10),tblShipments4[[#This Row],[Details]])+1, 50)), 10)</f>
        <v>0589036734</v>
      </c>
      <c r="E83" t="s">
        <v>1696</v>
      </c>
      <c r="F8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3" t="str">
        <f>IF(tblShipments4[[#This Row],[EGM no]]="", "Missing EGM", "EGM Submitted")</f>
        <v>EGM Submitted</v>
      </c>
      <c r="H83" t="str">
        <f>IF(OR(ISNUMBER(SEARCH("Released",tblShipments4[[#This Row],[ROSL]])),
      ISNUMBER(SEARCH("Scroll",tblShipments4[[#This Row],[ROSL]])),
      ISNUMBER(SEARCH("Y",tblShipments4[[#This Row],[ROSL]]))),
   "Released",
   "Not Released")</f>
        <v>Released</v>
      </c>
      <c r="I83" t="str">
        <f>IF(OR(tblShipments4[[#This Row],[EGM no]]="", tblShipments4[[#This Row],[EGM no]]="N.A."), "Not Submitted", "Submitted")</f>
        <v>Submitted</v>
      </c>
      <c r="J83" t="str">
        <f>IF(LEFT(tblShipments4[[#This Row],[Gateway_Extracted]],2)="IN","Valid","Invalid")</f>
        <v>Valid</v>
      </c>
      <c r="K83" t="s">
        <v>1697</v>
      </c>
      <c r="L83" t="s">
        <v>1698</v>
      </c>
      <c r="M83" t="s">
        <v>13</v>
      </c>
      <c r="N83" t="s">
        <v>1699</v>
      </c>
      <c r="O83" t="str">
        <f>IFERROR("IN" &amp; _xlfn.TEXTBEFORE(_xlfn.TEXTAFTER(UPPER(tblShipments4[[#This Row],[Gateway_clean]]),"IN")," ",1),"")</f>
        <v>INMUN1</v>
      </c>
      <c r="P83" t="str">
        <f>SUBSTITUTE(tblShipments4[[#This Row],[Gateway]], CHAR(10), " ")</f>
        <v xml:space="preserve">AWB No. Gateway Port Gateway EGM No. Gateway EGM Date Gateway Site ID Error Code N.A.  INMUN1  141770  2018-01-02 00:00:00.0  INMUN1  S </v>
      </c>
      <c r="Q83" t="s">
        <v>1700</v>
      </c>
    </row>
    <row r="84" spans="1:17" x14ac:dyDescent="0.35">
      <c r="A84" t="s">
        <v>8</v>
      </c>
      <c r="B84">
        <v>8102896</v>
      </c>
      <c r="C84" s="2" t="s">
        <v>346</v>
      </c>
      <c r="D84" s="2" t="str">
        <f>LEFT(TRIM(MID(SUBSTITUTE(tblShipments4[[#This Row],[Details]],CHAR(10)," "), FIND(CHAR(10),tblShipments4[[#This Row],[Details]])+1, 50)), 10)</f>
        <v>0589053850</v>
      </c>
      <c r="E84" t="s">
        <v>347</v>
      </c>
      <c r="F8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4" t="str">
        <f>IF(tblShipments4[[#This Row],[EGM no]]="", "Missing EGM", "EGM Submitted")</f>
        <v>EGM Submitted</v>
      </c>
      <c r="H84" t="str">
        <f>IF(OR(ISNUMBER(SEARCH("Released",tblShipments4[[#This Row],[ROSL]])),
      ISNUMBER(SEARCH("Scroll",tblShipments4[[#This Row],[ROSL]])),
      ISNUMBER(SEARCH("Y",tblShipments4[[#This Row],[ROSL]]))),
   "Released",
   "Not Released")</f>
        <v>Released</v>
      </c>
      <c r="I84" t="str">
        <f>IF(OR(tblShipments4[[#This Row],[EGM no]]="", tblShipments4[[#This Row],[EGM no]]="N.A."), "Not Submitted", "Submitted")</f>
        <v>Submitted</v>
      </c>
      <c r="J84" t="str">
        <f>IF(LEFT(tblShipments4[[#This Row],[Gateway_Extracted]],2)="IN","Valid","Invalid")</f>
        <v>Valid</v>
      </c>
      <c r="K84" t="s">
        <v>261</v>
      </c>
      <c r="L84" t="s">
        <v>348</v>
      </c>
      <c r="M84" t="s">
        <v>13</v>
      </c>
      <c r="N84" t="s">
        <v>349</v>
      </c>
      <c r="O84" t="str">
        <f>IFERROR("IN" &amp; _xlfn.TEXTBEFORE(_xlfn.TEXTAFTER(UPPER(tblShipments4[[#This Row],[Gateway_clean]]),"IN")," ",1),"")</f>
        <v>INMUN1</v>
      </c>
      <c r="P84" t="str">
        <f>SUBSTITUTE(tblShipments4[[#This Row],[Gateway]], CHAR(10), " ")</f>
        <v xml:space="preserve">AWB No. Gateway Port Gateway EGM No. Gateway EGM Date Gateway Site ID Error Code N.A.  INMUN1  137180  2017-10-18 00:00:00.0  INMUN1  ST </v>
      </c>
      <c r="Q84" t="s">
        <v>212</v>
      </c>
    </row>
    <row r="85" spans="1:17" x14ac:dyDescent="0.35">
      <c r="A85" t="s">
        <v>8</v>
      </c>
      <c r="B85">
        <v>7970037</v>
      </c>
      <c r="C85" s="2" t="s">
        <v>255</v>
      </c>
      <c r="D85" s="2" t="str">
        <f>LEFT(TRIM(MID(SUBSTITUTE(tblShipments4[[#This Row],[Details]],CHAR(10)," "), FIND(CHAR(10),tblShipments4[[#This Row],[Details]])+1, 50)), 10)</f>
        <v>0590022873</v>
      </c>
      <c r="E85" t="s">
        <v>271</v>
      </c>
      <c r="F8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5" t="str">
        <f>IF(tblShipments4[[#This Row],[EGM no]]="", "Missing EGM", "EGM Submitted")</f>
        <v>EGM Submitted</v>
      </c>
      <c r="H85" t="str">
        <f>IF(OR(ISNUMBER(SEARCH("Released",tblShipments4[[#This Row],[ROSL]])),
      ISNUMBER(SEARCH("Scroll",tblShipments4[[#This Row],[ROSL]])),
      ISNUMBER(SEARCH("Y",tblShipments4[[#This Row],[ROSL]]))),
   "Released",
   "Not Released")</f>
        <v>Released</v>
      </c>
      <c r="I85" t="str">
        <f>IF(OR(tblShipments4[[#This Row],[EGM no]]="", tblShipments4[[#This Row],[EGM no]]="N.A."), "Not Submitted", "Submitted")</f>
        <v>Submitted</v>
      </c>
      <c r="J85" t="str">
        <f>IF(LEFT(tblShipments4[[#This Row],[Gateway_Extracted]],2)="IN","Valid","Invalid")</f>
        <v>Valid</v>
      </c>
      <c r="K85" t="s">
        <v>272</v>
      </c>
      <c r="L85" t="s">
        <v>273</v>
      </c>
      <c r="M85" t="s">
        <v>13</v>
      </c>
      <c r="N85" t="s">
        <v>274</v>
      </c>
      <c r="O85" t="str">
        <f>IFERROR("IN" &amp; _xlfn.TEXTBEFORE(_xlfn.TEXTAFTER(UPPER(tblShipments4[[#This Row],[Gateway_clean]]),"IN")," ",1),"")</f>
        <v>INMUN1</v>
      </c>
      <c r="P85" t="str">
        <f>SUBSTITUTE(tblShipments4[[#This Row],[Gateway]], CHAR(10), " ")</f>
        <v xml:space="preserve">AWB No. Gateway Port Gateway EGM No. Gateway EGM Date Gateway Site ID Error Code N.A.  INMUN1  134147  2017-08-29 00:00:00.0  INMUN1  S </v>
      </c>
      <c r="Q85" t="s">
        <v>275</v>
      </c>
    </row>
    <row r="86" spans="1:17" x14ac:dyDescent="0.35">
      <c r="A86" t="s">
        <v>8</v>
      </c>
      <c r="B86">
        <v>8216744</v>
      </c>
      <c r="C86" s="2" t="s">
        <v>409</v>
      </c>
      <c r="D86" s="2" t="str">
        <f>LEFT(TRIM(MID(SUBSTITUTE(tblShipments4[[#This Row],[Details]],CHAR(10)," "), FIND(CHAR(10),tblShipments4[[#This Row],[Details]])+1, 50)), 10)</f>
        <v>0591046270</v>
      </c>
      <c r="E86" t="s">
        <v>422</v>
      </c>
      <c r="F8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6" t="str">
        <f>IF(tblShipments4[[#This Row],[EGM no]]="", "Missing EGM", "EGM Submitted")</f>
        <v>EGM Submitted</v>
      </c>
      <c r="H86" t="str">
        <f>IF(OR(ISNUMBER(SEARCH("Released",tblShipments4[[#This Row],[ROSL]])),
      ISNUMBER(SEARCH("Scroll",tblShipments4[[#This Row],[ROSL]])),
      ISNUMBER(SEARCH("Y",tblShipments4[[#This Row],[ROSL]]))),
   "Released",
   "Not Released")</f>
        <v>Released</v>
      </c>
      <c r="I86" t="str">
        <f>IF(OR(tblShipments4[[#This Row],[EGM no]]="", tblShipments4[[#This Row],[EGM no]]="N.A."), "Not Submitted", "Submitted")</f>
        <v>Submitted</v>
      </c>
      <c r="J86" t="str">
        <f>IF(LEFT(tblShipments4[[#This Row],[Gateway_Extracted]],2)="IN","Valid","Invalid")</f>
        <v>Valid</v>
      </c>
      <c r="K86" t="s">
        <v>394</v>
      </c>
      <c r="L86" t="s">
        <v>423</v>
      </c>
      <c r="M86" t="s">
        <v>13</v>
      </c>
      <c r="N86" t="s">
        <v>424</v>
      </c>
      <c r="O86" t="str">
        <f>IFERROR("IN" &amp; _xlfn.TEXTBEFORE(_xlfn.TEXTAFTER(UPPER(tblShipments4[[#This Row],[Gateway_clean]]),"IN")," ",1),"")</f>
        <v>INMUN1</v>
      </c>
      <c r="P86" t="str">
        <f>SUBSTITUTE(tblShipments4[[#This Row],[Gateway]], CHAR(10), " ")</f>
        <v xml:space="preserve">AWB No. Gateway Port Gateway EGM No. Gateway EGM Date Gateway Site ID Error Code N.A.  INMUN1  135378  2017-09-19 00:00:00.0  INMUN1  S </v>
      </c>
      <c r="Q86" t="s">
        <v>425</v>
      </c>
    </row>
    <row r="87" spans="1:17" x14ac:dyDescent="0.35">
      <c r="A87" t="s">
        <v>8</v>
      </c>
      <c r="B87">
        <v>1474614</v>
      </c>
      <c r="C87" s="2" t="s">
        <v>1459</v>
      </c>
      <c r="D87" s="2" t="str">
        <f>LEFT(TRIM(MID(SUBSTITUTE(tblShipments4[[#This Row],[Details]],CHAR(10)," "), FIND(CHAR(10),tblShipments4[[#This Row],[Details]])+1, 50)), 10)</f>
        <v>0593033043</v>
      </c>
      <c r="E87" t="s">
        <v>1480</v>
      </c>
      <c r="F8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7" t="str">
        <f>IF(tblShipments4[[#This Row],[EGM no]]="", "Missing EGM", "EGM Submitted")</f>
        <v>EGM Submitted</v>
      </c>
      <c r="H87" t="str">
        <f>IF(OR(ISNUMBER(SEARCH("Released",tblShipments4[[#This Row],[ROSL]])),
      ISNUMBER(SEARCH("Scroll",tblShipments4[[#This Row],[ROSL]])),
      ISNUMBER(SEARCH("Y",tblShipments4[[#This Row],[ROSL]]))),
   "Released",
   "Not Released")</f>
        <v>Released</v>
      </c>
      <c r="I87" t="str">
        <f>IF(OR(tblShipments4[[#This Row],[EGM no]]="", tblShipments4[[#This Row],[EGM no]]="N.A."), "Not Submitted", "Submitted")</f>
        <v>Submitted</v>
      </c>
      <c r="J87" t="str">
        <f>IF(LEFT(tblShipments4[[#This Row],[Gateway_Extracted]],2)="IN","Valid","Invalid")</f>
        <v>Valid</v>
      </c>
      <c r="K87" t="s">
        <v>1481</v>
      </c>
      <c r="L87" t="s">
        <v>1482</v>
      </c>
      <c r="M87" t="s">
        <v>31</v>
      </c>
      <c r="N87" t="s">
        <v>1483</v>
      </c>
      <c r="O87" t="str">
        <f>IFERROR("IN" &amp; _xlfn.TEXTBEFORE(_xlfn.TEXTAFTER(UPPER(tblShipments4[[#This Row],[Gateway_clean]]),"IN")," ",1),"")</f>
        <v>INMUN1</v>
      </c>
      <c r="P87" t="str">
        <f>SUBSTITUTE(tblShipments4[[#This Row],[Gateway]], CHAR(10), " ")</f>
        <v xml:space="preserve">AWB No. Gateway Port Gateway EGM No. Gateway EGM Date Gateway Site ID Error Code N.A.  INMUN1  141426  2017-12-27 00:00:00.0  INMUN1  S </v>
      </c>
      <c r="Q87" t="s">
        <v>1484</v>
      </c>
    </row>
    <row r="88" spans="1:17" x14ac:dyDescent="0.35">
      <c r="A88" t="s">
        <v>8</v>
      </c>
      <c r="B88">
        <v>7849871</v>
      </c>
      <c r="C88" s="2" t="s">
        <v>191</v>
      </c>
      <c r="D88" s="2" t="str">
        <f>LEFT(TRIM(MID(SUBSTITUTE(tblShipments4[[#This Row],[Details]],CHAR(10)," "), FIND(CHAR(10),tblShipments4[[#This Row],[Details]])+1, 50)), 10)</f>
        <v>0593056868</v>
      </c>
      <c r="E88" t="s">
        <v>195</v>
      </c>
      <c r="F8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8" t="str">
        <f>IF(tblShipments4[[#This Row],[EGM no]]="", "Missing EGM", "EGM Submitted")</f>
        <v>EGM Submitted</v>
      </c>
      <c r="H88" t="str">
        <f>IF(OR(ISNUMBER(SEARCH("Released",tblShipments4[[#This Row],[ROSL]])),
      ISNUMBER(SEARCH("Scroll",tblShipments4[[#This Row],[ROSL]])),
      ISNUMBER(SEARCH("Y",tblShipments4[[#This Row],[ROSL]]))),
   "Released",
   "Not Released")</f>
        <v>Released</v>
      </c>
      <c r="I88" t="str">
        <f>IF(OR(tblShipments4[[#This Row],[EGM no]]="", tblShipments4[[#This Row],[EGM no]]="N.A."), "Not Submitted", "Submitted")</f>
        <v>Submitted</v>
      </c>
      <c r="J88" t="str">
        <f>IF(LEFT(tblShipments4[[#This Row],[Gateway_Extracted]],2)="IN","Valid","Invalid")</f>
        <v>Valid</v>
      </c>
      <c r="K88" t="s">
        <v>196</v>
      </c>
      <c r="L88" t="s">
        <v>197</v>
      </c>
      <c r="M88" t="s">
        <v>13</v>
      </c>
      <c r="N88" t="s">
        <v>198</v>
      </c>
      <c r="O88" t="str">
        <f>IFERROR("IN" &amp; _xlfn.TEXTBEFORE(_xlfn.TEXTAFTER(UPPER(tblShipments4[[#This Row],[Gateway_clean]]),"IN")," ",1),"")</f>
        <v>INMUN1</v>
      </c>
      <c r="P88" t="str">
        <f>SUBSTITUTE(tblShipments4[[#This Row],[Gateway]], CHAR(10), " ")</f>
        <v xml:space="preserve">AWB No. Gateway Port Gateway EGM No. Gateway EGM Date Gateway Site ID Error Code N.A.  INMUN1  133184  2017-08-11 00:00:00.0  INMUN1  S </v>
      </c>
      <c r="Q88" t="s">
        <v>199</v>
      </c>
    </row>
    <row r="89" spans="1:17" x14ac:dyDescent="0.35">
      <c r="A89" t="s">
        <v>8</v>
      </c>
      <c r="B89">
        <v>8055596</v>
      </c>
      <c r="C89" s="2" t="s">
        <v>310</v>
      </c>
      <c r="D89" s="2" t="str">
        <f>LEFT(TRIM(MID(SUBSTITUTE(tblShipments4[[#This Row],[Details]],CHAR(10)," "), FIND(CHAR(10),tblShipments4[[#This Row],[Details]])+1, 50)), 10)</f>
        <v>0593058577</v>
      </c>
      <c r="E89" t="s">
        <v>311</v>
      </c>
      <c r="F8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89" t="str">
        <f>IF(tblShipments4[[#This Row],[EGM no]]="", "Missing EGM", "EGM Submitted")</f>
        <v>EGM Submitted</v>
      </c>
      <c r="H89" t="str">
        <f>IF(OR(ISNUMBER(SEARCH("Released",tblShipments4[[#This Row],[ROSL]])),
      ISNUMBER(SEARCH("Scroll",tblShipments4[[#This Row],[ROSL]])),
      ISNUMBER(SEARCH("Y",tblShipments4[[#This Row],[ROSL]]))),
   "Released",
   "Not Released")</f>
        <v>Released</v>
      </c>
      <c r="I89" t="str">
        <f>IF(OR(tblShipments4[[#This Row],[EGM no]]="", tblShipments4[[#This Row],[EGM no]]="N.A."), "Not Submitted", "Submitted")</f>
        <v>Submitted</v>
      </c>
      <c r="J89" t="str">
        <f>IF(LEFT(tblShipments4[[#This Row],[Gateway_Extracted]],2)="IN","Valid","Invalid")</f>
        <v>Valid</v>
      </c>
      <c r="K89" t="s">
        <v>312</v>
      </c>
      <c r="L89" t="s">
        <v>313</v>
      </c>
      <c r="M89" t="s">
        <v>13</v>
      </c>
      <c r="N89" t="s">
        <v>314</v>
      </c>
      <c r="O89" t="str">
        <f>IFERROR("IN" &amp; _xlfn.TEXTBEFORE(_xlfn.TEXTAFTER(UPPER(tblShipments4[[#This Row],[Gateway_clean]]),"IN")," ",1),"")</f>
        <v>INMUN1</v>
      </c>
      <c r="P89" t="str">
        <f>SUBSTITUTE(tblShipments4[[#This Row],[Gateway]], CHAR(10), " ")</f>
        <v xml:space="preserve">AWB No. Gateway Port Gateway EGM No. Gateway EGM Date Gateway Site ID Error Code N.A.  INMUN1  134051  2017-08-28 00:00:00.0  INMUN1  S </v>
      </c>
      <c r="Q89" t="s">
        <v>315</v>
      </c>
    </row>
    <row r="90" spans="1:17" x14ac:dyDescent="0.35">
      <c r="A90" t="s">
        <v>8</v>
      </c>
      <c r="B90">
        <v>8749638</v>
      </c>
      <c r="C90" s="2" t="s">
        <v>762</v>
      </c>
      <c r="D90" s="2" t="str">
        <f>LEFT(TRIM(MID(SUBSTITUTE(tblShipments4[[#This Row],[Details]],CHAR(10)," "), FIND(CHAR(10),tblShipments4[[#This Row],[Details]])+1, 50)), 10)</f>
        <v>0593067517</v>
      </c>
      <c r="E90" t="s">
        <v>763</v>
      </c>
      <c r="F9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0" t="str">
        <f>IF(tblShipments4[[#This Row],[EGM no]]="", "Missing EGM", "EGM Submitted")</f>
        <v>EGM Submitted</v>
      </c>
      <c r="H90" t="str">
        <f>IF(OR(ISNUMBER(SEARCH("Released",tblShipments4[[#This Row],[ROSL]])),
      ISNUMBER(SEARCH("Scroll",tblShipments4[[#This Row],[ROSL]])),
      ISNUMBER(SEARCH("Y",tblShipments4[[#This Row],[ROSL]]))),
   "Released",
   "Not Released")</f>
        <v>Released</v>
      </c>
      <c r="I90" t="str">
        <f>IF(OR(tblShipments4[[#This Row],[EGM no]]="", tblShipments4[[#This Row],[EGM no]]="N.A."), "Not Submitted", "Submitted")</f>
        <v>Submitted</v>
      </c>
      <c r="J90" t="str">
        <f>IF(LEFT(tblShipments4[[#This Row],[Gateway_Extracted]],2)="IN","Valid","Invalid")</f>
        <v>Valid</v>
      </c>
      <c r="K90" t="s">
        <v>764</v>
      </c>
      <c r="L90" t="s">
        <v>765</v>
      </c>
      <c r="M90" t="s">
        <v>13</v>
      </c>
      <c r="N90" t="s">
        <v>766</v>
      </c>
      <c r="O90" t="str">
        <f>IFERROR("IN" &amp; _xlfn.TEXTBEFORE(_xlfn.TEXTAFTER(UPPER(tblShipments4[[#This Row],[Gateway_clean]]),"IN")," ",1),"")</f>
        <v>INMUN1</v>
      </c>
      <c r="P90" t="str">
        <f>SUBSTITUTE(tblShipments4[[#This Row],[Gateway]], CHAR(10), " ")</f>
        <v xml:space="preserve">AWB No. Gateway Port Gateway EGM No. Gateway EGM Date Gateway Site ID Error Code N.A.  INMUN1  136169  2017-10-03 00:00:00.0  INMUN1  S </v>
      </c>
      <c r="Q90" t="s">
        <v>767</v>
      </c>
    </row>
    <row r="91" spans="1:17" x14ac:dyDescent="0.35">
      <c r="A91" t="s">
        <v>8</v>
      </c>
      <c r="B91">
        <v>8469058</v>
      </c>
      <c r="C91" s="2" t="s">
        <v>590</v>
      </c>
      <c r="D91" s="2" t="str">
        <f>LEFT(TRIM(MID(SUBSTITUTE(tblShipments4[[#This Row],[Details]],CHAR(10)," "), FIND(CHAR(10),tblShipments4[[#This Row],[Details]])+1, 50)), 10)</f>
        <v>0594004373</v>
      </c>
      <c r="E91" t="s">
        <v>607</v>
      </c>
      <c r="F9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1" t="str">
        <f>IF(tblShipments4[[#This Row],[EGM no]]="", "Missing EGM", "EGM Submitted")</f>
        <v>EGM Submitted</v>
      </c>
      <c r="H91" t="str">
        <f>IF(OR(ISNUMBER(SEARCH("Released",tblShipments4[[#This Row],[ROSL]])),
      ISNUMBER(SEARCH("Scroll",tblShipments4[[#This Row],[ROSL]])),
      ISNUMBER(SEARCH("Y",tblShipments4[[#This Row],[ROSL]]))),
   "Released",
   "Not Released")</f>
        <v>Released</v>
      </c>
      <c r="I91" t="str">
        <f>IF(OR(tblShipments4[[#This Row],[EGM no]]="", tblShipments4[[#This Row],[EGM no]]="N.A."), "Not Submitted", "Submitted")</f>
        <v>Submitted</v>
      </c>
      <c r="J91" t="str">
        <f>IF(LEFT(tblShipments4[[#This Row],[Gateway_Extracted]],2)="IN","Valid","Invalid")</f>
        <v>Valid</v>
      </c>
      <c r="K91" t="s">
        <v>534</v>
      </c>
      <c r="L91" t="s">
        <v>608</v>
      </c>
      <c r="M91" t="s">
        <v>13</v>
      </c>
      <c r="N91" t="s">
        <v>609</v>
      </c>
      <c r="O91" t="str">
        <f>IFERROR("IN" &amp; _xlfn.TEXTBEFORE(_xlfn.TEXTAFTER(UPPER(tblShipments4[[#This Row],[Gateway_clean]]),"IN")," ",1),"")</f>
        <v>INMUN1</v>
      </c>
      <c r="P91" t="str">
        <f>SUBSTITUTE(tblShipments4[[#This Row],[Gateway]], CHAR(10), " ")</f>
        <v xml:space="preserve">AWB No. Gateway Port Gateway EGM No. Gateway EGM Date Gateway Site ID Error Code N.A.  INMUN1  135390  2017-09-19 00:00:00.0  INMUN1  S </v>
      </c>
      <c r="Q91" t="s">
        <v>610</v>
      </c>
    </row>
    <row r="92" spans="1:17" x14ac:dyDescent="0.35">
      <c r="A92" t="s">
        <v>8</v>
      </c>
      <c r="B92">
        <v>8898683</v>
      </c>
      <c r="C92" s="2" t="s">
        <v>835</v>
      </c>
      <c r="D92" s="2" t="str">
        <f>LEFT(TRIM(MID(SUBSTITUTE(tblShipments4[[#This Row],[Details]],CHAR(10)," "), FIND(CHAR(10),tblShipments4[[#This Row],[Details]])+1, 50)), 10)</f>
        <v>0594048621</v>
      </c>
      <c r="E92" t="s">
        <v>836</v>
      </c>
      <c r="F9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2" t="str">
        <f>IF(tblShipments4[[#This Row],[EGM no]]="", "Missing EGM", "EGM Submitted")</f>
        <v>EGM Submitted</v>
      </c>
      <c r="H92" t="str">
        <f>IF(OR(ISNUMBER(SEARCH("Released",tblShipments4[[#This Row],[ROSL]])),
      ISNUMBER(SEARCH("Scroll",tblShipments4[[#This Row],[ROSL]])),
      ISNUMBER(SEARCH("Y",tblShipments4[[#This Row],[ROSL]]))),
   "Released",
   "Not Released")</f>
        <v>Released</v>
      </c>
      <c r="I92" t="str">
        <f>IF(OR(tblShipments4[[#This Row],[EGM no]]="", tblShipments4[[#This Row],[EGM no]]="N.A."), "Not Submitted", "Submitted")</f>
        <v>Submitted</v>
      </c>
      <c r="J92" t="str">
        <f>IF(LEFT(tblShipments4[[#This Row],[Gateway_Extracted]],2)="IN","Valid","Invalid")</f>
        <v>Valid</v>
      </c>
      <c r="K92" t="s">
        <v>837</v>
      </c>
      <c r="L92" t="s">
        <v>838</v>
      </c>
      <c r="M92" t="s">
        <v>13</v>
      </c>
      <c r="N92" t="s">
        <v>839</v>
      </c>
      <c r="O92" t="str">
        <f>IFERROR("IN" &amp; _xlfn.TEXTBEFORE(_xlfn.TEXTAFTER(UPPER(tblShipments4[[#This Row],[Gateway_clean]]),"IN")," ",1),"")</f>
        <v>INMUN1</v>
      </c>
      <c r="P92" t="str">
        <f>SUBSTITUTE(tblShipments4[[#This Row],[Gateway]], CHAR(10), " ")</f>
        <v xml:space="preserve">AWB No. Gateway Port Gateway EGM No. Gateway EGM Date Gateway Site ID Error Code N.A.  INMUN1  135372  2017-09-19 00:00:00.0  INMUN1  S </v>
      </c>
      <c r="Q92" t="s">
        <v>840</v>
      </c>
    </row>
    <row r="93" spans="1:17" x14ac:dyDescent="0.35">
      <c r="A93" t="s">
        <v>8</v>
      </c>
      <c r="B93">
        <v>1487575</v>
      </c>
      <c r="C93" s="2" t="s">
        <v>1485</v>
      </c>
      <c r="D93" s="2" t="str">
        <f>LEFT(TRIM(MID(SUBSTITUTE(tblShipments4[[#This Row],[Details]],CHAR(10)," "), FIND(CHAR(10),tblShipments4[[#This Row],[Details]])+1, 50)), 10)</f>
        <v>0595008844</v>
      </c>
      <c r="E93" t="s">
        <v>1491</v>
      </c>
      <c r="F9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3" t="str">
        <f>IF(tblShipments4[[#This Row],[EGM no]]="", "Missing EGM", "EGM Submitted")</f>
        <v>EGM Submitted</v>
      </c>
      <c r="H93" t="str">
        <f>IF(OR(ISNUMBER(SEARCH("Released",tblShipments4[[#This Row],[ROSL]])),
      ISNUMBER(SEARCH("Scroll",tblShipments4[[#This Row],[ROSL]])),
      ISNUMBER(SEARCH("Y",tblShipments4[[#This Row],[ROSL]]))),
   "Released",
   "Not Released")</f>
        <v>Released</v>
      </c>
      <c r="I93" t="str">
        <f>IF(OR(tblShipments4[[#This Row],[EGM no]]="", tblShipments4[[#This Row],[EGM no]]="N.A."), "Not Submitted", "Submitted")</f>
        <v>Submitted</v>
      </c>
      <c r="J93" t="str">
        <f>IF(LEFT(tblShipments4[[#This Row],[Gateway_Extracted]],2)="IN","Valid","Invalid")</f>
        <v>Valid</v>
      </c>
      <c r="K93" t="s">
        <v>1492</v>
      </c>
      <c r="L93" t="s">
        <v>1493</v>
      </c>
      <c r="M93" t="s">
        <v>13</v>
      </c>
      <c r="N93" t="s">
        <v>1494</v>
      </c>
      <c r="O93" t="str">
        <f>IFERROR("IN" &amp; _xlfn.TEXTBEFORE(_xlfn.TEXTAFTER(UPPER(tblShipments4[[#This Row],[Gateway_clean]]),"IN")," ",1),"")</f>
        <v>INMUN1</v>
      </c>
      <c r="P93" t="str">
        <f>SUBSTITUTE(tblShipments4[[#This Row],[Gateway]], CHAR(10), " ")</f>
        <v xml:space="preserve">AWB No. Gateway Port Gateway EGM No. Gateway EGM Date Gateway Site ID Error Code N.A.  INMUN1  140930  2017-12-19 00:00:00.0  INMUN1  S </v>
      </c>
      <c r="Q93" t="s">
        <v>1495</v>
      </c>
    </row>
    <row r="94" spans="1:17" x14ac:dyDescent="0.35">
      <c r="A94" t="s">
        <v>8</v>
      </c>
      <c r="B94">
        <v>8849157</v>
      </c>
      <c r="C94" s="2" t="s">
        <v>815</v>
      </c>
      <c r="D94" s="2" t="str">
        <f>LEFT(TRIM(MID(SUBSTITUTE(tblShipments4[[#This Row],[Details]],CHAR(10)," "), FIND(CHAR(10),tblShipments4[[#This Row],[Details]])+1, 50)), 10)</f>
        <v>0595012647</v>
      </c>
      <c r="E94" t="s">
        <v>821</v>
      </c>
      <c r="F9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4" t="str">
        <f>IF(tblShipments4[[#This Row],[EGM no]]="", "Missing EGM", "EGM Submitted")</f>
        <v>EGM Submitted</v>
      </c>
      <c r="H94" t="str">
        <f>IF(OR(ISNUMBER(SEARCH("Released",tblShipments4[[#This Row],[ROSL]])),
      ISNUMBER(SEARCH("Scroll",tblShipments4[[#This Row],[ROSL]])),
      ISNUMBER(SEARCH("Y",tblShipments4[[#This Row],[ROSL]]))),
   "Released",
   "Not Released")</f>
        <v>Released</v>
      </c>
      <c r="I94" t="str">
        <f>IF(OR(tblShipments4[[#This Row],[EGM no]]="", tblShipments4[[#This Row],[EGM no]]="N.A."), "Not Submitted", "Submitted")</f>
        <v>Submitted</v>
      </c>
      <c r="J94" t="str">
        <f>IF(LEFT(tblShipments4[[#This Row],[Gateway_Extracted]],2)="IN","Valid","Invalid")</f>
        <v>Valid</v>
      </c>
      <c r="K94" t="s">
        <v>822</v>
      </c>
      <c r="L94" t="s">
        <v>823</v>
      </c>
      <c r="M94" t="s">
        <v>13</v>
      </c>
      <c r="N94" t="s">
        <v>824</v>
      </c>
      <c r="O94" t="str">
        <f>IFERROR("IN" &amp; _xlfn.TEXTBEFORE(_xlfn.TEXTAFTER(UPPER(tblShipments4[[#This Row],[Gateway_clean]]),"IN")," ",1),"")</f>
        <v>INMUN1</v>
      </c>
      <c r="P94" t="str">
        <f>SUBSTITUTE(tblShipments4[[#This Row],[Gateway]], CHAR(10), " ")</f>
        <v xml:space="preserve">AWB No. Gateway Port Gateway EGM No. Gateway EGM Date Gateway Site ID Error Code N.A.  INMUN1  134212  2017-08-30 00:00:00.0  INMUN1  S </v>
      </c>
      <c r="Q94" t="s">
        <v>825</v>
      </c>
    </row>
    <row r="95" spans="1:17" x14ac:dyDescent="0.35">
      <c r="A95" t="s">
        <v>8</v>
      </c>
      <c r="B95">
        <v>8348694</v>
      </c>
      <c r="C95" s="2" t="s">
        <v>532</v>
      </c>
      <c r="D95" s="2" t="str">
        <f>LEFT(TRIM(MID(SUBSTITUTE(tblShipments4[[#This Row],[Details]],CHAR(10)," "), FIND(CHAR(10),tblShipments4[[#This Row],[Details]])+1, 50)), 10)</f>
        <v>0595012647</v>
      </c>
      <c r="E95" t="s">
        <v>533</v>
      </c>
      <c r="F9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5" t="str">
        <f>IF(tblShipments4[[#This Row],[EGM no]]="", "Missing EGM", "EGM Submitted")</f>
        <v>EGM Submitted</v>
      </c>
      <c r="H95" t="str">
        <f>IF(OR(ISNUMBER(SEARCH("Released",tblShipments4[[#This Row],[ROSL]])),
      ISNUMBER(SEARCH("Scroll",tblShipments4[[#This Row],[ROSL]])),
      ISNUMBER(SEARCH("Y",tblShipments4[[#This Row],[ROSL]]))),
   "Released",
   "Not Released")</f>
        <v>Released</v>
      </c>
      <c r="I95" t="str">
        <f>IF(OR(tblShipments4[[#This Row],[EGM no]]="", tblShipments4[[#This Row],[EGM no]]="N.A."), "Not Submitted", "Submitted")</f>
        <v>Submitted</v>
      </c>
      <c r="J95" t="str">
        <f>IF(LEFT(tblShipments4[[#This Row],[Gateway_Extracted]],2)="IN","Valid","Invalid")</f>
        <v>Valid</v>
      </c>
      <c r="K95" t="s">
        <v>534</v>
      </c>
      <c r="L95" t="s">
        <v>535</v>
      </c>
      <c r="M95" t="s">
        <v>13</v>
      </c>
      <c r="N95" t="s">
        <v>536</v>
      </c>
      <c r="O95" t="str">
        <f>IFERROR("IN" &amp; _xlfn.TEXTBEFORE(_xlfn.TEXTAFTER(UPPER(tblShipments4[[#This Row],[Gateway_clean]]),"IN")," ",1),"")</f>
        <v>INMUN1</v>
      </c>
      <c r="P95" t="str">
        <f>SUBSTITUTE(tblShipments4[[#This Row],[Gateway]], CHAR(10), " ")</f>
        <v xml:space="preserve">AWB No. Gateway Port Gateway EGM No. Gateway EGM Date Gateway Site ID Error Code N.A.  INMUN1  134209  2017-08-30 00:00:00.0  INMUN1  S </v>
      </c>
      <c r="Q95" t="s">
        <v>385</v>
      </c>
    </row>
    <row r="96" spans="1:17" x14ac:dyDescent="0.35">
      <c r="A96" t="s">
        <v>8</v>
      </c>
      <c r="B96">
        <v>8159434</v>
      </c>
      <c r="C96" s="2" t="s">
        <v>380</v>
      </c>
      <c r="D96" s="2" t="str">
        <f>LEFT(TRIM(MID(SUBSTITUTE(tblShipments4[[#This Row],[Details]],CHAR(10)," "), FIND(CHAR(10),tblShipments4[[#This Row],[Details]])+1, 50)), 10)</f>
        <v>0595012647</v>
      </c>
      <c r="E96" t="s">
        <v>381</v>
      </c>
      <c r="F9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6" t="str">
        <f>IF(tblShipments4[[#This Row],[EGM no]]="", "Missing EGM", "EGM Submitted")</f>
        <v>EGM Submitted</v>
      </c>
      <c r="H96" t="str">
        <f>IF(OR(ISNUMBER(SEARCH("Released",tblShipments4[[#This Row],[ROSL]])),
      ISNUMBER(SEARCH("Scroll",tblShipments4[[#This Row],[ROSL]])),
      ISNUMBER(SEARCH("Y",tblShipments4[[#This Row],[ROSL]]))),
   "Released",
   "Not Released")</f>
        <v>Released</v>
      </c>
      <c r="I96" t="str">
        <f>IF(OR(tblShipments4[[#This Row],[EGM no]]="", tblShipments4[[#This Row],[EGM no]]="N.A."), "Not Submitted", "Submitted")</f>
        <v>Submitted</v>
      </c>
      <c r="J96" t="str">
        <f>IF(LEFT(tblShipments4[[#This Row],[Gateway_Extracted]],2)="IN","Valid","Invalid")</f>
        <v>Valid</v>
      </c>
      <c r="K96" t="s">
        <v>382</v>
      </c>
      <c r="L96" t="s">
        <v>383</v>
      </c>
      <c r="M96" t="s">
        <v>13</v>
      </c>
      <c r="N96" t="s">
        <v>384</v>
      </c>
      <c r="O96" t="str">
        <f>IFERROR("IN" &amp; _xlfn.TEXTBEFORE(_xlfn.TEXTAFTER(UPPER(tblShipments4[[#This Row],[Gateway_clean]]),"IN")," ",1),"")</f>
        <v>INMUN1</v>
      </c>
      <c r="P96" t="str">
        <f>SUBSTITUTE(tblShipments4[[#This Row],[Gateway]], CHAR(10), " ")</f>
        <v xml:space="preserve">AWB No. Gateway Port Gateway EGM No. Gateway EGM Date Gateway Site ID Error Code N.A.  INMUN1  134209  2017-08-30 00:00:00.0  INMUN1  S </v>
      </c>
      <c r="Q96" t="s">
        <v>385</v>
      </c>
    </row>
    <row r="97" spans="1:17" x14ac:dyDescent="0.35">
      <c r="A97" t="s">
        <v>8</v>
      </c>
      <c r="B97">
        <v>8160683</v>
      </c>
      <c r="C97" s="2" t="s">
        <v>380</v>
      </c>
      <c r="D97" s="2" t="str">
        <f>LEFT(TRIM(MID(SUBSTITUTE(tblShipments4[[#This Row],[Details]],CHAR(10)," "), FIND(CHAR(10),tblShipments4[[#This Row],[Details]])+1, 50)), 10)</f>
        <v>0595012647</v>
      </c>
      <c r="E97" t="s">
        <v>386</v>
      </c>
      <c r="F9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7" t="str">
        <f>IF(tblShipments4[[#This Row],[EGM no]]="", "Missing EGM", "EGM Submitted")</f>
        <v>EGM Submitted</v>
      </c>
      <c r="H97" t="str">
        <f>IF(OR(ISNUMBER(SEARCH("Released",tblShipments4[[#This Row],[ROSL]])),
      ISNUMBER(SEARCH("Scroll",tblShipments4[[#This Row],[ROSL]])),
      ISNUMBER(SEARCH("Y",tblShipments4[[#This Row],[ROSL]]))),
   "Released",
   "Not Released")</f>
        <v>Released</v>
      </c>
      <c r="I97" t="str">
        <f>IF(OR(tblShipments4[[#This Row],[EGM no]]="", tblShipments4[[#This Row],[EGM no]]="N.A."), "Not Submitted", "Submitted")</f>
        <v>Submitted</v>
      </c>
      <c r="J97" t="str">
        <f>IF(LEFT(tblShipments4[[#This Row],[Gateway_Extracted]],2)="IN","Valid","Invalid")</f>
        <v>Valid</v>
      </c>
      <c r="K97" t="s">
        <v>382</v>
      </c>
      <c r="L97" t="s">
        <v>383</v>
      </c>
      <c r="M97" t="s">
        <v>13</v>
      </c>
      <c r="N97" t="s">
        <v>387</v>
      </c>
      <c r="O97" t="str">
        <f>IFERROR("IN" &amp; _xlfn.TEXTBEFORE(_xlfn.TEXTAFTER(UPPER(tblShipments4[[#This Row],[Gateway_clean]]),"IN")," ",1),"")</f>
        <v>INMUN1</v>
      </c>
      <c r="P97" t="str">
        <f>SUBSTITUTE(tblShipments4[[#This Row],[Gateway]], CHAR(10), " ")</f>
        <v xml:space="preserve">AWB No. Gateway Port Gateway EGM No. Gateway EGM Date Gateway Site ID Error Code N.A.  INMUN1  134209  2017-08-30 00:00:00.0  INMUN1  S </v>
      </c>
      <c r="Q97" t="s">
        <v>385</v>
      </c>
    </row>
    <row r="98" spans="1:17" x14ac:dyDescent="0.35">
      <c r="A98" t="s">
        <v>8</v>
      </c>
      <c r="B98">
        <v>8610604</v>
      </c>
      <c r="C98" s="2" t="s">
        <v>681</v>
      </c>
      <c r="D98" s="2" t="str">
        <f>LEFT(TRIM(MID(SUBSTITUTE(tblShipments4[[#This Row],[Details]],CHAR(10)," "), FIND(CHAR(10),tblShipments4[[#This Row],[Details]])+1, 50)), 10)</f>
        <v>0595012647</v>
      </c>
      <c r="E98" t="s">
        <v>714</v>
      </c>
      <c r="F9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8" t="str">
        <f>IF(tblShipments4[[#This Row],[EGM no]]="", "Missing EGM", "EGM Submitted")</f>
        <v>EGM Submitted</v>
      </c>
      <c r="H98" t="str">
        <f>IF(OR(ISNUMBER(SEARCH("Released",tblShipments4[[#This Row],[ROSL]])),
      ISNUMBER(SEARCH("Scroll",tblShipments4[[#This Row],[ROSL]])),
      ISNUMBER(SEARCH("Y",tblShipments4[[#This Row],[ROSL]]))),
   "Released",
   "Not Released")</f>
        <v>Released</v>
      </c>
      <c r="I98" t="str">
        <f>IF(OR(tblShipments4[[#This Row],[EGM no]]="", tblShipments4[[#This Row],[EGM no]]="N.A."), "Not Submitted", "Submitted")</f>
        <v>Submitted</v>
      </c>
      <c r="J98" t="str">
        <f>IF(LEFT(tblShipments4[[#This Row],[Gateway_Extracted]],2)="IN","Valid","Invalid")</f>
        <v>Valid</v>
      </c>
      <c r="K98" t="s">
        <v>715</v>
      </c>
      <c r="L98" t="s">
        <v>716</v>
      </c>
      <c r="M98" t="s">
        <v>13</v>
      </c>
      <c r="N98" t="s">
        <v>717</v>
      </c>
      <c r="O98" t="str">
        <f>IFERROR("IN" &amp; _xlfn.TEXTBEFORE(_xlfn.TEXTAFTER(UPPER(tblShipments4[[#This Row],[Gateway_clean]]),"IN")," ",1),"")</f>
        <v>INMUN1</v>
      </c>
      <c r="P98" t="str">
        <f>SUBSTITUTE(tblShipments4[[#This Row],[Gateway]], CHAR(10), " ")</f>
        <v xml:space="preserve">AWB No. Gateway Port Gateway EGM No. Gateway EGM Date Gateway Site ID Error Code N.A.  INMUN1  134211  2017-08-30 00:00:00.0  INMUN1  S </v>
      </c>
      <c r="Q98" t="s">
        <v>718</v>
      </c>
    </row>
    <row r="99" spans="1:17" x14ac:dyDescent="0.35">
      <c r="A99" t="s">
        <v>8</v>
      </c>
      <c r="B99">
        <v>8826748</v>
      </c>
      <c r="C99" s="2" t="s">
        <v>809</v>
      </c>
      <c r="D99" s="2" t="str">
        <f>LEFT(TRIM(MID(SUBSTITUTE(tblShipments4[[#This Row],[Details]],CHAR(10)," "), FIND(CHAR(10),tblShipments4[[#This Row],[Details]])+1, 50)), 10)</f>
        <v>0595012647</v>
      </c>
      <c r="E99" t="s">
        <v>810</v>
      </c>
      <c r="F9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99" t="str">
        <f>IF(tblShipments4[[#This Row],[EGM no]]="", "Missing EGM", "EGM Submitted")</f>
        <v>EGM Submitted</v>
      </c>
      <c r="H99" t="str">
        <f>IF(OR(ISNUMBER(SEARCH("Released",tblShipments4[[#This Row],[ROSL]])),
      ISNUMBER(SEARCH("Scroll",tblShipments4[[#This Row],[ROSL]])),
      ISNUMBER(SEARCH("Y",tblShipments4[[#This Row],[ROSL]]))),
   "Released",
   "Not Released")</f>
        <v>Released</v>
      </c>
      <c r="I99" t="str">
        <f>IF(OR(tblShipments4[[#This Row],[EGM no]]="", tblShipments4[[#This Row],[EGM no]]="N.A."), "Not Submitted", "Submitted")</f>
        <v>Submitted</v>
      </c>
      <c r="J99" t="str">
        <f>IF(LEFT(tblShipments4[[#This Row],[Gateway_Extracted]],2)="IN","Valid","Invalid")</f>
        <v>Valid</v>
      </c>
      <c r="K99" t="s">
        <v>811</v>
      </c>
      <c r="L99" t="s">
        <v>812</v>
      </c>
      <c r="M99" t="s">
        <v>13</v>
      </c>
      <c r="N99" t="s">
        <v>813</v>
      </c>
      <c r="O99" t="str">
        <f>IFERROR("IN" &amp; _xlfn.TEXTBEFORE(_xlfn.TEXTAFTER(UPPER(tblShipments4[[#This Row],[Gateway_clean]]),"IN")," ",1),"")</f>
        <v>INMUN1</v>
      </c>
      <c r="P99" t="str">
        <f>SUBSTITUTE(tblShipments4[[#This Row],[Gateway]], CHAR(10), " ")</f>
        <v xml:space="preserve">AWB No. Gateway Port Gateway EGM No. Gateway EGM Date Gateway Site ID Error Code N.A.  INMUN1  136070  2017-09-29 00:00:00.0  INMUN1  S </v>
      </c>
      <c r="Q99" t="s">
        <v>814</v>
      </c>
    </row>
    <row r="100" spans="1:17" x14ac:dyDescent="0.35">
      <c r="A100" t="s">
        <v>8</v>
      </c>
      <c r="B100">
        <v>9000406</v>
      </c>
      <c r="C100" s="2" t="s">
        <v>900</v>
      </c>
      <c r="D100" s="2" t="str">
        <f>LEFT(TRIM(MID(SUBSTITUTE(tblShipments4[[#This Row],[Details]],CHAR(10)," "), FIND(CHAR(10),tblShipments4[[#This Row],[Details]])+1, 50)), 10)</f>
        <v>0595012647</v>
      </c>
      <c r="E100" t="s">
        <v>906</v>
      </c>
      <c r="F10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0" t="str">
        <f>IF(tblShipments4[[#This Row],[EGM no]]="", "Missing EGM", "EGM Submitted")</f>
        <v>EGM Submitted</v>
      </c>
      <c r="H100" t="str">
        <f>IF(OR(ISNUMBER(SEARCH("Released",tblShipments4[[#This Row],[ROSL]])),
      ISNUMBER(SEARCH("Scroll",tblShipments4[[#This Row],[ROSL]])),
      ISNUMBER(SEARCH("Y",tblShipments4[[#This Row],[ROSL]]))),
   "Released",
   "Not Released")</f>
        <v>Released</v>
      </c>
      <c r="I100" t="str">
        <f>IF(OR(tblShipments4[[#This Row],[EGM no]]="", tblShipments4[[#This Row],[EGM no]]="N.A."), "Not Submitted", "Submitted")</f>
        <v>Submitted</v>
      </c>
      <c r="J100" t="str">
        <f>IF(LEFT(tblShipments4[[#This Row],[Gateway_Extracted]],2)="IN","Valid","Invalid")</f>
        <v>Valid</v>
      </c>
      <c r="K100" t="s">
        <v>907</v>
      </c>
      <c r="L100" t="s">
        <v>908</v>
      </c>
      <c r="M100" t="s">
        <v>13</v>
      </c>
      <c r="N100" t="s">
        <v>909</v>
      </c>
      <c r="O100" t="str">
        <f>IFERROR("IN" &amp; _xlfn.TEXTBEFORE(_xlfn.TEXTAFTER(UPPER(tblShipments4[[#This Row],[Gateway_clean]]),"IN")," ",1),"")</f>
        <v>INMUN1</v>
      </c>
      <c r="P100" t="str">
        <f>SUBSTITUTE(tblShipments4[[#This Row],[Gateway]], CHAR(10), " ")</f>
        <v xml:space="preserve">AWB No. Gateway Port Gateway EGM No. Gateway EGM Date Gateway Site ID Error Code N.A.  INMUN1  136071  2017-09-29 00:00:00.0  INMUN1  S </v>
      </c>
      <c r="Q100" t="s">
        <v>910</v>
      </c>
    </row>
    <row r="101" spans="1:17" x14ac:dyDescent="0.35">
      <c r="A101" t="s">
        <v>8</v>
      </c>
      <c r="B101">
        <v>9003019</v>
      </c>
      <c r="C101" s="2" t="s">
        <v>900</v>
      </c>
      <c r="D101" s="2" t="str">
        <f>LEFT(TRIM(MID(SUBSTITUTE(tblShipments4[[#This Row],[Details]],CHAR(10)," "), FIND(CHAR(10),tblShipments4[[#This Row],[Details]])+1, 50)), 10)</f>
        <v>0595012647</v>
      </c>
      <c r="E101" t="s">
        <v>911</v>
      </c>
      <c r="F10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1" t="str">
        <f>IF(tblShipments4[[#This Row],[EGM no]]="", "Missing EGM", "EGM Submitted")</f>
        <v>EGM Submitted</v>
      </c>
      <c r="H101" t="str">
        <f>IF(OR(ISNUMBER(SEARCH("Released",tblShipments4[[#This Row],[ROSL]])),
      ISNUMBER(SEARCH("Scroll",tblShipments4[[#This Row],[ROSL]])),
      ISNUMBER(SEARCH("Y",tblShipments4[[#This Row],[ROSL]]))),
   "Released",
   "Not Released")</f>
        <v>Released</v>
      </c>
      <c r="I101" t="str">
        <f>IF(OR(tblShipments4[[#This Row],[EGM no]]="", tblShipments4[[#This Row],[EGM no]]="N.A."), "Not Submitted", "Submitted")</f>
        <v>Submitted</v>
      </c>
      <c r="J101" t="str">
        <f>IF(LEFT(tblShipments4[[#This Row],[Gateway_Extracted]],2)="IN","Valid","Invalid")</f>
        <v>Valid</v>
      </c>
      <c r="K101" t="s">
        <v>811</v>
      </c>
      <c r="L101" t="s">
        <v>908</v>
      </c>
      <c r="M101" t="s">
        <v>13</v>
      </c>
      <c r="N101" t="s">
        <v>912</v>
      </c>
      <c r="O101" t="str">
        <f>IFERROR("IN" &amp; _xlfn.TEXTBEFORE(_xlfn.TEXTAFTER(UPPER(tblShipments4[[#This Row],[Gateway_clean]]),"IN")," ",1),"")</f>
        <v>INMUN1</v>
      </c>
      <c r="P101" t="str">
        <f>SUBSTITUTE(tblShipments4[[#This Row],[Gateway]], CHAR(10), " ")</f>
        <v xml:space="preserve">AWB No. Gateway Port Gateway EGM No. Gateway EGM Date Gateway Site ID Error Code N.A.  INMUN1  136071  2017-09-29 00:00:00.0  INMUN1  S </v>
      </c>
      <c r="Q101" t="s">
        <v>910</v>
      </c>
    </row>
    <row r="102" spans="1:17" x14ac:dyDescent="0.35">
      <c r="A102" t="s">
        <v>8</v>
      </c>
      <c r="B102">
        <v>1705753</v>
      </c>
      <c r="C102" s="2" t="s">
        <v>1601</v>
      </c>
      <c r="D102" s="2" t="str">
        <f>LEFT(TRIM(MID(SUBSTITUTE(tblShipments4[[#This Row],[Details]],CHAR(10)," "), FIND(CHAR(10),tblShipments4[[#This Row],[Details]])+1, 50)), 10)</f>
        <v>0595012647</v>
      </c>
      <c r="E102" t="s">
        <v>1610</v>
      </c>
      <c r="F10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2" t="str">
        <f>IF(tblShipments4[[#This Row],[EGM no]]="", "Missing EGM", "EGM Submitted")</f>
        <v>EGM Submitted</v>
      </c>
      <c r="H102" t="str">
        <f>IF(OR(ISNUMBER(SEARCH("Released",tblShipments4[[#This Row],[ROSL]])),
      ISNUMBER(SEARCH("Scroll",tblShipments4[[#This Row],[ROSL]])),
      ISNUMBER(SEARCH("Y",tblShipments4[[#This Row],[ROSL]]))),
   "Released",
   "Not Released")</f>
        <v>Released</v>
      </c>
      <c r="I102" t="str">
        <f>IF(OR(tblShipments4[[#This Row],[EGM no]]="", tblShipments4[[#This Row],[EGM no]]="N.A."), "Not Submitted", "Submitted")</f>
        <v>Submitted</v>
      </c>
      <c r="J102" t="str">
        <f>IF(LEFT(tblShipments4[[#This Row],[Gateway_Extracted]],2)="IN","Valid","Invalid")</f>
        <v>Valid</v>
      </c>
      <c r="K102" t="s">
        <v>1611</v>
      </c>
      <c r="L102" t="s">
        <v>1612</v>
      </c>
      <c r="M102" t="s">
        <v>13</v>
      </c>
      <c r="N102" t="s">
        <v>1613</v>
      </c>
      <c r="O102" t="str">
        <f>IFERROR("IN" &amp; _xlfn.TEXTBEFORE(_xlfn.TEXTAFTER(UPPER(tblShipments4[[#This Row],[Gateway_clean]]),"IN")," ",1),"")</f>
        <v>INMUN1</v>
      </c>
      <c r="P102" t="str">
        <f>SUBSTITUTE(tblShipments4[[#This Row],[Gateway]], CHAR(10), " ")</f>
        <v xml:space="preserve">AWB No. Gateway Port Gateway EGM No. Gateway EGM Date Gateway Site ID Error Code N.A.  INMUN1  141078  2017-12-21 00:00:00.0  INMUN1  S </v>
      </c>
      <c r="Q102" t="s">
        <v>1614</v>
      </c>
    </row>
    <row r="103" spans="1:17" x14ac:dyDescent="0.35">
      <c r="A103" t="s">
        <v>8</v>
      </c>
      <c r="B103">
        <v>1779449</v>
      </c>
      <c r="C103" s="2" t="s">
        <v>1633</v>
      </c>
      <c r="D103" s="2" t="str">
        <f>LEFT(TRIM(MID(SUBSTITUTE(tblShipments4[[#This Row],[Details]],CHAR(10)," "), FIND(CHAR(10),tblShipments4[[#This Row],[Details]])+1, 50)), 10)</f>
        <v>0595012647</v>
      </c>
      <c r="E103" t="s">
        <v>1642</v>
      </c>
      <c r="F10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3" t="str">
        <f>IF(tblShipments4[[#This Row],[EGM no]]="", "Missing EGM", "EGM Submitted")</f>
        <v>EGM Submitted</v>
      </c>
      <c r="H103" t="str">
        <f>IF(OR(ISNUMBER(SEARCH("Released",tblShipments4[[#This Row],[ROSL]])),
      ISNUMBER(SEARCH("Scroll",tblShipments4[[#This Row],[ROSL]])),
      ISNUMBER(SEARCH("Y",tblShipments4[[#This Row],[ROSL]]))),
   "Released",
   "Not Released")</f>
        <v>Released</v>
      </c>
      <c r="I103" t="str">
        <f>IF(OR(tblShipments4[[#This Row],[EGM no]]="", tblShipments4[[#This Row],[EGM no]]="N.A."), "Not Submitted", "Submitted")</f>
        <v>Submitted</v>
      </c>
      <c r="J103" t="str">
        <f>IF(LEFT(tblShipments4[[#This Row],[Gateway_Extracted]],2)="IN","Valid","Invalid")</f>
        <v>Valid</v>
      </c>
      <c r="K103" t="s">
        <v>1643</v>
      </c>
      <c r="L103" t="s">
        <v>1644</v>
      </c>
      <c r="M103" t="s">
        <v>13</v>
      </c>
      <c r="N103" t="s">
        <v>1645</v>
      </c>
      <c r="O103" t="str">
        <f>IFERROR("IN" &amp; _xlfn.TEXTBEFORE(_xlfn.TEXTAFTER(UPPER(tblShipments4[[#This Row],[Gateway_clean]]),"IN")," ",1),"")</f>
        <v>INMUN1</v>
      </c>
      <c r="P103" t="str">
        <f>SUBSTITUTE(tblShipments4[[#This Row],[Gateway]], CHAR(10), " ")</f>
        <v xml:space="preserve">AWB No. Gateway Port Gateway EGM No. Gateway EGM Date Gateway Site ID Error Code N.A.  INMUN1  141230  2017-12-22 00:00:00.0  INMUN1  S </v>
      </c>
      <c r="Q103" t="s">
        <v>1646</v>
      </c>
    </row>
    <row r="104" spans="1:17" x14ac:dyDescent="0.35">
      <c r="A104" t="s">
        <v>8</v>
      </c>
      <c r="B104">
        <v>1817472</v>
      </c>
      <c r="C104" s="2" t="s">
        <v>1657</v>
      </c>
      <c r="D104" s="2" t="str">
        <f>LEFT(TRIM(MID(SUBSTITUTE(tblShipments4[[#This Row],[Details]],CHAR(10)," "), FIND(CHAR(10),tblShipments4[[#This Row],[Details]])+1, 50)), 10)</f>
        <v>0595012647</v>
      </c>
      <c r="E104" t="s">
        <v>1674</v>
      </c>
      <c r="F10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4" t="str">
        <f>IF(tblShipments4[[#This Row],[EGM no]]="", "Missing EGM", "EGM Submitted")</f>
        <v>EGM Submitted</v>
      </c>
      <c r="H104" t="str">
        <f>IF(OR(ISNUMBER(SEARCH("Released",tblShipments4[[#This Row],[ROSL]])),
      ISNUMBER(SEARCH("Scroll",tblShipments4[[#This Row],[ROSL]])),
      ISNUMBER(SEARCH("Y",tblShipments4[[#This Row],[ROSL]]))),
   "Released",
   "Not Released")</f>
        <v>Released</v>
      </c>
      <c r="I104" t="str">
        <f>IF(OR(tblShipments4[[#This Row],[EGM no]]="", tblShipments4[[#This Row],[EGM no]]="N.A."), "Not Submitted", "Submitted")</f>
        <v>Submitted</v>
      </c>
      <c r="J104" t="str">
        <f>IF(LEFT(tblShipments4[[#This Row],[Gateway_Extracted]],2)="IN","Valid","Invalid")</f>
        <v>Valid</v>
      </c>
      <c r="K104" t="s">
        <v>1643</v>
      </c>
      <c r="L104" t="s">
        <v>1675</v>
      </c>
      <c r="M104" t="s">
        <v>13</v>
      </c>
      <c r="N104" t="s">
        <v>1676</v>
      </c>
      <c r="O104" t="str">
        <f>IFERROR("IN" &amp; _xlfn.TEXTBEFORE(_xlfn.TEXTAFTER(UPPER(tblShipments4[[#This Row],[Gateway_clean]]),"IN")," ",1),"")</f>
        <v>INMUN1</v>
      </c>
      <c r="P104" t="str">
        <f>SUBSTITUTE(tblShipments4[[#This Row],[Gateway]], CHAR(10), " ")</f>
        <v xml:space="preserve">AWB No. Gateway Port Gateway EGM No. Gateway EGM Date Gateway Site ID Error Code N.A.  INMUN1  141230  2017-12-22 00:00:00.0  INMUN1  S </v>
      </c>
      <c r="Q104" t="s">
        <v>1646</v>
      </c>
    </row>
    <row r="105" spans="1:17" x14ac:dyDescent="0.35">
      <c r="A105" t="s">
        <v>8</v>
      </c>
      <c r="B105">
        <v>1905542</v>
      </c>
      <c r="C105" s="2" t="s">
        <v>1704</v>
      </c>
      <c r="D105" s="2" t="str">
        <f>LEFT(TRIM(MID(SUBSTITUTE(tblShipments4[[#This Row],[Details]],CHAR(10)," "), FIND(CHAR(10),tblShipments4[[#This Row],[Details]])+1, 50)), 10)</f>
        <v>0595012647</v>
      </c>
      <c r="E105" t="s">
        <v>1718</v>
      </c>
      <c r="F10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5" t="str">
        <f>IF(tblShipments4[[#This Row],[EGM no]]="", "Missing EGM", "EGM Submitted")</f>
        <v>EGM Submitted</v>
      </c>
      <c r="H105" t="str">
        <f>IF(OR(ISNUMBER(SEARCH("Released",tblShipments4[[#This Row],[ROSL]])),
      ISNUMBER(SEARCH("Scroll",tblShipments4[[#This Row],[ROSL]])),
      ISNUMBER(SEARCH("Y",tblShipments4[[#This Row],[ROSL]]))),
   "Released",
   "Not Released")</f>
        <v>Released</v>
      </c>
      <c r="I105" t="str">
        <f>IF(OR(tblShipments4[[#This Row],[EGM no]]="", tblShipments4[[#This Row],[EGM no]]="N.A."), "Not Submitted", "Submitted")</f>
        <v>Submitted</v>
      </c>
      <c r="J105" t="str">
        <f>IF(LEFT(tblShipments4[[#This Row],[Gateway_Extracted]],2)="IN","Valid","Invalid")</f>
        <v>Valid</v>
      </c>
      <c r="K105" t="s">
        <v>1719</v>
      </c>
      <c r="L105" t="s">
        <v>1720</v>
      </c>
      <c r="M105" t="s">
        <v>13</v>
      </c>
      <c r="N105" t="s">
        <v>1721</v>
      </c>
      <c r="O105" t="str">
        <f>IFERROR("IN" &amp; _xlfn.TEXTBEFORE(_xlfn.TEXTAFTER(UPPER(tblShipments4[[#This Row],[Gateway_clean]]),"IN")," ",1),"")</f>
        <v>INMUN1</v>
      </c>
      <c r="P105" t="str">
        <f>SUBSTITUTE(tblShipments4[[#This Row],[Gateway]], CHAR(10), " ")</f>
        <v xml:space="preserve">AWB No. Gateway Port Gateway EGM No. Gateway EGM Date Gateway Site ID Error Code N.A.  INMUN1  141231  2017-12-22 00:00:00.0  INMUN1  S </v>
      </c>
      <c r="Q105" t="s">
        <v>1717</v>
      </c>
    </row>
    <row r="106" spans="1:17" x14ac:dyDescent="0.35">
      <c r="A106" t="s">
        <v>8</v>
      </c>
      <c r="B106">
        <v>1817413</v>
      </c>
      <c r="C106" s="2" t="s">
        <v>1657</v>
      </c>
      <c r="D106" s="2" t="str">
        <f>LEFT(TRIM(MID(SUBSTITUTE(tblShipments4[[#This Row],[Details]],CHAR(10)," "), FIND(CHAR(10),tblShipments4[[#This Row],[Details]])+1, 50)), 10)</f>
        <v>0595012647</v>
      </c>
      <c r="E106" t="s">
        <v>1671</v>
      </c>
      <c r="F10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6" t="str">
        <f>IF(tblShipments4[[#This Row],[EGM no]]="", "Missing EGM", "EGM Submitted")</f>
        <v>EGM Submitted</v>
      </c>
      <c r="H106" t="str">
        <f>IF(OR(ISNUMBER(SEARCH("Released",tblShipments4[[#This Row],[ROSL]])),
      ISNUMBER(SEARCH("Scroll",tblShipments4[[#This Row],[ROSL]])),
      ISNUMBER(SEARCH("Y",tblShipments4[[#This Row],[ROSL]]))),
   "Released",
   "Not Released")</f>
        <v>Released</v>
      </c>
      <c r="I106" t="str">
        <f>IF(OR(tblShipments4[[#This Row],[EGM no]]="", tblShipments4[[#This Row],[EGM no]]="N.A."), "Not Submitted", "Submitted")</f>
        <v>Submitted</v>
      </c>
      <c r="J106" t="str">
        <f>IF(LEFT(tblShipments4[[#This Row],[Gateway_Extracted]],2)="IN","Valid","Invalid")</f>
        <v>Valid</v>
      </c>
      <c r="K106" t="s">
        <v>1643</v>
      </c>
      <c r="L106" t="s">
        <v>1672</v>
      </c>
      <c r="M106" t="s">
        <v>13</v>
      </c>
      <c r="N106" t="s">
        <v>1673</v>
      </c>
      <c r="O106" t="str">
        <f>IFERROR("IN" &amp; _xlfn.TEXTBEFORE(_xlfn.TEXTAFTER(UPPER(tblShipments4[[#This Row],[Gateway_clean]]),"IN")," ",1),"")</f>
        <v>INMUN1</v>
      </c>
      <c r="P106" t="str">
        <f>SUBSTITUTE(tblShipments4[[#This Row],[Gateway]], CHAR(10), " ")</f>
        <v xml:space="preserve">AWB No. Gateway Port Gateway EGM No. Gateway EGM Date Gateway Site ID Error Code N.A.  INMUN1  141230  2017-12-22 00:00:00.0  INMUN1  S </v>
      </c>
      <c r="Q106" t="s">
        <v>1646</v>
      </c>
    </row>
    <row r="107" spans="1:17" x14ac:dyDescent="0.35">
      <c r="A107" t="s">
        <v>8</v>
      </c>
      <c r="B107">
        <v>1904114</v>
      </c>
      <c r="C107" s="2" t="s">
        <v>1704</v>
      </c>
      <c r="D107" s="2" t="str">
        <f>LEFT(TRIM(MID(SUBSTITUTE(tblShipments4[[#This Row],[Details]],CHAR(10)," "), FIND(CHAR(10),tblShipments4[[#This Row],[Details]])+1, 50)), 10)</f>
        <v>0595012647</v>
      </c>
      <c r="E107" t="s">
        <v>1713</v>
      </c>
      <c r="F10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7" t="str">
        <f>IF(tblShipments4[[#This Row],[EGM no]]="", "Missing EGM", "EGM Submitted")</f>
        <v>EGM Submitted</v>
      </c>
      <c r="H107" t="str">
        <f>IF(OR(ISNUMBER(SEARCH("Released",tblShipments4[[#This Row],[ROSL]])),
      ISNUMBER(SEARCH("Scroll",tblShipments4[[#This Row],[ROSL]])),
      ISNUMBER(SEARCH("Y",tblShipments4[[#This Row],[ROSL]]))),
   "Released",
   "Not Released")</f>
        <v>Released</v>
      </c>
      <c r="I107" t="str">
        <f>IF(OR(tblShipments4[[#This Row],[EGM no]]="", tblShipments4[[#This Row],[EGM no]]="N.A."), "Not Submitted", "Submitted")</f>
        <v>Submitted</v>
      </c>
      <c r="J107" t="str">
        <f>IF(LEFT(tblShipments4[[#This Row],[Gateway_Extracted]],2)="IN","Valid","Invalid")</f>
        <v>Valid</v>
      </c>
      <c r="K107" t="s">
        <v>1714</v>
      </c>
      <c r="L107" t="s">
        <v>1715</v>
      </c>
      <c r="M107" t="s">
        <v>13</v>
      </c>
      <c r="N107" t="s">
        <v>1716</v>
      </c>
      <c r="O107" t="str">
        <f>IFERROR("IN" &amp; _xlfn.TEXTBEFORE(_xlfn.TEXTAFTER(UPPER(tblShipments4[[#This Row],[Gateway_clean]]),"IN")," ",1),"")</f>
        <v>INMUN1</v>
      </c>
      <c r="P107" t="str">
        <f>SUBSTITUTE(tblShipments4[[#This Row],[Gateway]], CHAR(10), " ")</f>
        <v xml:space="preserve">AWB No. Gateway Port Gateway EGM No. Gateway EGM Date Gateway Site ID Error Code N.A.  INMUN1  141231  2017-12-22 00:00:00.0  INMUN1  S </v>
      </c>
      <c r="Q107" t="s">
        <v>1717</v>
      </c>
    </row>
    <row r="108" spans="1:17" x14ac:dyDescent="0.35">
      <c r="A108" t="s">
        <v>8</v>
      </c>
      <c r="B108">
        <v>7924066</v>
      </c>
      <c r="C108" s="2" t="s">
        <v>239</v>
      </c>
      <c r="D108" s="2" t="str">
        <f>LEFT(TRIM(MID(SUBSTITUTE(tblShipments4[[#This Row],[Details]],CHAR(10)," "), FIND(CHAR(10),tblShipments4[[#This Row],[Details]])+1, 50)), 10)</f>
        <v>0595025714</v>
      </c>
      <c r="E108" t="s">
        <v>240</v>
      </c>
      <c r="F10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8" t="str">
        <f>IF(tblShipments4[[#This Row],[EGM no]]="", "Missing EGM", "EGM Submitted")</f>
        <v>EGM Submitted</v>
      </c>
      <c r="H108" t="str">
        <f>IF(OR(ISNUMBER(SEARCH("Released",tblShipments4[[#This Row],[ROSL]])),
      ISNUMBER(SEARCH("Scroll",tblShipments4[[#This Row],[ROSL]])),
      ISNUMBER(SEARCH("Y",tblShipments4[[#This Row],[ROSL]]))),
   "Released",
   "Not Released")</f>
        <v>Released</v>
      </c>
      <c r="I108" t="str">
        <f>IF(OR(tblShipments4[[#This Row],[EGM no]]="", tblShipments4[[#This Row],[EGM no]]="N.A."), "Not Submitted", "Submitted")</f>
        <v>Submitted</v>
      </c>
      <c r="J108" t="str">
        <f>IF(LEFT(tblShipments4[[#This Row],[Gateway_Extracted]],2)="IN","Valid","Invalid")</f>
        <v>Valid</v>
      </c>
      <c r="K108" t="s">
        <v>241</v>
      </c>
      <c r="L108" t="s">
        <v>242</v>
      </c>
      <c r="M108" t="s">
        <v>13</v>
      </c>
      <c r="N108" t="s">
        <v>243</v>
      </c>
      <c r="O108" t="str">
        <f>IFERROR("IN" &amp; _xlfn.TEXTBEFORE(_xlfn.TEXTAFTER(UPPER(tblShipments4[[#This Row],[Gateway_clean]]),"IN")," ",1),"")</f>
        <v>INMUN1</v>
      </c>
      <c r="P108" t="str">
        <f>SUBSTITUTE(tblShipments4[[#This Row],[Gateway]], CHAR(10), " ")</f>
        <v xml:space="preserve">AWB No. Gateway Port Gateway EGM No. Gateway EGM Date Gateway Site ID Error Code N.A.  INMUN1  N.A.  N.A.  N.A.  N.A. </v>
      </c>
      <c r="Q108" t="s">
        <v>244</v>
      </c>
    </row>
    <row r="109" spans="1:17" x14ac:dyDescent="0.35">
      <c r="A109" t="s">
        <v>8</v>
      </c>
      <c r="B109">
        <v>7623801</v>
      </c>
      <c r="C109" s="2" t="s">
        <v>38</v>
      </c>
      <c r="D109" s="2" t="str">
        <f>LEFT(TRIM(MID(SUBSTITUTE(tblShipments4[[#This Row],[Details]],CHAR(10)," "), FIND(CHAR(10),tblShipments4[[#This Row],[Details]])+1, 50)), 10)</f>
        <v>0596009488</v>
      </c>
      <c r="E109" t="s">
        <v>39</v>
      </c>
      <c r="F10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09" t="str">
        <f>IF(tblShipments4[[#This Row],[EGM no]]="", "Missing EGM", "EGM Submitted")</f>
        <v>EGM Submitted</v>
      </c>
      <c r="H109" t="str">
        <f>IF(OR(ISNUMBER(SEARCH("Released",tblShipments4[[#This Row],[ROSL]])),
      ISNUMBER(SEARCH("Scroll",tblShipments4[[#This Row],[ROSL]])),
      ISNUMBER(SEARCH("Y",tblShipments4[[#This Row],[ROSL]]))),
   "Released",
   "Not Released")</f>
        <v>Released</v>
      </c>
      <c r="I109" t="str">
        <f>IF(OR(tblShipments4[[#This Row],[EGM no]]="", tblShipments4[[#This Row],[EGM no]]="N.A."), "Not Submitted", "Submitted")</f>
        <v>Submitted</v>
      </c>
      <c r="J109" t="str">
        <f>IF(LEFT(tblShipments4[[#This Row],[Gateway_Extracted]],2)="IN","Valid","Invalid")</f>
        <v>Valid</v>
      </c>
      <c r="K109" t="s">
        <v>40</v>
      </c>
      <c r="L109" t="s">
        <v>41</v>
      </c>
      <c r="M109" t="s">
        <v>13</v>
      </c>
      <c r="N109" t="s">
        <v>42</v>
      </c>
      <c r="O109" t="str">
        <f>IFERROR("IN" &amp; _xlfn.TEXTBEFORE(_xlfn.TEXTAFTER(UPPER(tblShipments4[[#This Row],[Gateway_clean]]),"IN")," ",1),"")</f>
        <v>INMUN1</v>
      </c>
      <c r="P109" t="str">
        <f>SUBSTITUTE(tblShipments4[[#This Row],[Gateway]], CHAR(10), " ")</f>
        <v xml:space="preserve">AWB No. Gateway Port Gateway EGM No. Gateway EGM Date Gateway Site ID Error Code N.A.  INMUN1  132702  2017-08-04 00:00:00.0  INMUN1  S </v>
      </c>
      <c r="Q109" t="s">
        <v>43</v>
      </c>
    </row>
    <row r="110" spans="1:17" x14ac:dyDescent="0.35">
      <c r="A110" t="s">
        <v>8</v>
      </c>
      <c r="B110">
        <v>7096937</v>
      </c>
      <c r="C110" s="2" t="s">
        <v>9</v>
      </c>
      <c r="D110" s="2" t="str">
        <f>LEFT(TRIM(MID(SUBSTITUTE(tblShipments4[[#This Row],[Details]],CHAR(10)," "), FIND(CHAR(10),tblShipments4[[#This Row],[Details]])+1, 50)), 10)</f>
        <v>0597024561</v>
      </c>
      <c r="E110" t="s">
        <v>10</v>
      </c>
      <c r="F11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0" t="str">
        <f>IF(tblShipments4[[#This Row],[EGM no]]="", "Missing EGM", "EGM Submitted")</f>
        <v>EGM Submitted</v>
      </c>
      <c r="H110" t="str">
        <f>IF(OR(ISNUMBER(SEARCH("Released",tblShipments4[[#This Row],[ROSL]])),
      ISNUMBER(SEARCH("Scroll",tblShipments4[[#This Row],[ROSL]])),
      ISNUMBER(SEARCH("Y",tblShipments4[[#This Row],[ROSL]]))),
   "Released",
   "Not Released")</f>
        <v>Released</v>
      </c>
      <c r="I110" t="str">
        <f>IF(OR(tblShipments4[[#This Row],[EGM no]]="", tblShipments4[[#This Row],[EGM no]]="N.A."), "Not Submitted", "Submitted")</f>
        <v>Submitted</v>
      </c>
      <c r="J110" t="str">
        <f>IF(LEFT(tblShipments4[[#This Row],[Gateway_Extracted]],2)="IN","Valid","Invalid")</f>
        <v>Valid</v>
      </c>
      <c r="K110" t="s">
        <v>11</v>
      </c>
      <c r="L110" t="s">
        <v>12</v>
      </c>
      <c r="M110" t="s">
        <v>13</v>
      </c>
      <c r="N110" t="s">
        <v>14</v>
      </c>
      <c r="O110" t="str">
        <f>IFERROR("IN" &amp; _xlfn.TEXTBEFORE(_xlfn.TEXTAFTER(UPPER(tblShipments4[[#This Row],[Gateway_clean]]),"IN")," ",1),"")</f>
        <v>INMUN1</v>
      </c>
      <c r="P110" t="str">
        <f>SUBSTITUTE(tblShipments4[[#This Row],[Gateway]], CHAR(10), " ")</f>
        <v xml:space="preserve">AWB No. Gateway Port Gateway EGM No. Gateway EGM Date Gateway Site ID Error Code N.A.  INMUN1  137976  2017-11-01 00:00:00.0  INMUN1  S </v>
      </c>
      <c r="Q110" t="s">
        <v>15</v>
      </c>
    </row>
    <row r="111" spans="1:17" ht="58" x14ac:dyDescent="0.35">
      <c r="A111" t="s">
        <v>8</v>
      </c>
      <c r="B111">
        <v>7100605</v>
      </c>
      <c r="C111" s="2" t="s">
        <v>9</v>
      </c>
      <c r="D111" s="2" t="str">
        <f>LEFT(TRIM(MID(SUBSTITUTE(tblShipments4[[#This Row],[Details]],CHAR(10)," "), FIND(CHAR(10),tblShipments4[[#This Row],[Details]])+1, 50)), 10)</f>
        <v>0597024561</v>
      </c>
      <c r="E111" s="1" t="s">
        <v>16</v>
      </c>
      <c r="F111" s="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1" s="1" t="str">
        <f>IF(tblShipments4[[#This Row],[EGM no]]="", "Missing EGM", "EGM Submitted")</f>
        <v>EGM Submitted</v>
      </c>
      <c r="H111" s="1" t="str">
        <f>IF(OR(ISNUMBER(SEARCH("Released",tblShipments4[[#This Row],[ROSL]])),
      ISNUMBER(SEARCH("Scroll",tblShipments4[[#This Row],[ROSL]])),
      ISNUMBER(SEARCH("Y",tblShipments4[[#This Row],[ROSL]]))),
   "Released",
   "Not Released")</f>
        <v>Released</v>
      </c>
      <c r="I111" s="1" t="str">
        <f>IF(OR(tblShipments4[[#This Row],[EGM no]]="", tblShipments4[[#This Row],[EGM no]]="N.A."), "Not Submitted", "Submitted")</f>
        <v>Submitted</v>
      </c>
      <c r="J111" s="1" t="str">
        <f>IF(LEFT(tblShipments4[[#This Row],[Gateway_Extracted]],2)="IN","Valid","Invalid")</f>
        <v>Valid</v>
      </c>
      <c r="K111" t="s">
        <v>17</v>
      </c>
      <c r="L111" t="s">
        <v>18</v>
      </c>
      <c r="M111" t="s">
        <v>13</v>
      </c>
      <c r="N111" t="s">
        <v>19</v>
      </c>
      <c r="O111" t="str">
        <f>IFERROR("IN" &amp; _xlfn.TEXTBEFORE(_xlfn.TEXTAFTER(UPPER(tblShipments4[[#This Row],[Gateway_clean]]),"IN")," ",1),"")</f>
        <v>INMUN1</v>
      </c>
      <c r="P111" t="str">
        <f>SUBSTITUTE(tblShipments4[[#This Row],[Gateway]], CHAR(10), " ")</f>
        <v xml:space="preserve">AWB No. Gateway Port Gateway EGM No. Gateway EGM Date Gateway Site ID Error Code N.A.  INMUN1  131465  2017-07-14 00:00:00.0  INMUN1  S </v>
      </c>
      <c r="Q111" t="s">
        <v>20</v>
      </c>
    </row>
    <row r="112" spans="1:17" x14ac:dyDescent="0.35">
      <c r="A112" t="s">
        <v>8</v>
      </c>
      <c r="B112">
        <v>8395136</v>
      </c>
      <c r="C112" s="2" t="s">
        <v>548</v>
      </c>
      <c r="D112" s="2" t="str">
        <f>LEFT(TRIM(MID(SUBSTITUTE(tblShipments4[[#This Row],[Details]],CHAR(10)," "), FIND(CHAR(10),tblShipments4[[#This Row],[Details]])+1, 50)), 10)</f>
        <v>0597069948</v>
      </c>
      <c r="E112" t="s">
        <v>549</v>
      </c>
      <c r="F11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2" t="str">
        <f>IF(tblShipments4[[#This Row],[EGM no]]="", "Missing EGM", "EGM Submitted")</f>
        <v>EGM Submitted</v>
      </c>
      <c r="H112" t="str">
        <f>IF(OR(ISNUMBER(SEARCH("Released",tblShipments4[[#This Row],[ROSL]])),
      ISNUMBER(SEARCH("Scroll",tblShipments4[[#This Row],[ROSL]])),
      ISNUMBER(SEARCH("Y",tblShipments4[[#This Row],[ROSL]]))),
   "Released",
   "Not Released")</f>
        <v>Released</v>
      </c>
      <c r="I112" t="str">
        <f>IF(OR(tblShipments4[[#This Row],[EGM no]]="", tblShipments4[[#This Row],[EGM no]]="N.A."), "Not Submitted", "Submitted")</f>
        <v>Submitted</v>
      </c>
      <c r="J112" t="str">
        <f>IF(LEFT(tblShipments4[[#This Row],[Gateway_Extracted]],2)="IN","Valid","Invalid")</f>
        <v>Valid</v>
      </c>
      <c r="K112" t="s">
        <v>518</v>
      </c>
      <c r="L112" t="s">
        <v>550</v>
      </c>
      <c r="M112" t="s">
        <v>13</v>
      </c>
      <c r="N112" t="s">
        <v>551</v>
      </c>
      <c r="O112" t="str">
        <f>IFERROR("IN" &amp; _xlfn.TEXTBEFORE(_xlfn.TEXTAFTER(UPPER(tblShipments4[[#This Row],[Gateway_clean]]),"IN")," ",1),"")</f>
        <v>INMUN1</v>
      </c>
      <c r="P112" t="str">
        <f>SUBSTITUTE(tblShipments4[[#This Row],[Gateway]], CHAR(10), " ")</f>
        <v xml:space="preserve">AWB No. Gateway Port Gateway EGM No. Gateway EGM Date Gateway Site ID Error Code N.A.  INMUN1  133179  2017-08-11 00:00:00.0  INMUN1  S </v>
      </c>
      <c r="Q112" t="s">
        <v>552</v>
      </c>
    </row>
    <row r="113" spans="1:17" x14ac:dyDescent="0.35">
      <c r="A113" t="s">
        <v>8</v>
      </c>
      <c r="B113">
        <v>8752787</v>
      </c>
      <c r="C113" s="2" t="s">
        <v>762</v>
      </c>
      <c r="D113" s="2" t="str">
        <f>LEFT(TRIM(MID(SUBSTITUTE(tblShipments4[[#This Row],[Details]],CHAR(10)," "), FIND(CHAR(10),tblShipments4[[#This Row],[Details]])+1, 50)), 10)</f>
        <v>0598005536</v>
      </c>
      <c r="E113" t="s">
        <v>779</v>
      </c>
      <c r="F11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3" t="str">
        <f>IF(tblShipments4[[#This Row],[EGM no]]="", "Missing EGM", "EGM Submitted")</f>
        <v>EGM Submitted</v>
      </c>
      <c r="H113" t="str">
        <f>IF(OR(ISNUMBER(SEARCH("Released",tblShipments4[[#This Row],[ROSL]])),
      ISNUMBER(SEARCH("Scroll",tblShipments4[[#This Row],[ROSL]])),
      ISNUMBER(SEARCH("Y",tblShipments4[[#This Row],[ROSL]]))),
   "Released",
   "Not Released")</f>
        <v>Released</v>
      </c>
      <c r="I113" t="str">
        <f>IF(OR(tblShipments4[[#This Row],[EGM no]]="", tblShipments4[[#This Row],[EGM no]]="N.A."), "Not Submitted", "Submitted")</f>
        <v>Submitted</v>
      </c>
      <c r="J113" t="str">
        <f>IF(LEFT(tblShipments4[[#This Row],[Gateway_Extracted]],2)="IN","Valid","Invalid")</f>
        <v>Valid</v>
      </c>
      <c r="K113" t="s">
        <v>780</v>
      </c>
      <c r="L113" t="s">
        <v>781</v>
      </c>
      <c r="M113" t="s">
        <v>13</v>
      </c>
      <c r="N113" t="s">
        <v>782</v>
      </c>
      <c r="O113" t="str">
        <f>IFERROR("IN" &amp; _xlfn.TEXTBEFORE(_xlfn.TEXTAFTER(UPPER(tblShipments4[[#This Row],[Gateway_clean]]),"IN")," ",1),"")</f>
        <v>INMUN1</v>
      </c>
      <c r="P113" t="str">
        <f>SUBSTITUTE(tblShipments4[[#This Row],[Gateway]], CHAR(10), " ")</f>
        <v xml:space="preserve">AWB No. Gateway Port Gateway EGM No. Gateway EGM Date Gateway Site ID Error Code N.A.  INMUN1  136501  2017-10-08 00:00:00.0  INMUN1  S </v>
      </c>
      <c r="Q113" t="s">
        <v>783</v>
      </c>
    </row>
    <row r="114" spans="1:17" x14ac:dyDescent="0.35">
      <c r="A114" t="s">
        <v>8</v>
      </c>
      <c r="B114">
        <v>9721864</v>
      </c>
      <c r="C114" s="2" t="s">
        <v>1156</v>
      </c>
      <c r="D114" s="2" t="str">
        <f>LEFT(TRIM(MID(SUBSTITUTE(tblShipments4[[#This Row],[Details]],CHAR(10)," "), FIND(CHAR(10),tblShipments4[[#This Row],[Details]])+1, 50)), 10)</f>
        <v>0598032801</v>
      </c>
      <c r="E114" t="s">
        <v>1157</v>
      </c>
      <c r="F11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4" t="str">
        <f>IF(tblShipments4[[#This Row],[EGM no]]="", "Missing EGM", "EGM Submitted")</f>
        <v>EGM Submitted</v>
      </c>
      <c r="H114" t="str">
        <f>IF(OR(ISNUMBER(SEARCH("Released",tblShipments4[[#This Row],[ROSL]])),
      ISNUMBER(SEARCH("Scroll",tblShipments4[[#This Row],[ROSL]])),
      ISNUMBER(SEARCH("Y",tblShipments4[[#This Row],[ROSL]]))),
   "Released",
   "Not Released")</f>
        <v>Released</v>
      </c>
      <c r="I114" t="str">
        <f>IF(OR(tblShipments4[[#This Row],[EGM no]]="", tblShipments4[[#This Row],[EGM no]]="N.A."), "Not Submitted", "Submitted")</f>
        <v>Submitted</v>
      </c>
      <c r="J114" t="str">
        <f>IF(LEFT(tblShipments4[[#This Row],[Gateway_Extracted]],2)="IN","Valid","Invalid")</f>
        <v>Valid</v>
      </c>
      <c r="K114" t="s">
        <v>1123</v>
      </c>
      <c r="L114" t="s">
        <v>1158</v>
      </c>
      <c r="M114" t="s">
        <v>13</v>
      </c>
      <c r="N114" t="s">
        <v>1159</v>
      </c>
      <c r="O114" t="str">
        <f>IFERROR("IN" &amp; _xlfn.TEXTBEFORE(_xlfn.TEXTAFTER(UPPER(tblShipments4[[#This Row],[Gateway_clean]]),"IN")," ",1),"")</f>
        <v>INMUN1</v>
      </c>
      <c r="P114" t="str">
        <f>SUBSTITUTE(tblShipments4[[#This Row],[Gateway]], CHAR(10), " ")</f>
        <v xml:space="preserve">AWB No. Gateway Port Gateway EGM No. Gateway EGM Date Gateway Site ID Error Code N.A.  INMUN1  138363  2017-11-07 00:00:00.0  INMUN1  S </v>
      </c>
      <c r="Q114" t="s">
        <v>1160</v>
      </c>
    </row>
    <row r="115" spans="1:17" x14ac:dyDescent="0.35">
      <c r="A115" t="s">
        <v>8</v>
      </c>
      <c r="B115">
        <v>1073185</v>
      </c>
      <c r="C115" s="2" t="s">
        <v>1251</v>
      </c>
      <c r="D115" s="2" t="str">
        <f>LEFT(TRIM(MID(SUBSTITUTE(tblShipments4[[#This Row],[Details]],CHAR(10)," "), FIND(CHAR(10),tblShipments4[[#This Row],[Details]])+1, 50)), 10)</f>
        <v>0598045783</v>
      </c>
      <c r="E115" t="s">
        <v>1279</v>
      </c>
      <c r="F11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5" t="str">
        <f>IF(tblShipments4[[#This Row],[EGM no]]="", "Missing EGM", "EGM Submitted")</f>
        <v>EGM Submitted</v>
      </c>
      <c r="H115" t="str">
        <f>IF(OR(ISNUMBER(SEARCH("Released",tblShipments4[[#This Row],[ROSL]])),
      ISNUMBER(SEARCH("Scroll",tblShipments4[[#This Row],[ROSL]])),
      ISNUMBER(SEARCH("Y",tblShipments4[[#This Row],[ROSL]]))),
   "Released",
   "Not Released")</f>
        <v>Released</v>
      </c>
      <c r="I115" t="str">
        <f>IF(OR(tblShipments4[[#This Row],[EGM no]]="", tblShipments4[[#This Row],[EGM no]]="N.A."), "Not Submitted", "Submitted")</f>
        <v>Submitted</v>
      </c>
      <c r="J115" t="str">
        <f>IF(LEFT(tblShipments4[[#This Row],[Gateway_Extracted]],2)="IN","Valid","Invalid")</f>
        <v>Valid</v>
      </c>
      <c r="K115" t="s">
        <v>1280</v>
      </c>
      <c r="L115" t="s">
        <v>1281</v>
      </c>
      <c r="M115" t="s">
        <v>31</v>
      </c>
      <c r="N115" t="s">
        <v>1282</v>
      </c>
      <c r="O115" t="str">
        <f>IFERROR("IN" &amp; _xlfn.TEXTBEFORE(_xlfn.TEXTAFTER(UPPER(tblShipments4[[#This Row],[Gateway_clean]]),"IN")," ",1),"")</f>
        <v>INMUN1</v>
      </c>
      <c r="P115" t="str">
        <f>SUBSTITUTE(tblShipments4[[#This Row],[Gateway]], CHAR(10), " ")</f>
        <v xml:space="preserve">AWB No. Gateway Port Gateway EGM No. Gateway EGM Date Gateway Site ID Error Code N.A.  INMUN1  140625  2017-12-13 00:00:00.0  INMUN1  S </v>
      </c>
      <c r="Q115" t="s">
        <v>1283</v>
      </c>
    </row>
    <row r="116" spans="1:17" x14ac:dyDescent="0.35">
      <c r="A116" t="s">
        <v>8</v>
      </c>
      <c r="B116">
        <v>8615986</v>
      </c>
      <c r="C116" s="2" t="s">
        <v>681</v>
      </c>
      <c r="D116" s="2" t="str">
        <f>LEFT(TRIM(MID(SUBSTITUTE(tblShipments4[[#This Row],[Details]],CHAR(10)," "), FIND(CHAR(10),tblShipments4[[#This Row],[Details]])+1, 50)), 10)</f>
        <v>0598059113</v>
      </c>
      <c r="E116" t="s">
        <v>722</v>
      </c>
      <c r="F11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6" t="str">
        <f>IF(tblShipments4[[#This Row],[EGM no]]="", "Missing EGM", "EGM Submitted")</f>
        <v>EGM Submitted</v>
      </c>
      <c r="H116" t="str">
        <f>IF(OR(ISNUMBER(SEARCH("Released",tblShipments4[[#This Row],[ROSL]])),
      ISNUMBER(SEARCH("Scroll",tblShipments4[[#This Row],[ROSL]])),
      ISNUMBER(SEARCH("Y",tblShipments4[[#This Row],[ROSL]]))),
   "Released",
   "Not Released")</f>
        <v>Released</v>
      </c>
      <c r="I116" t="str">
        <f>IF(OR(tblShipments4[[#This Row],[EGM no]]="", tblShipments4[[#This Row],[EGM no]]="N.A."), "Not Submitted", "Submitted")</f>
        <v>Submitted</v>
      </c>
      <c r="J116" t="str">
        <f>IF(LEFT(tblShipments4[[#This Row],[Gateway_Extracted]],2)="IN","Valid","Invalid")</f>
        <v>Valid</v>
      </c>
      <c r="K116" t="s">
        <v>723</v>
      </c>
      <c r="L116" t="s">
        <v>724</v>
      </c>
      <c r="M116" t="s">
        <v>13</v>
      </c>
      <c r="N116" t="s">
        <v>725</v>
      </c>
      <c r="O116" t="str">
        <f>IFERROR("IN" &amp; _xlfn.TEXTBEFORE(_xlfn.TEXTAFTER(UPPER(tblShipments4[[#This Row],[Gateway_clean]]),"IN")," ",1),"")</f>
        <v>INMUN1</v>
      </c>
      <c r="P116" t="str">
        <f>SUBSTITUTE(tblShipments4[[#This Row],[Gateway]], CHAR(10), " ")</f>
        <v xml:space="preserve">AWB No. Gateway Port Gateway EGM No. Gateway EGM Date Gateway Site ID Error Code N.A.  INMUN1  134919  2017-09-12 00:00:00.0  INMUN1  S </v>
      </c>
      <c r="Q116" t="s">
        <v>726</v>
      </c>
    </row>
    <row r="117" spans="1:17" x14ac:dyDescent="0.35">
      <c r="A117" t="s">
        <v>8</v>
      </c>
      <c r="B117">
        <v>9029616</v>
      </c>
      <c r="C117" s="2" t="s">
        <v>917</v>
      </c>
      <c r="D117" s="2" t="str">
        <f>LEFT(TRIM(MID(SUBSTITUTE(tblShipments4[[#This Row],[Details]],CHAR(10)," "), FIND(CHAR(10),tblShipments4[[#This Row],[Details]])+1, 50)), 10)</f>
        <v>0598059113</v>
      </c>
      <c r="E117" t="s">
        <v>918</v>
      </c>
      <c r="F11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7" t="str">
        <f>IF(tblShipments4[[#This Row],[EGM no]]="", "Missing EGM", "EGM Submitted")</f>
        <v>EGM Submitted</v>
      </c>
      <c r="H117" t="str">
        <f>IF(OR(ISNUMBER(SEARCH("Released",tblShipments4[[#This Row],[ROSL]])),
      ISNUMBER(SEARCH("Scroll",tblShipments4[[#This Row],[ROSL]])),
      ISNUMBER(SEARCH("Y",tblShipments4[[#This Row],[ROSL]]))),
   "Released",
   "Not Released")</f>
        <v>Released</v>
      </c>
      <c r="I117" t="str">
        <f>IF(OR(tblShipments4[[#This Row],[EGM no]]="", tblShipments4[[#This Row],[EGM no]]="N.A."), "Not Submitted", "Submitted")</f>
        <v>Submitted</v>
      </c>
      <c r="J117" t="str">
        <f>IF(LEFT(tblShipments4[[#This Row],[Gateway_Extracted]],2)="IN","Valid","Invalid")</f>
        <v>Valid</v>
      </c>
      <c r="K117" t="s">
        <v>919</v>
      </c>
      <c r="L117" t="s">
        <v>920</v>
      </c>
      <c r="M117" t="s">
        <v>13</v>
      </c>
      <c r="N117" t="s">
        <v>921</v>
      </c>
      <c r="O117" t="str">
        <f>IFERROR("IN" &amp; _xlfn.TEXTBEFORE(_xlfn.TEXTAFTER(UPPER(tblShipments4[[#This Row],[Gateway_clean]]),"IN")," ",1),"")</f>
        <v>INMUN1</v>
      </c>
      <c r="P117" t="str">
        <f>SUBSTITUTE(tblShipments4[[#This Row],[Gateway]], CHAR(10), " ")</f>
        <v xml:space="preserve">AWB No. Gateway Port Gateway EGM No. Gateway EGM Date Gateway Site ID Error Code N.A.  INMUN1  136518  2017-10-09 00:00:00.0  INMUN1  S </v>
      </c>
      <c r="Q117" t="s">
        <v>922</v>
      </c>
    </row>
    <row r="118" spans="1:17" x14ac:dyDescent="0.35">
      <c r="A118" t="s">
        <v>8</v>
      </c>
      <c r="B118">
        <v>1469621</v>
      </c>
      <c r="C118" s="2" t="s">
        <v>1459</v>
      </c>
      <c r="D118" s="2" t="str">
        <f>LEFT(TRIM(MID(SUBSTITUTE(tblShipments4[[#This Row],[Details]],CHAR(10)," "), FIND(CHAR(10),tblShipments4[[#This Row],[Details]])+1, 50)), 10)</f>
        <v>0598059113</v>
      </c>
      <c r="E118" t="s">
        <v>1470</v>
      </c>
      <c r="F11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8" t="str">
        <f>IF(tblShipments4[[#This Row],[EGM no]]="", "Missing EGM", "EGM Submitted")</f>
        <v>EGM Submitted</v>
      </c>
      <c r="H118" t="str">
        <f>IF(OR(ISNUMBER(SEARCH("Released",tblShipments4[[#This Row],[ROSL]])),
      ISNUMBER(SEARCH("Scroll",tblShipments4[[#This Row],[ROSL]])),
      ISNUMBER(SEARCH("Y",tblShipments4[[#This Row],[ROSL]]))),
   "Released",
   "Not Released")</f>
        <v>Released</v>
      </c>
      <c r="I118" t="str">
        <f>IF(OR(tblShipments4[[#This Row],[EGM no]]="", tblShipments4[[#This Row],[EGM no]]="N.A."), "Not Submitted", "Submitted")</f>
        <v>Submitted</v>
      </c>
      <c r="J118" t="str">
        <f>IF(LEFT(tblShipments4[[#This Row],[Gateway_Extracted]],2)="IN","Valid","Invalid")</f>
        <v>Valid</v>
      </c>
      <c r="K118" t="s">
        <v>1471</v>
      </c>
      <c r="L118" t="s">
        <v>1472</v>
      </c>
      <c r="M118" t="s">
        <v>13</v>
      </c>
      <c r="N118" t="s">
        <v>1473</v>
      </c>
      <c r="O118" t="str">
        <f>IFERROR("IN" &amp; _xlfn.TEXTBEFORE(_xlfn.TEXTAFTER(UPPER(tblShipments4[[#This Row],[Gateway_clean]]),"IN")," ",1),"")</f>
        <v>INMUN1</v>
      </c>
      <c r="P118" t="str">
        <f>SUBSTITUTE(tblShipments4[[#This Row],[Gateway]], CHAR(10), " ")</f>
        <v xml:space="preserve">AWB No. Gateway Port Gateway EGM No. Gateway EGM Date Gateway Site ID Error Code N.A.  INMUN1  141077  2017-12-21 00:00:00.0  INMUN1  S </v>
      </c>
      <c r="Q118" t="s">
        <v>1474</v>
      </c>
    </row>
    <row r="119" spans="1:17" x14ac:dyDescent="0.35">
      <c r="A119" t="s">
        <v>8</v>
      </c>
      <c r="B119">
        <v>8942181</v>
      </c>
      <c r="C119" s="2" t="s">
        <v>861</v>
      </c>
      <c r="D119" s="2" t="str">
        <f>LEFT(TRIM(MID(SUBSTITUTE(tblShipments4[[#This Row],[Details]],CHAR(10)," "), FIND(CHAR(10),tblShipments4[[#This Row],[Details]])+1, 50)), 10)</f>
        <v>0599059206</v>
      </c>
      <c r="E119" t="s">
        <v>867</v>
      </c>
      <c r="F11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19" t="str">
        <f>IF(tblShipments4[[#This Row],[EGM no]]="", "Missing EGM", "EGM Submitted")</f>
        <v>EGM Submitted</v>
      </c>
      <c r="H119" t="str">
        <f>IF(OR(ISNUMBER(SEARCH("Released",tblShipments4[[#This Row],[ROSL]])),
      ISNUMBER(SEARCH("Scroll",tblShipments4[[#This Row],[ROSL]])),
      ISNUMBER(SEARCH("Y",tblShipments4[[#This Row],[ROSL]]))),
   "Released",
   "Not Released")</f>
        <v>Released</v>
      </c>
      <c r="I119" t="str">
        <f>IF(OR(tblShipments4[[#This Row],[EGM no]]="", tblShipments4[[#This Row],[EGM no]]="N.A."), "Not Submitted", "Submitted")</f>
        <v>Submitted</v>
      </c>
      <c r="J119" t="str">
        <f>IF(LEFT(tblShipments4[[#This Row],[Gateway_Extracted]],2)="IN","Valid","Invalid")</f>
        <v>Valid</v>
      </c>
      <c r="K119" t="s">
        <v>749</v>
      </c>
      <c r="L119" t="s">
        <v>868</v>
      </c>
      <c r="M119" t="s">
        <v>31</v>
      </c>
      <c r="N119" t="s">
        <v>869</v>
      </c>
      <c r="O119" t="str">
        <f>IFERROR("IN" &amp; _xlfn.TEXTBEFORE(_xlfn.TEXTAFTER(UPPER(tblShipments4[[#This Row],[Gateway_clean]]),"IN")," ",1),"")</f>
        <v>INMUN1</v>
      </c>
      <c r="P119" t="str">
        <f>SUBSTITUTE(tblShipments4[[#This Row],[Gateway]], CHAR(10), " ")</f>
        <v xml:space="preserve">AWB No. Gateway Port Gateway EGM No. Gateway EGM Date Gateway Site ID Error Code N.A.  INMUN1  136519  2017-10-09 00:00:00.0  INMUN1  S </v>
      </c>
      <c r="Q119" t="s">
        <v>870</v>
      </c>
    </row>
    <row r="120" spans="1:17" x14ac:dyDescent="0.35">
      <c r="A120" t="s">
        <v>8</v>
      </c>
      <c r="B120">
        <v>8942185</v>
      </c>
      <c r="C120" s="2" t="s">
        <v>861</v>
      </c>
      <c r="D120" s="2" t="str">
        <f>LEFT(TRIM(MID(SUBSTITUTE(tblShipments4[[#This Row],[Details]],CHAR(10)," "), FIND(CHAR(10),tblShipments4[[#This Row],[Details]])+1, 50)), 10)</f>
        <v>0599059206</v>
      </c>
      <c r="E120" t="s">
        <v>871</v>
      </c>
      <c r="F12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0" t="str">
        <f>IF(tblShipments4[[#This Row],[EGM no]]="", "Missing EGM", "EGM Submitted")</f>
        <v>EGM Submitted</v>
      </c>
      <c r="H120" t="str">
        <f>IF(OR(ISNUMBER(SEARCH("Released",tblShipments4[[#This Row],[ROSL]])),
      ISNUMBER(SEARCH("Scroll",tblShipments4[[#This Row],[ROSL]])),
      ISNUMBER(SEARCH("Y",tblShipments4[[#This Row],[ROSL]]))),
   "Released",
   "Not Released")</f>
        <v>Released</v>
      </c>
      <c r="I120" t="str">
        <f>IF(OR(tblShipments4[[#This Row],[EGM no]]="", tblShipments4[[#This Row],[EGM no]]="N.A."), "Not Submitted", "Submitted")</f>
        <v>Submitted</v>
      </c>
      <c r="J120" t="str">
        <f>IF(LEFT(tblShipments4[[#This Row],[Gateway_Extracted]],2)="IN","Valid","Invalid")</f>
        <v>Valid</v>
      </c>
      <c r="K120" t="s">
        <v>749</v>
      </c>
      <c r="L120" t="s">
        <v>872</v>
      </c>
      <c r="M120" t="s">
        <v>31</v>
      </c>
      <c r="N120" t="s">
        <v>873</v>
      </c>
      <c r="O120" t="str">
        <f>IFERROR("IN" &amp; _xlfn.TEXTBEFORE(_xlfn.TEXTAFTER(UPPER(tblShipments4[[#This Row],[Gateway_clean]]),"IN")," ",1),"")</f>
        <v>INMUN1</v>
      </c>
      <c r="P120" t="str">
        <f>SUBSTITUTE(tblShipments4[[#This Row],[Gateway]], CHAR(10), " ")</f>
        <v xml:space="preserve">AWB No. Gateway Port Gateway EGM No. Gateway EGM Date Gateway Site ID Error Code N.A.  INMUN1  136519  2017-10-09 00:00:00.0  INMUN1  S </v>
      </c>
      <c r="Q120" t="s">
        <v>870</v>
      </c>
    </row>
    <row r="121" spans="1:17" x14ac:dyDescent="0.35">
      <c r="A121" t="s">
        <v>8</v>
      </c>
      <c r="B121">
        <v>9738912</v>
      </c>
      <c r="C121" s="2" t="s">
        <v>1168</v>
      </c>
      <c r="D121" s="2" t="str">
        <f>LEFT(TRIM(MID(SUBSTITUTE(tblShipments4[[#This Row],[Details]],CHAR(10)," "), FIND(CHAR(10),tblShipments4[[#This Row],[Details]])+1, 50)), 10)</f>
        <v>0615002285</v>
      </c>
      <c r="E121" t="s">
        <v>1173</v>
      </c>
      <c r="F12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1" t="str">
        <f>IF(tblShipments4[[#This Row],[EGM no]]="", "Missing EGM", "EGM Submitted")</f>
        <v>EGM Submitted</v>
      </c>
      <c r="H121" t="str">
        <f>IF(OR(ISNUMBER(SEARCH("Released",tblShipments4[[#This Row],[ROSL]])),
      ISNUMBER(SEARCH("Scroll",tblShipments4[[#This Row],[ROSL]])),
      ISNUMBER(SEARCH("Y",tblShipments4[[#This Row],[ROSL]]))),
   "Released",
   "Not Released")</f>
        <v>Released</v>
      </c>
      <c r="I121" t="str">
        <f>IF(OR(tblShipments4[[#This Row],[EGM no]]="", tblShipments4[[#This Row],[EGM no]]="N.A."), "Not Submitted", "Submitted")</f>
        <v>Submitted</v>
      </c>
      <c r="J121" t="str">
        <f>IF(LEFT(tblShipments4[[#This Row],[Gateway_Extracted]],2)="IN","Valid","Invalid")</f>
        <v>Valid</v>
      </c>
      <c r="K121" t="s">
        <v>1174</v>
      </c>
      <c r="L121" t="s">
        <v>1175</v>
      </c>
      <c r="M121" t="s">
        <v>13</v>
      </c>
      <c r="N121" t="s">
        <v>1176</v>
      </c>
      <c r="O121" t="str">
        <f>IFERROR("IN" &amp; _xlfn.TEXTBEFORE(_xlfn.TEXTAFTER(UPPER(tblShipments4[[#This Row],[Gateway_clean]]),"IN")," ",1),"")</f>
        <v>INMUN1</v>
      </c>
      <c r="P121" t="str">
        <f>SUBSTITUTE(tblShipments4[[#This Row],[Gateway]], CHAR(10), " ")</f>
        <v xml:space="preserve">AWB No. Gateway Port Gateway EGM No. Gateway EGM Date Gateway Site ID Error Code N.A.  INMUN1  151099  2018-05-28 00:00:00.0  INMUN1  S </v>
      </c>
      <c r="Q121" t="s">
        <v>1177</v>
      </c>
    </row>
    <row r="122" spans="1:17" x14ac:dyDescent="0.35">
      <c r="A122" t="s">
        <v>8</v>
      </c>
      <c r="B122">
        <v>1072758</v>
      </c>
      <c r="C122" s="2" t="s">
        <v>1251</v>
      </c>
      <c r="D122" s="2" t="str">
        <f>LEFT(TRIM(MID(SUBSTITUTE(tblShipments4[[#This Row],[Details]],CHAR(10)," "), FIND(CHAR(10),tblShipments4[[#This Row],[Details]])+1, 50)), 10)</f>
        <v>0709012331</v>
      </c>
      <c r="E122" t="s">
        <v>1275</v>
      </c>
      <c r="F12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2" t="str">
        <f>IF(tblShipments4[[#This Row],[EGM no]]="", "Missing EGM", "EGM Submitted")</f>
        <v>EGM Submitted</v>
      </c>
      <c r="H122" t="str">
        <f>IF(OR(ISNUMBER(SEARCH("Released",tblShipments4[[#This Row],[ROSL]])),
      ISNUMBER(SEARCH("Scroll",tblShipments4[[#This Row],[ROSL]])),
      ISNUMBER(SEARCH("Y",tblShipments4[[#This Row],[ROSL]]))),
   "Released",
   "Not Released")</f>
        <v>Released</v>
      </c>
      <c r="I122" t="str">
        <f>IF(OR(tblShipments4[[#This Row],[EGM no]]="", tblShipments4[[#This Row],[EGM no]]="N.A."), "Not Submitted", "Submitted")</f>
        <v>Submitted</v>
      </c>
      <c r="J122" t="str">
        <f>IF(LEFT(tblShipments4[[#This Row],[Gateway_Extracted]],2)="IN","Valid","Invalid")</f>
        <v>Valid</v>
      </c>
      <c r="K122" t="s">
        <v>1253</v>
      </c>
      <c r="L122" t="s">
        <v>1276</v>
      </c>
      <c r="M122" t="s">
        <v>13</v>
      </c>
      <c r="N122" t="s">
        <v>1277</v>
      </c>
      <c r="O122" t="str">
        <f>IFERROR("IN" &amp; _xlfn.TEXTBEFORE(_xlfn.TEXTAFTER(UPPER(tblShipments4[[#This Row],[Gateway_clean]]),"IN")," ",1),"")</f>
        <v>INMUN1</v>
      </c>
      <c r="P122" t="str">
        <f>SUBSTITUTE(tblShipments4[[#This Row],[Gateway]], CHAR(10), " ")</f>
        <v xml:space="preserve">AWB No. Gateway Port Gateway EGM No. Gateway EGM Date Gateway Site ID Error Code N.A.  INMUN1  139513  2017-11-24 00:00:00.0  INMUN1  S </v>
      </c>
      <c r="Q122" t="s">
        <v>1278</v>
      </c>
    </row>
    <row r="123" spans="1:17" x14ac:dyDescent="0.35">
      <c r="A123" t="s">
        <v>8</v>
      </c>
      <c r="B123">
        <v>1811286</v>
      </c>
      <c r="C123" s="2" t="s">
        <v>1657</v>
      </c>
      <c r="D123" s="2" t="str">
        <f>LEFT(TRIM(MID(SUBSTITUTE(tblShipments4[[#This Row],[Details]],CHAR(10)," "), FIND(CHAR(10),tblShipments4[[#This Row],[Details]])+1, 50)), 10)</f>
        <v>1210001128</v>
      </c>
      <c r="E123" t="s">
        <v>1666</v>
      </c>
      <c r="F12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3" t="str">
        <f>IF(tblShipments4[[#This Row],[EGM no]]="", "Missing EGM", "EGM Submitted")</f>
        <v>EGM Submitted</v>
      </c>
      <c r="H123" t="str">
        <f>IF(OR(ISNUMBER(SEARCH("Released",tblShipments4[[#This Row],[ROSL]])),
      ISNUMBER(SEARCH("Scroll",tblShipments4[[#This Row],[ROSL]])),
      ISNUMBER(SEARCH("Y",tblShipments4[[#This Row],[ROSL]]))),
   "Released",
   "Not Released")</f>
        <v>Released</v>
      </c>
      <c r="I123" t="str">
        <f>IF(OR(tblShipments4[[#This Row],[EGM no]]="", tblShipments4[[#This Row],[EGM no]]="N.A."), "Not Submitted", "Submitted")</f>
        <v>Submitted</v>
      </c>
      <c r="J123" t="str">
        <f>IF(LEFT(tblShipments4[[#This Row],[Gateway_Extracted]],2)="IN","Valid","Invalid")</f>
        <v>Valid</v>
      </c>
      <c r="K123" t="s">
        <v>1667</v>
      </c>
      <c r="L123" t="s">
        <v>1668</v>
      </c>
      <c r="M123" t="s">
        <v>13</v>
      </c>
      <c r="N123" t="s">
        <v>1669</v>
      </c>
      <c r="O123" t="str">
        <f>IFERROR("IN" &amp; _xlfn.TEXTBEFORE(_xlfn.TEXTAFTER(UPPER(tblShipments4[[#This Row],[Gateway_clean]]),"IN")," ",1),"")</f>
        <v>INMUN1</v>
      </c>
      <c r="P123" t="str">
        <f>SUBSTITUTE(tblShipments4[[#This Row],[Gateway]], CHAR(10), " ")</f>
        <v xml:space="preserve">AWB No. Gateway Port Gateway EGM No. Gateway EGM Date Gateway Site ID Error Code N.A.  INMUN1  143166  2018-01-23 00:00:00.0  INMUN1  S </v>
      </c>
      <c r="Q123" t="s">
        <v>1670</v>
      </c>
    </row>
    <row r="124" spans="1:17" x14ac:dyDescent="0.35">
      <c r="A124" t="s">
        <v>8</v>
      </c>
      <c r="B124">
        <v>8783035</v>
      </c>
      <c r="C124" s="2" t="s">
        <v>784</v>
      </c>
      <c r="D124" s="2" t="str">
        <f>LEFT(TRIM(MID(SUBSTITUTE(tblShipments4[[#This Row],[Details]],CHAR(10)," "), FIND(CHAR(10),tblShipments4[[#This Row],[Details]])+1, 50)), 10)</f>
        <v>1216900370</v>
      </c>
      <c r="E124" t="s">
        <v>790</v>
      </c>
      <c r="F12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4" t="str">
        <f>IF(tblShipments4[[#This Row],[EGM no]]="", "Missing EGM", "EGM Submitted")</f>
        <v>EGM Submitted</v>
      </c>
      <c r="H124" t="str">
        <f>IF(OR(ISNUMBER(SEARCH("Released",tblShipments4[[#This Row],[ROSL]])),
      ISNUMBER(SEARCH("Scroll",tblShipments4[[#This Row],[ROSL]])),
      ISNUMBER(SEARCH("Y",tblShipments4[[#This Row],[ROSL]]))),
   "Released",
   "Not Released")</f>
        <v>Released</v>
      </c>
      <c r="I124" t="str">
        <f>IF(OR(tblShipments4[[#This Row],[EGM no]]="", tblShipments4[[#This Row],[EGM no]]="N.A."), "Not Submitted", "Submitted")</f>
        <v>Submitted</v>
      </c>
      <c r="J124" t="str">
        <f>IF(LEFT(tblShipments4[[#This Row],[Gateway_Extracted]],2)="IN","Valid","Invalid")</f>
        <v>Valid</v>
      </c>
      <c r="K124" t="s">
        <v>791</v>
      </c>
      <c r="L124" t="s">
        <v>792</v>
      </c>
      <c r="M124" t="s">
        <v>13</v>
      </c>
      <c r="N124" t="s">
        <v>793</v>
      </c>
      <c r="O124" t="str">
        <f>IFERROR("IN" &amp; _xlfn.TEXTBEFORE(_xlfn.TEXTAFTER(UPPER(tblShipments4[[#This Row],[Gateway_clean]]),"IN")," ",1),"")</f>
        <v>INMUN1</v>
      </c>
      <c r="P124" t="str">
        <f>SUBSTITUTE(tblShipments4[[#This Row],[Gateway]], CHAR(10), " ")</f>
        <v xml:space="preserve">AWB No. Gateway Port Gateway EGM No. Gateway EGM Date Gateway Site ID Error Code N.A.  INMUN1  N.A.  N.A.  N.A.  N.A. </v>
      </c>
      <c r="Q124" t="s">
        <v>244</v>
      </c>
    </row>
    <row r="125" spans="1:17" x14ac:dyDescent="0.35">
      <c r="A125" t="s">
        <v>8</v>
      </c>
      <c r="B125">
        <v>1523411</v>
      </c>
      <c r="C125" s="2" t="s">
        <v>1499</v>
      </c>
      <c r="D125" s="2" t="str">
        <f>LEFT(TRIM(MID(SUBSTITUTE(tblShipments4[[#This Row],[Details]],CHAR(10)," "), FIND(CHAR(10),tblShipments4[[#This Row],[Details]])+1, 50)), 10)</f>
        <v>1306014115</v>
      </c>
      <c r="E125" t="s">
        <v>1512</v>
      </c>
      <c r="F12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5" t="str">
        <f>IF(tblShipments4[[#This Row],[EGM no]]="", "Missing EGM", "EGM Submitted")</f>
        <v>EGM Submitted</v>
      </c>
      <c r="H125" t="str">
        <f>IF(OR(ISNUMBER(SEARCH("Released",tblShipments4[[#This Row],[ROSL]])),
      ISNUMBER(SEARCH("Scroll",tblShipments4[[#This Row],[ROSL]])),
      ISNUMBER(SEARCH("Y",tblShipments4[[#This Row],[ROSL]]))),
   "Released",
   "Not Released")</f>
        <v>Released</v>
      </c>
      <c r="I125" t="str">
        <f>IF(OR(tblShipments4[[#This Row],[EGM no]]="", tblShipments4[[#This Row],[EGM no]]="N.A."), "Not Submitted", "Submitted")</f>
        <v>Submitted</v>
      </c>
      <c r="J125" t="str">
        <f>IF(LEFT(tblShipments4[[#This Row],[Gateway_Extracted]],2)="IN","Valid","Invalid")</f>
        <v>Valid</v>
      </c>
      <c r="K125" t="s">
        <v>1513</v>
      </c>
      <c r="L125" t="s">
        <v>1514</v>
      </c>
      <c r="M125" t="s">
        <v>13</v>
      </c>
      <c r="N125" t="s">
        <v>1515</v>
      </c>
      <c r="O125" t="str">
        <f>IFERROR("IN" &amp; _xlfn.TEXTBEFORE(_xlfn.TEXTAFTER(UPPER(tblShipments4[[#This Row],[Gateway_clean]]),"IN")," ",1),"")</f>
        <v>INMUN1</v>
      </c>
      <c r="P125" t="str">
        <f>SUBSTITUTE(tblShipments4[[#This Row],[Gateway]], CHAR(10), " ")</f>
        <v xml:space="preserve">AWB No. Gateway Port Gateway EGM No. Gateway EGM Date Gateway Site ID Error Code N.A.  INMUN1  N.A.  N.A.  N.A.  N.A. </v>
      </c>
      <c r="Q125" t="s">
        <v>244</v>
      </c>
    </row>
    <row r="126" spans="1:17" x14ac:dyDescent="0.35">
      <c r="A126" t="s">
        <v>8</v>
      </c>
      <c r="B126">
        <v>7712075</v>
      </c>
      <c r="C126" s="2" t="s">
        <v>87</v>
      </c>
      <c r="D126" s="2" t="str">
        <f>LEFT(TRIM(MID(SUBSTITUTE(tblShipments4[[#This Row],[Details]],CHAR(10)," "), FIND(CHAR(10),tblShipments4[[#This Row],[Details]])+1, 50)), 10)</f>
        <v>1308012381</v>
      </c>
      <c r="E126" t="s">
        <v>92</v>
      </c>
      <c r="F12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6" t="str">
        <f>IF(tblShipments4[[#This Row],[EGM no]]="", "Missing EGM", "EGM Submitted")</f>
        <v>EGM Submitted</v>
      </c>
      <c r="H126" t="str">
        <f>IF(OR(ISNUMBER(SEARCH("Released",tblShipments4[[#This Row],[ROSL]])),
      ISNUMBER(SEARCH("Scroll",tblShipments4[[#This Row],[ROSL]])),
      ISNUMBER(SEARCH("Y",tblShipments4[[#This Row],[ROSL]]))),
   "Released",
   "Not Released")</f>
        <v>Released</v>
      </c>
      <c r="I126" t="str">
        <f>IF(OR(tblShipments4[[#This Row],[EGM no]]="", tblShipments4[[#This Row],[EGM no]]="N.A."), "Not Submitted", "Submitted")</f>
        <v>Submitted</v>
      </c>
      <c r="J126" t="str">
        <f>IF(LEFT(tblShipments4[[#This Row],[Gateway_Extracted]],2)="IN","Valid","Invalid")</f>
        <v>Valid</v>
      </c>
      <c r="K126" t="s">
        <v>72</v>
      </c>
      <c r="L126" t="s">
        <v>93</v>
      </c>
      <c r="M126" t="s">
        <v>13</v>
      </c>
      <c r="N126" t="s">
        <v>94</v>
      </c>
      <c r="O126" t="str">
        <f>IFERROR("IN" &amp; _xlfn.TEXTBEFORE(_xlfn.TEXTAFTER(UPPER(tblShipments4[[#This Row],[Gateway_clean]]),"IN")," ",1),"")</f>
        <v>INMUN1</v>
      </c>
      <c r="P126" t="str">
        <f>SUBSTITUTE(tblShipments4[[#This Row],[Gateway]], CHAR(10), " ")</f>
        <v xml:space="preserve">AWB No. Gateway Port Gateway EGM No. Gateway EGM Date Gateway Site ID Error Code N.A.  INMUN1  134637  2017-09-06 00:00:00.0  INMUN1  S </v>
      </c>
      <c r="Q126" t="s">
        <v>95</v>
      </c>
    </row>
    <row r="127" spans="1:17" x14ac:dyDescent="0.35">
      <c r="A127" t="s">
        <v>8</v>
      </c>
      <c r="B127">
        <v>8395644</v>
      </c>
      <c r="C127" s="2" t="s">
        <v>548</v>
      </c>
      <c r="D127" s="2" t="str">
        <f>LEFT(TRIM(MID(SUBSTITUTE(tblShipments4[[#This Row],[Details]],CHAR(10)," "), FIND(CHAR(10),tblShipments4[[#This Row],[Details]])+1, 50)), 10)</f>
        <v>1308012381</v>
      </c>
      <c r="E127" t="s">
        <v>553</v>
      </c>
      <c r="F12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7" t="str">
        <f>IF(tblShipments4[[#This Row],[EGM no]]="", "Missing EGM", "EGM Submitted")</f>
        <v>EGM Submitted</v>
      </c>
      <c r="H127" t="str">
        <f>IF(OR(ISNUMBER(SEARCH("Released",tblShipments4[[#This Row],[ROSL]])),
      ISNUMBER(SEARCH("Scroll",tblShipments4[[#This Row],[ROSL]])),
      ISNUMBER(SEARCH("Y",tblShipments4[[#This Row],[ROSL]]))),
   "Released",
   "Not Released")</f>
        <v>Released</v>
      </c>
      <c r="I127" t="str">
        <f>IF(OR(tblShipments4[[#This Row],[EGM no]]="", tblShipments4[[#This Row],[EGM no]]="N.A."), "Not Submitted", "Submitted")</f>
        <v>Submitted</v>
      </c>
      <c r="J127" t="str">
        <f>IF(LEFT(tblShipments4[[#This Row],[Gateway_Extracted]],2)="IN","Valid","Invalid")</f>
        <v>Valid</v>
      </c>
      <c r="K127" t="s">
        <v>528</v>
      </c>
      <c r="L127" t="s">
        <v>554</v>
      </c>
      <c r="M127" t="s">
        <v>13</v>
      </c>
      <c r="N127" t="s">
        <v>555</v>
      </c>
      <c r="O127" t="str">
        <f>IFERROR("IN" &amp; _xlfn.TEXTBEFORE(_xlfn.TEXTAFTER(UPPER(tblShipments4[[#This Row],[Gateway_clean]]),"IN")," ",1),"")</f>
        <v>INMUN1</v>
      </c>
      <c r="P127" t="str">
        <f>SUBSTITUTE(tblShipments4[[#This Row],[Gateway]], CHAR(10), " ")</f>
        <v xml:space="preserve">AWB No. Gateway Port Gateway EGM No. Gateway EGM Date Gateway Site ID Error Code N.A.  INMUN1  137035  2017-10-16 00:00:00.0  INMUN1  S </v>
      </c>
      <c r="Q127" t="s">
        <v>556</v>
      </c>
    </row>
    <row r="128" spans="1:17" x14ac:dyDescent="0.35">
      <c r="A128" t="s">
        <v>8</v>
      </c>
      <c r="B128">
        <v>1062588</v>
      </c>
      <c r="C128" s="2" t="s">
        <v>1251</v>
      </c>
      <c r="D128" s="2" t="str">
        <f>LEFT(TRIM(MID(SUBSTITUTE(tblShipments4[[#This Row],[Details]],CHAR(10)," "), FIND(CHAR(10),tblShipments4[[#This Row],[Details]])+1, 50)), 10)</f>
        <v>1414003447</v>
      </c>
      <c r="E128" t="s">
        <v>1257</v>
      </c>
      <c r="F12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8" t="str">
        <f>IF(tblShipments4[[#This Row],[EGM no]]="", "Missing EGM", "EGM Submitted")</f>
        <v>EGM Submitted</v>
      </c>
      <c r="H128" t="str">
        <f>IF(OR(ISNUMBER(SEARCH("Released",tblShipments4[[#This Row],[ROSL]])),
      ISNUMBER(SEARCH("Scroll",tblShipments4[[#This Row],[ROSL]])),
      ISNUMBER(SEARCH("Y",tblShipments4[[#This Row],[ROSL]]))),
   "Released",
   "Not Released")</f>
        <v>Released</v>
      </c>
      <c r="I128" t="str">
        <f>IF(OR(tblShipments4[[#This Row],[EGM no]]="", tblShipments4[[#This Row],[EGM no]]="N.A."), "Not Submitted", "Submitted")</f>
        <v>Submitted</v>
      </c>
      <c r="J128" t="str">
        <f>IF(LEFT(tblShipments4[[#This Row],[Gateway_Extracted]],2)="IN","Valid","Invalid")</f>
        <v>Valid</v>
      </c>
      <c r="K128" t="s">
        <v>1258</v>
      </c>
      <c r="L128" t="s">
        <v>1259</v>
      </c>
      <c r="M128" t="s">
        <v>13</v>
      </c>
      <c r="N128" t="s">
        <v>1260</v>
      </c>
      <c r="O128" t="str">
        <f>IFERROR("IN" &amp; _xlfn.TEXTBEFORE(_xlfn.TEXTAFTER(UPPER(tblShipments4[[#This Row],[Gateway_clean]]),"IN")," ",1),"")</f>
        <v>INMUN1</v>
      </c>
      <c r="P128" t="str">
        <f>SUBSTITUTE(tblShipments4[[#This Row],[Gateway]], CHAR(10), " ")</f>
        <v xml:space="preserve">AWB No. Gateway Port Gateway EGM No. Gateway EGM Date Gateway Site ID Error Code N.A.  INMUN1  139344  2017-11-22 00:00:00.0  INMUN1  S </v>
      </c>
      <c r="Q128" t="s">
        <v>1261</v>
      </c>
    </row>
    <row r="129" spans="1:17" x14ac:dyDescent="0.35">
      <c r="A129" t="s">
        <v>8</v>
      </c>
      <c r="B129">
        <v>1318294</v>
      </c>
      <c r="C129" s="2" t="s">
        <v>1393</v>
      </c>
      <c r="D129" s="2" t="str">
        <f>LEFT(TRIM(MID(SUBSTITUTE(tblShipments4[[#This Row],[Details]],CHAR(10)," "), FIND(CHAR(10),tblShipments4[[#This Row],[Details]])+1, 50)), 10)</f>
        <v>2203003405</v>
      </c>
      <c r="E129" t="s">
        <v>1406</v>
      </c>
      <c r="F12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29" t="str">
        <f>IF(tblShipments4[[#This Row],[EGM no]]="", "Missing EGM", "EGM Submitted")</f>
        <v>EGM Submitted</v>
      </c>
      <c r="H129" t="str">
        <f>IF(OR(ISNUMBER(SEARCH("Released",tblShipments4[[#This Row],[ROSL]])),
      ISNUMBER(SEARCH("Scroll",tblShipments4[[#This Row],[ROSL]])),
      ISNUMBER(SEARCH("Y",tblShipments4[[#This Row],[ROSL]]))),
   "Released",
   "Not Released")</f>
        <v>Released</v>
      </c>
      <c r="I129" t="str">
        <f>IF(OR(tblShipments4[[#This Row],[EGM no]]="", tblShipments4[[#This Row],[EGM no]]="N.A."), "Not Submitted", "Submitted")</f>
        <v>Submitted</v>
      </c>
      <c r="J129" t="str">
        <f>IF(LEFT(tblShipments4[[#This Row],[Gateway_Extracted]],2)="IN","Valid","Invalid")</f>
        <v>Valid</v>
      </c>
      <c r="K129" t="s">
        <v>1355</v>
      </c>
      <c r="L129" t="s">
        <v>1407</v>
      </c>
      <c r="M129" t="s">
        <v>13</v>
      </c>
      <c r="N129" t="s">
        <v>1408</v>
      </c>
      <c r="O129" t="str">
        <f>IFERROR("IN" &amp; _xlfn.TEXTBEFORE(_xlfn.TEXTAFTER(UPPER(tblShipments4[[#This Row],[Gateway_clean]]),"IN")," ",1),"")</f>
        <v>INMUN1</v>
      </c>
      <c r="P129" t="str">
        <f>SUBSTITUTE(tblShipments4[[#This Row],[Gateway]], CHAR(10), " ")</f>
        <v xml:space="preserve">AWB No. Gateway Port Gateway EGM No. Gateway EGM Date Gateway Site ID Error Code N.A.  INMUN1  139070  2017-11-17 00:00:00.0  INMUN1  S </v>
      </c>
      <c r="Q129" t="s">
        <v>1409</v>
      </c>
    </row>
    <row r="130" spans="1:17" x14ac:dyDescent="0.35">
      <c r="A130" t="s">
        <v>8</v>
      </c>
      <c r="B130">
        <v>7905312</v>
      </c>
      <c r="C130" s="2" t="s">
        <v>221</v>
      </c>
      <c r="D130" s="2" t="str">
        <f>LEFT(TRIM(MID(SUBSTITUTE(tblShipments4[[#This Row],[Details]],CHAR(10)," "), FIND(CHAR(10),tblShipments4[[#This Row],[Details]])+1, 50)), 10)</f>
        <v>3097011234</v>
      </c>
      <c r="E130" t="s">
        <v>227</v>
      </c>
      <c r="F13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0" t="str">
        <f>IF(tblShipments4[[#This Row],[EGM no]]="", "Missing EGM", "EGM Submitted")</f>
        <v>EGM Submitted</v>
      </c>
      <c r="H130" t="str">
        <f>IF(OR(ISNUMBER(SEARCH("Released",tblShipments4[[#This Row],[ROSL]])),
      ISNUMBER(SEARCH("Scroll",tblShipments4[[#This Row],[ROSL]])),
      ISNUMBER(SEARCH("Y",tblShipments4[[#This Row],[ROSL]]))),
   "Released",
   "Not Released")</f>
        <v>Released</v>
      </c>
      <c r="I130" t="str">
        <f>IF(OR(tblShipments4[[#This Row],[EGM no]]="", tblShipments4[[#This Row],[EGM no]]="N.A."), "Not Submitted", "Submitted")</f>
        <v>Submitted</v>
      </c>
      <c r="J130" t="str">
        <f>IF(LEFT(tblShipments4[[#This Row],[Gateway_Extracted]],2)="IN","Valid","Invalid")</f>
        <v>Valid</v>
      </c>
      <c r="K130" t="s">
        <v>228</v>
      </c>
      <c r="L130" t="s">
        <v>229</v>
      </c>
      <c r="M130" t="s">
        <v>13</v>
      </c>
      <c r="N130" t="s">
        <v>230</v>
      </c>
      <c r="O130" t="str">
        <f>IFERROR("IN" &amp; _xlfn.TEXTBEFORE(_xlfn.TEXTAFTER(UPPER(tblShipments4[[#This Row],[Gateway_clean]]),"IN")," ",1),"")</f>
        <v>INMUN1</v>
      </c>
      <c r="P130" t="str">
        <f>SUBSTITUTE(tblShipments4[[#This Row],[Gateway]], CHAR(10), " ")</f>
        <v xml:space="preserve">AWB No. Gateway Port Gateway EGM No. Gateway EGM Date Gateway Site ID Error Code N.A.  INMUN1  134053  2017-08-28 00:00:00.0  INMUN1  S </v>
      </c>
      <c r="Q130" t="s">
        <v>231</v>
      </c>
    </row>
    <row r="131" spans="1:17" x14ac:dyDescent="0.35">
      <c r="A131" t="s">
        <v>8</v>
      </c>
      <c r="B131">
        <v>8576060</v>
      </c>
      <c r="C131" s="2" t="s">
        <v>657</v>
      </c>
      <c r="D131" s="2" t="str">
        <f>LEFT(TRIM(MID(SUBSTITUTE(tblShipments4[[#This Row],[Details]],CHAR(10)," "), FIND(CHAR(10),tblShipments4[[#This Row],[Details]])+1, 50)), 10)</f>
        <v>3104003254</v>
      </c>
      <c r="E131" t="s">
        <v>658</v>
      </c>
      <c r="F13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1" t="str">
        <f>IF(tblShipments4[[#This Row],[EGM no]]="", "Missing EGM", "EGM Submitted")</f>
        <v>EGM Submitted</v>
      </c>
      <c r="H131" t="str">
        <f>IF(OR(ISNUMBER(SEARCH("Released",tblShipments4[[#This Row],[ROSL]])),
      ISNUMBER(SEARCH("Scroll",tblShipments4[[#This Row],[ROSL]])),
      ISNUMBER(SEARCH("Y",tblShipments4[[#This Row],[ROSL]]))),
   "Released",
   "Not Released")</f>
        <v>Released</v>
      </c>
      <c r="I131" t="str">
        <f>IF(OR(tblShipments4[[#This Row],[EGM no]]="", tblShipments4[[#This Row],[EGM no]]="N.A."), "Not Submitted", "Submitted")</f>
        <v>Submitted</v>
      </c>
      <c r="J131" t="str">
        <f>IF(LEFT(tblShipments4[[#This Row],[Gateway_Extracted]],2)="IN","Valid","Invalid")</f>
        <v>Valid</v>
      </c>
      <c r="K131" t="s">
        <v>659</v>
      </c>
      <c r="L131" t="s">
        <v>660</v>
      </c>
      <c r="M131" t="s">
        <v>13</v>
      </c>
      <c r="N131" t="s">
        <v>661</v>
      </c>
      <c r="O131" t="str">
        <f>IFERROR("IN" &amp; _xlfn.TEXTBEFORE(_xlfn.TEXTAFTER(UPPER(tblShipments4[[#This Row],[Gateway_clean]]),"IN")," ",1),"")</f>
        <v>INMUN1</v>
      </c>
      <c r="P131" t="str">
        <f>SUBSTITUTE(tblShipments4[[#This Row],[Gateway]], CHAR(10), " ")</f>
        <v xml:space="preserve">AWB No. Gateway Port Gateway EGM No. Gateway EGM Date Gateway Site ID Error Code N.A.  INMUN1  135461  2017-09-20 00:00:00.0  INMUN1  S </v>
      </c>
      <c r="Q131" t="s">
        <v>662</v>
      </c>
    </row>
    <row r="132" spans="1:17" x14ac:dyDescent="0.35">
      <c r="A132" t="s">
        <v>8</v>
      </c>
      <c r="B132">
        <v>8967731</v>
      </c>
      <c r="C132" s="2" t="s">
        <v>874</v>
      </c>
      <c r="D132" s="2" t="str">
        <f>LEFT(TRIM(MID(SUBSTITUTE(tblShipments4[[#This Row],[Details]],CHAR(10)," "), FIND(CHAR(10),tblShipments4[[#This Row],[Details]])+1, 50)), 10)</f>
        <v>3104003254</v>
      </c>
      <c r="E132" t="s">
        <v>896</v>
      </c>
      <c r="F13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2" t="str">
        <f>IF(tblShipments4[[#This Row],[EGM no]]="", "Missing EGM", "EGM Submitted")</f>
        <v>EGM Submitted</v>
      </c>
      <c r="H132" t="str">
        <f>IF(OR(ISNUMBER(SEARCH("Released",tblShipments4[[#This Row],[ROSL]])),
      ISNUMBER(SEARCH("Scroll",tblShipments4[[#This Row],[ROSL]])),
      ISNUMBER(SEARCH("Y",tblShipments4[[#This Row],[ROSL]]))),
   "Released",
   "Not Released")</f>
        <v>Released</v>
      </c>
      <c r="I132" t="str">
        <f>IF(OR(tblShipments4[[#This Row],[EGM no]]="", tblShipments4[[#This Row],[EGM no]]="N.A."), "Not Submitted", "Submitted")</f>
        <v>Submitted</v>
      </c>
      <c r="J132" t="str">
        <f>IF(LEFT(tblShipments4[[#This Row],[Gateway_Extracted]],2)="IN","Valid","Invalid")</f>
        <v>Valid</v>
      </c>
      <c r="K132" t="s">
        <v>882</v>
      </c>
      <c r="L132" t="s">
        <v>897</v>
      </c>
      <c r="M132" t="s">
        <v>13</v>
      </c>
      <c r="N132" t="s">
        <v>898</v>
      </c>
      <c r="O132" t="str">
        <f>IFERROR("IN" &amp; _xlfn.TEXTBEFORE(_xlfn.TEXTAFTER(UPPER(tblShipments4[[#This Row],[Gateway_clean]]),"IN")," ",1),"")</f>
        <v>INMUN1</v>
      </c>
      <c r="P132" t="str">
        <f>SUBSTITUTE(tblShipments4[[#This Row],[Gateway]], CHAR(10), " ")</f>
        <v xml:space="preserve">AWB No. Gateway Port Gateway EGM No. Gateway EGM Date Gateway Site ID Error Code N.A.  INMUN1  135373  2017-09-19 00:00:00.0  INMUN1  S </v>
      </c>
      <c r="Q132" t="s">
        <v>899</v>
      </c>
    </row>
    <row r="133" spans="1:17" x14ac:dyDescent="0.35">
      <c r="A133" t="s">
        <v>8</v>
      </c>
      <c r="B133">
        <v>9323426</v>
      </c>
      <c r="C133" s="2" t="s">
        <v>1018</v>
      </c>
      <c r="D133" s="2" t="str">
        <f>LEFT(TRIM(MID(SUBSTITUTE(tblShipments4[[#This Row],[Details]],CHAR(10)," "), FIND(CHAR(10),tblShipments4[[#This Row],[Details]])+1, 50)), 10)</f>
        <v>3104003254</v>
      </c>
      <c r="E133" t="s">
        <v>1023</v>
      </c>
      <c r="F13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3" t="str">
        <f>IF(tblShipments4[[#This Row],[EGM no]]="", "Missing EGM", "EGM Submitted")</f>
        <v>EGM Submitted</v>
      </c>
      <c r="H133" t="str">
        <f>IF(OR(ISNUMBER(SEARCH("Released",tblShipments4[[#This Row],[ROSL]])),
      ISNUMBER(SEARCH("Scroll",tblShipments4[[#This Row],[ROSL]])),
      ISNUMBER(SEARCH("Y",tblShipments4[[#This Row],[ROSL]]))),
   "Released",
   "Not Released")</f>
        <v>Released</v>
      </c>
      <c r="I133" t="str">
        <f>IF(OR(tblShipments4[[#This Row],[EGM no]]="", tblShipments4[[#This Row],[EGM no]]="N.A."), "Not Submitted", "Submitted")</f>
        <v>Submitted</v>
      </c>
      <c r="J133" t="str">
        <f>IF(LEFT(tblShipments4[[#This Row],[Gateway_Extracted]],2)="IN","Valid","Invalid")</f>
        <v>Valid</v>
      </c>
      <c r="K133" t="s">
        <v>1024</v>
      </c>
      <c r="L133" t="s">
        <v>1025</v>
      </c>
      <c r="M133" t="s">
        <v>13</v>
      </c>
      <c r="N133" t="s">
        <v>1026</v>
      </c>
      <c r="O133" t="str">
        <f>IFERROR("IN" &amp; _xlfn.TEXTBEFORE(_xlfn.TEXTAFTER(UPPER(tblShipments4[[#This Row],[Gateway_clean]]),"IN")," ",1),"")</f>
        <v>INMUN1</v>
      </c>
      <c r="P133" t="str">
        <f>SUBSTITUTE(tblShipments4[[#This Row],[Gateway]], CHAR(10), " ")</f>
        <v xml:space="preserve">AWB No. Gateway Port Gateway EGM No. Gateway EGM Date Gateway Site ID Error Code N.A.  INMUN1  137020  2017-10-16 00:00:00.0  INMUN1  S </v>
      </c>
      <c r="Q133" t="s">
        <v>1027</v>
      </c>
    </row>
    <row r="134" spans="1:17" x14ac:dyDescent="0.35">
      <c r="A134" t="s">
        <v>8</v>
      </c>
      <c r="B134">
        <v>1546285</v>
      </c>
      <c r="C134" s="2" t="s">
        <v>1516</v>
      </c>
      <c r="D134" s="2" t="str">
        <f>LEFT(TRIM(MID(SUBSTITUTE(tblShipments4[[#This Row],[Details]],CHAR(10)," "), FIND(CHAR(10),tblShipments4[[#This Row],[Details]])+1, 50)), 10)</f>
        <v>3104003254</v>
      </c>
      <c r="E134" t="s">
        <v>1517</v>
      </c>
      <c r="F13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4" t="str">
        <f>IF(tblShipments4[[#This Row],[EGM no]]="", "Missing EGM", "EGM Submitted")</f>
        <v>EGM Submitted</v>
      </c>
      <c r="H134" t="str">
        <f>IF(OR(ISNUMBER(SEARCH("Released",tblShipments4[[#This Row],[ROSL]])),
      ISNUMBER(SEARCH("Scroll",tblShipments4[[#This Row],[ROSL]])),
      ISNUMBER(SEARCH("Y",tblShipments4[[#This Row],[ROSL]]))),
   "Released",
   "Not Released")</f>
        <v>Released</v>
      </c>
      <c r="I134" t="str">
        <f>IF(OR(tblShipments4[[#This Row],[EGM no]]="", tblShipments4[[#This Row],[EGM no]]="N.A."), "Not Submitted", "Submitted")</f>
        <v>Submitted</v>
      </c>
      <c r="J134" t="str">
        <f>IF(LEFT(tblShipments4[[#This Row],[Gateway_Extracted]],2)="IN","Valid","Invalid")</f>
        <v>Valid</v>
      </c>
      <c r="K134" t="s">
        <v>1497</v>
      </c>
      <c r="L134" t="s">
        <v>1518</v>
      </c>
      <c r="M134" t="s">
        <v>13</v>
      </c>
      <c r="N134" t="s">
        <v>1519</v>
      </c>
      <c r="O134" t="str">
        <f>IFERROR("IN" &amp; _xlfn.TEXTBEFORE(_xlfn.TEXTAFTER(UPPER(tblShipments4[[#This Row],[Gateway_clean]]),"IN")," ",1),"")</f>
        <v>INMUN1</v>
      </c>
      <c r="P134" t="str">
        <f>SUBSTITUTE(tblShipments4[[#This Row],[Gateway]], CHAR(10), " ")</f>
        <v xml:space="preserve">AWB No. Gateway Port Gateway EGM No. Gateway EGM Date Gateway Site ID Error Code N.A.  INMUN1  141045  2017-12-20 00:00:00.0  INMUN1  S </v>
      </c>
      <c r="Q134" t="s">
        <v>1319</v>
      </c>
    </row>
    <row r="135" spans="1:17" x14ac:dyDescent="0.35">
      <c r="A135" t="s">
        <v>8</v>
      </c>
      <c r="B135">
        <v>9683904</v>
      </c>
      <c r="C135" s="2" t="s">
        <v>1139</v>
      </c>
      <c r="D135" s="2" t="str">
        <f>LEFT(TRIM(MID(SUBSTITUTE(tblShipments4[[#This Row],[Details]],CHAR(10)," "), FIND(CHAR(10),tblShipments4[[#This Row],[Details]])+1, 50)), 10)</f>
        <v>3303004897</v>
      </c>
      <c r="E135" t="s">
        <v>1147</v>
      </c>
      <c r="F13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5" t="str">
        <f>IF(tblShipments4[[#This Row],[EGM no]]="", "Missing EGM", "EGM Submitted")</f>
        <v>EGM Submitted</v>
      </c>
      <c r="H135" t="str">
        <f>IF(OR(ISNUMBER(SEARCH("Released",tblShipments4[[#This Row],[ROSL]])),
      ISNUMBER(SEARCH("Scroll",tblShipments4[[#This Row],[ROSL]])),
      ISNUMBER(SEARCH("Y",tblShipments4[[#This Row],[ROSL]]))),
   "Released",
   "Not Released")</f>
        <v>Released</v>
      </c>
      <c r="I135" t="str">
        <f>IF(OR(tblShipments4[[#This Row],[EGM no]]="", tblShipments4[[#This Row],[EGM no]]="N.A."), "Not Submitted", "Submitted")</f>
        <v>Submitted</v>
      </c>
      <c r="J135" t="str">
        <f>IF(LEFT(tblShipments4[[#This Row],[Gateway_Extracted]],2)="IN","Valid","Invalid")</f>
        <v>Valid</v>
      </c>
      <c r="K135" t="s">
        <v>1148</v>
      </c>
      <c r="L135" t="s">
        <v>1149</v>
      </c>
      <c r="M135" t="s">
        <v>31</v>
      </c>
      <c r="N135" t="s">
        <v>1150</v>
      </c>
      <c r="O135" t="str">
        <f>IFERROR("IN" &amp; _xlfn.TEXTBEFORE(_xlfn.TEXTAFTER(UPPER(tblShipments4[[#This Row],[Gateway_clean]]),"IN")," ",1),"")</f>
        <v>INMUN1</v>
      </c>
      <c r="P135" t="str">
        <f>SUBSTITUTE(tblShipments4[[#This Row],[Gateway]], CHAR(10), " ")</f>
        <v xml:space="preserve">AWB No. Gateway Port Gateway EGM No. Gateway EGM Date Gateway Site ID Error Code N.A.  INMUN1  140630  2017-12-13 00:00:00.0  INMUN1  S </v>
      </c>
      <c r="Q135" t="s">
        <v>1151</v>
      </c>
    </row>
    <row r="136" spans="1:17" x14ac:dyDescent="0.35">
      <c r="A136" t="s">
        <v>8</v>
      </c>
      <c r="B136">
        <v>1235474</v>
      </c>
      <c r="C136" s="2" t="s">
        <v>1336</v>
      </c>
      <c r="D136" s="2" t="str">
        <f>LEFT(TRIM(MID(SUBSTITUTE(tblShipments4[[#This Row],[Details]],CHAR(10)," "), FIND(CHAR(10),tblShipments4[[#This Row],[Details]])+1, 50)), 10)</f>
        <v>3393002155</v>
      </c>
      <c r="E136" t="s">
        <v>1337</v>
      </c>
      <c r="F13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6" t="str">
        <f>IF(tblShipments4[[#This Row],[EGM no]]="", "Missing EGM", "EGM Submitted")</f>
        <v>EGM Submitted</v>
      </c>
      <c r="H136" t="str">
        <f>IF(OR(ISNUMBER(SEARCH("Released",tblShipments4[[#This Row],[ROSL]])),
      ISNUMBER(SEARCH("Scroll",tblShipments4[[#This Row],[ROSL]])),
      ISNUMBER(SEARCH("Y",tblShipments4[[#This Row],[ROSL]]))),
   "Released",
   "Not Released")</f>
        <v>Released</v>
      </c>
      <c r="I136" t="str">
        <f>IF(OR(tblShipments4[[#This Row],[EGM no]]="", tblShipments4[[#This Row],[EGM no]]="N.A."), "Not Submitted", "Submitted")</f>
        <v>Submitted</v>
      </c>
      <c r="J136" t="str">
        <f>IF(LEFT(tblShipments4[[#This Row],[Gateway_Extracted]],2)="IN","Valid","Invalid")</f>
        <v>Valid</v>
      </c>
      <c r="K136" t="s">
        <v>1338</v>
      </c>
      <c r="L136" t="s">
        <v>1339</v>
      </c>
      <c r="M136" t="s">
        <v>13</v>
      </c>
      <c r="N136" t="s">
        <v>1340</v>
      </c>
      <c r="O136" t="str">
        <f>IFERROR("IN" &amp; _xlfn.TEXTBEFORE(_xlfn.TEXTAFTER(UPPER(tblShipments4[[#This Row],[Gateway_clean]]),"IN")," ",1),"")</f>
        <v>INMUN1</v>
      </c>
      <c r="P136" t="str">
        <f>SUBSTITUTE(tblShipments4[[#This Row],[Gateway]], CHAR(10), " ")</f>
        <v xml:space="preserve">AWB No. Gateway Port Gateway EGM No. Gateway EGM Date Gateway Site ID Error Code N.A.  INMUN1  138172  2017-11-03 00:00:00.0  INMUN1  S </v>
      </c>
      <c r="Q136" t="s">
        <v>1341</v>
      </c>
    </row>
    <row r="137" spans="1:17" x14ac:dyDescent="0.35">
      <c r="A137" t="s">
        <v>8</v>
      </c>
      <c r="B137">
        <v>1671114</v>
      </c>
      <c r="C137" s="2" t="s">
        <v>1579</v>
      </c>
      <c r="D137" s="2" t="str">
        <f>LEFT(TRIM(MID(SUBSTITUTE(tblShipments4[[#This Row],[Details]],CHAR(10)," "), FIND(CHAR(10),tblShipments4[[#This Row],[Details]])+1, 50)), 10)</f>
        <v>3393002155</v>
      </c>
      <c r="E137" t="s">
        <v>1589</v>
      </c>
      <c r="F13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7" t="str">
        <f>IF(tblShipments4[[#This Row],[EGM no]]="", "Missing EGM", "EGM Submitted")</f>
        <v>EGM Submitted</v>
      </c>
      <c r="H137" t="str">
        <f>IF(OR(ISNUMBER(SEARCH("Released",tblShipments4[[#This Row],[ROSL]])),
      ISNUMBER(SEARCH("Scroll",tblShipments4[[#This Row],[ROSL]])),
      ISNUMBER(SEARCH("Y",tblShipments4[[#This Row],[ROSL]]))),
   "Released",
   "Not Released")</f>
        <v>Released</v>
      </c>
      <c r="I137" t="str">
        <f>IF(OR(tblShipments4[[#This Row],[EGM no]]="", tblShipments4[[#This Row],[EGM no]]="N.A."), "Not Submitted", "Submitted")</f>
        <v>Submitted</v>
      </c>
      <c r="J137" t="str">
        <f>IF(LEFT(tblShipments4[[#This Row],[Gateway_Extracted]],2)="IN","Valid","Invalid")</f>
        <v>Valid</v>
      </c>
      <c r="K137" t="s">
        <v>1590</v>
      </c>
      <c r="L137" t="s">
        <v>1591</v>
      </c>
      <c r="M137" t="s">
        <v>13</v>
      </c>
      <c r="N137" t="s">
        <v>1592</v>
      </c>
      <c r="O137" t="str">
        <f>IFERROR("IN" &amp; _xlfn.TEXTBEFORE(_xlfn.TEXTAFTER(UPPER(tblShipments4[[#This Row],[Gateway_clean]]),"IN")," ",1),"")</f>
        <v>INMUN1</v>
      </c>
      <c r="P137" t="str">
        <f>SUBSTITUTE(tblShipments4[[#This Row],[Gateway]], CHAR(10), " ")</f>
        <v xml:space="preserve">AWB No. Gateway Port Gateway EGM No. Gateway EGM Date Gateway Site ID Error Code N.A.  INMUN1  141756  2018-01-02 00:00:00.0  INMUN1  S </v>
      </c>
      <c r="Q137" t="s">
        <v>1593</v>
      </c>
    </row>
    <row r="138" spans="1:17" x14ac:dyDescent="0.35">
      <c r="A138" t="s">
        <v>8</v>
      </c>
      <c r="B138">
        <v>9929860</v>
      </c>
      <c r="C138" s="2" t="s">
        <v>1208</v>
      </c>
      <c r="D138" s="2" t="str">
        <f>LEFT(TRIM(MID(SUBSTITUTE(tblShipments4[[#This Row],[Details]],CHAR(10)," "), FIND(CHAR(10),tblShipments4[[#This Row],[Details]])+1, 50)), 10)</f>
        <v>5212012333</v>
      </c>
      <c r="E138" t="s">
        <v>1209</v>
      </c>
      <c r="F13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8" t="str">
        <f>IF(tblShipments4[[#This Row],[EGM no]]="", "Missing EGM", "EGM Submitted")</f>
        <v>EGM Submitted</v>
      </c>
      <c r="H138" t="str">
        <f>IF(OR(ISNUMBER(SEARCH("Released",tblShipments4[[#This Row],[ROSL]])),
      ISNUMBER(SEARCH("Scroll",tblShipments4[[#This Row],[ROSL]])),
      ISNUMBER(SEARCH("Y",tblShipments4[[#This Row],[ROSL]]))),
   "Released",
   "Not Released")</f>
        <v>Released</v>
      </c>
      <c r="I138" t="str">
        <f>IF(OR(tblShipments4[[#This Row],[EGM no]]="", tblShipments4[[#This Row],[EGM no]]="N.A."), "Not Submitted", "Submitted")</f>
        <v>Submitted</v>
      </c>
      <c r="J138" t="str">
        <f>IF(LEFT(tblShipments4[[#This Row],[Gateway_Extracted]],2)="IN","Valid","Invalid")</f>
        <v>Valid</v>
      </c>
      <c r="K138" t="s">
        <v>1210</v>
      </c>
      <c r="L138" t="s">
        <v>1211</v>
      </c>
      <c r="M138" t="s">
        <v>1212</v>
      </c>
      <c r="N138" t="s">
        <v>1213</v>
      </c>
      <c r="O138" t="str">
        <f>IFERROR("IN" &amp; _xlfn.TEXTBEFORE(_xlfn.TEXTAFTER(UPPER(tblShipments4[[#This Row],[Gateway_clean]]),"IN")," ",1),"")</f>
        <v>INMUN1</v>
      </c>
      <c r="P138" t="str">
        <f>SUBSTITUTE(tblShipments4[[#This Row],[Gateway]], CHAR(10), " ")</f>
        <v xml:space="preserve">AWB No. Gateway Port Gateway EGM No. Gateway EGM Date Gateway Site ID Error Code N.A.  INMUN1  139240  2017-11-21 00:00:00.0  INMUN1  S </v>
      </c>
      <c r="Q138" t="s">
        <v>1214</v>
      </c>
    </row>
    <row r="139" spans="1:17" x14ac:dyDescent="0.35">
      <c r="A139" t="s">
        <v>8</v>
      </c>
      <c r="B139">
        <v>8528718</v>
      </c>
      <c r="C139" s="2" t="s">
        <v>643</v>
      </c>
      <c r="D139" s="2" t="str">
        <f>LEFT(TRIM(MID(SUBSTITUTE(tblShipments4[[#This Row],[Details]],CHAR(10)," "), FIND(CHAR(10),tblShipments4[[#This Row],[Details]])+1, 50)), 10)</f>
        <v>AAKFD0331P</v>
      </c>
      <c r="E139" t="s">
        <v>644</v>
      </c>
      <c r="F13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39" t="str">
        <f>IF(tblShipments4[[#This Row],[EGM no]]="", "Missing EGM", "EGM Submitted")</f>
        <v>EGM Submitted</v>
      </c>
      <c r="H139" t="str">
        <f>IF(OR(ISNUMBER(SEARCH("Released",tblShipments4[[#This Row],[ROSL]])),
      ISNUMBER(SEARCH("Scroll",tblShipments4[[#This Row],[ROSL]])),
      ISNUMBER(SEARCH("Y",tblShipments4[[#This Row],[ROSL]]))),
   "Released",
   "Not Released")</f>
        <v>Released</v>
      </c>
      <c r="I139" t="str">
        <f>IF(OR(tblShipments4[[#This Row],[EGM no]]="", tblShipments4[[#This Row],[EGM no]]="N.A."), "Not Submitted", "Submitted")</f>
        <v>Submitted</v>
      </c>
      <c r="J139" t="str">
        <f>IF(LEFT(tblShipments4[[#This Row],[Gateway_Extracted]],2)="IN","Valid","Invalid")</f>
        <v>Valid</v>
      </c>
      <c r="K139" t="s">
        <v>645</v>
      </c>
      <c r="L139" t="s">
        <v>646</v>
      </c>
      <c r="M139" t="s">
        <v>31</v>
      </c>
      <c r="N139" t="s">
        <v>647</v>
      </c>
      <c r="O139" t="str">
        <f>IFERROR("IN" &amp; _xlfn.TEXTBEFORE(_xlfn.TEXTAFTER(UPPER(tblShipments4[[#This Row],[Gateway_clean]]),"IN")," ",1),"")</f>
        <v>INMUN1</v>
      </c>
      <c r="P139" t="str">
        <f>SUBSTITUTE(tblShipments4[[#This Row],[Gateway]], CHAR(10), " ")</f>
        <v xml:space="preserve">AWB No. Gateway Port Gateway EGM No. Gateway EGM Date Gateway Site ID Error Code N.A.  INMUN1  135378  2017-09-19 00:00:00.0  INMUN1  S </v>
      </c>
      <c r="Q139" t="s">
        <v>425</v>
      </c>
    </row>
    <row r="140" spans="1:17" x14ac:dyDescent="0.35">
      <c r="A140" t="s">
        <v>8</v>
      </c>
      <c r="B140">
        <v>1900474</v>
      </c>
      <c r="C140" s="2" t="s">
        <v>1704</v>
      </c>
      <c r="D140" s="2" t="str">
        <f>LEFT(TRIM(MID(SUBSTITUTE(tblShipments4[[#This Row],[Details]],CHAR(10)," "), FIND(CHAR(10),tblShipments4[[#This Row],[Details]])+1, 50)), 10)</f>
        <v>AGEPB3375R</v>
      </c>
      <c r="E140" t="s">
        <v>1708</v>
      </c>
      <c r="F14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0" t="str">
        <f>IF(tblShipments4[[#This Row],[EGM no]]="", "Missing EGM", "EGM Submitted")</f>
        <v>EGM Submitted</v>
      </c>
      <c r="H140" t="str">
        <f>IF(OR(ISNUMBER(SEARCH("Released",tblShipments4[[#This Row],[ROSL]])),
      ISNUMBER(SEARCH("Scroll",tblShipments4[[#This Row],[ROSL]])),
      ISNUMBER(SEARCH("Y",tblShipments4[[#This Row],[ROSL]]))),
   "Released",
   "Not Released")</f>
        <v>Released</v>
      </c>
      <c r="I140" t="str">
        <f>IF(OR(tblShipments4[[#This Row],[EGM no]]="", tblShipments4[[#This Row],[EGM no]]="N.A."), "Not Submitted", "Submitted")</f>
        <v>Submitted</v>
      </c>
      <c r="J140" t="str">
        <f>IF(LEFT(tblShipments4[[#This Row],[Gateway_Extracted]],2)="IN","Valid","Invalid")</f>
        <v>Valid</v>
      </c>
      <c r="K140" t="s">
        <v>1709</v>
      </c>
      <c r="L140" t="s">
        <v>1710</v>
      </c>
      <c r="M140" t="s">
        <v>13</v>
      </c>
      <c r="N140" t="s">
        <v>1711</v>
      </c>
      <c r="O140" t="str">
        <f>IFERROR("IN" &amp; _xlfn.TEXTBEFORE(_xlfn.TEXTAFTER(UPPER(tblShipments4[[#This Row],[Gateway_clean]]),"IN")," ",1),"")</f>
        <v>INMUN1</v>
      </c>
      <c r="P140" t="str">
        <f>SUBSTITUTE(tblShipments4[[#This Row],[Gateway]], CHAR(10), " ")</f>
        <v xml:space="preserve">AWB No. Gateway Port Gateway EGM No. Gateway EGM Date Gateway Site ID Error Code N.A.  INMUN1  142204  2018-01-09 00:00:00.0  INMUN1  S </v>
      </c>
      <c r="Q140" t="s">
        <v>1712</v>
      </c>
    </row>
    <row r="141" spans="1:17" x14ac:dyDescent="0.35">
      <c r="A141" t="s">
        <v>8</v>
      </c>
      <c r="B141">
        <v>8909116</v>
      </c>
      <c r="C141" s="2" t="s">
        <v>835</v>
      </c>
      <c r="D141" s="2" t="str">
        <f>LEFT(TRIM(MID(SUBSTITUTE(tblShipments4[[#This Row],[Details]],CHAR(10)," "), FIND(CHAR(10),tblShipments4[[#This Row],[Details]])+1, 50)), 10)</f>
        <v>DOOPK1147B</v>
      </c>
      <c r="E141" t="s">
        <v>841</v>
      </c>
      <c r="F14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1" t="str">
        <f>IF(tblShipments4[[#This Row],[EGM no]]="", "Missing EGM", "EGM Submitted")</f>
        <v>EGM Submitted</v>
      </c>
      <c r="H141" t="str">
        <f>IF(OR(ISNUMBER(SEARCH("Released",tblShipments4[[#This Row],[ROSL]])),
      ISNUMBER(SEARCH("Scroll",tblShipments4[[#This Row],[ROSL]])),
      ISNUMBER(SEARCH("Y",tblShipments4[[#This Row],[ROSL]]))),
   "Released",
   "Not Released")</f>
        <v>Released</v>
      </c>
      <c r="I141" t="str">
        <f>IF(OR(tblShipments4[[#This Row],[EGM no]]="", tblShipments4[[#This Row],[EGM no]]="N.A."), "Not Submitted", "Submitted")</f>
        <v>Submitted</v>
      </c>
      <c r="J141" t="str">
        <f>IF(LEFT(tblShipments4[[#This Row],[Gateway_Extracted]],2)="IN","Valid","Invalid")</f>
        <v>Valid</v>
      </c>
      <c r="K141" t="s">
        <v>842</v>
      </c>
      <c r="L141" t="s">
        <v>843</v>
      </c>
      <c r="M141" t="s">
        <v>844</v>
      </c>
      <c r="N141" t="s">
        <v>845</v>
      </c>
      <c r="O141" t="str">
        <f>IFERROR("IN" &amp; _xlfn.TEXTBEFORE(_xlfn.TEXTAFTER(UPPER(tblShipments4[[#This Row],[Gateway_clean]]),"IN")," ",1),"")</f>
        <v>INMUN1</v>
      </c>
      <c r="P141" t="str">
        <f>SUBSTITUTE(tblShipments4[[#This Row],[Gateway]], CHAR(10), " ")</f>
        <v xml:space="preserve">AWB No. Gateway Port Gateway EGM No. Gateway EGM Date Gateway Site ID Error Code N.A.  INMUN1  139832  2017-11-30 00:00:00.0  INMUN1  S </v>
      </c>
      <c r="Q141" t="s">
        <v>846</v>
      </c>
    </row>
    <row r="142" spans="1:17" x14ac:dyDescent="0.35">
      <c r="A142" t="s">
        <v>8</v>
      </c>
      <c r="B142">
        <v>8909141</v>
      </c>
      <c r="C142" s="2" t="s">
        <v>835</v>
      </c>
      <c r="D142" s="2" t="str">
        <f>LEFT(TRIM(MID(SUBSTITUTE(tblShipments4[[#This Row],[Details]],CHAR(10)," "), FIND(CHAR(10),tblShipments4[[#This Row],[Details]])+1, 50)), 10)</f>
        <v>DOOPK1147B</v>
      </c>
      <c r="E142" t="s">
        <v>850</v>
      </c>
      <c r="F14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2" t="str">
        <f>IF(tblShipments4[[#This Row],[EGM no]]="", "Missing EGM", "EGM Submitted")</f>
        <v>EGM Submitted</v>
      </c>
      <c r="H142" t="str">
        <f>IF(OR(ISNUMBER(SEARCH("Released",tblShipments4[[#This Row],[ROSL]])),
      ISNUMBER(SEARCH("Scroll",tblShipments4[[#This Row],[ROSL]])),
      ISNUMBER(SEARCH("Y",tblShipments4[[#This Row],[ROSL]]))),
   "Released",
   "Not Released")</f>
        <v>Released</v>
      </c>
      <c r="I142" t="str">
        <f>IF(OR(tblShipments4[[#This Row],[EGM no]]="", tblShipments4[[#This Row],[EGM no]]="N.A."), "Not Submitted", "Submitted")</f>
        <v>Submitted</v>
      </c>
      <c r="J142" t="str">
        <f>IF(LEFT(tblShipments4[[#This Row],[Gateway_Extracted]],2)="IN","Valid","Invalid")</f>
        <v>Valid</v>
      </c>
      <c r="K142" t="s">
        <v>842</v>
      </c>
      <c r="L142" t="s">
        <v>843</v>
      </c>
      <c r="M142" t="s">
        <v>844</v>
      </c>
      <c r="N142" t="s">
        <v>845</v>
      </c>
      <c r="O142" t="str">
        <f>IFERROR("IN" &amp; _xlfn.TEXTBEFORE(_xlfn.TEXTAFTER(UPPER(tblShipments4[[#This Row],[Gateway_clean]]),"IN")," ",1),"")</f>
        <v>INMUN1</v>
      </c>
      <c r="P142" t="str">
        <f>SUBSTITUTE(tblShipments4[[#This Row],[Gateway]], CHAR(10), " ")</f>
        <v xml:space="preserve">AWB No. Gateway Port Gateway EGM No. Gateway EGM Date Gateway Site ID Error Code N.A.  INMUN1  139832  2017-11-30 00:00:00.0  INMUN1  S </v>
      </c>
      <c r="Q142" t="s">
        <v>846</v>
      </c>
    </row>
    <row r="143" spans="1:17" x14ac:dyDescent="0.35">
      <c r="A143" t="s">
        <v>8</v>
      </c>
      <c r="B143">
        <v>8909143</v>
      </c>
      <c r="C143" s="2" t="s">
        <v>835</v>
      </c>
      <c r="D143" s="2" t="str">
        <f>LEFT(TRIM(MID(SUBSTITUTE(tblShipments4[[#This Row],[Details]],CHAR(10)," "), FIND(CHAR(10),tblShipments4[[#This Row],[Details]])+1, 50)), 10)</f>
        <v>DOOPK1147B</v>
      </c>
      <c r="E143" t="s">
        <v>851</v>
      </c>
      <c r="F14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3" t="str">
        <f>IF(tblShipments4[[#This Row],[EGM no]]="", "Missing EGM", "EGM Submitted")</f>
        <v>EGM Submitted</v>
      </c>
      <c r="H143" t="str">
        <f>IF(OR(ISNUMBER(SEARCH("Released",tblShipments4[[#This Row],[ROSL]])),
      ISNUMBER(SEARCH("Scroll",tblShipments4[[#This Row],[ROSL]])),
      ISNUMBER(SEARCH("Y",tblShipments4[[#This Row],[ROSL]]))),
   "Released",
   "Not Released")</f>
        <v>Released</v>
      </c>
      <c r="I143" t="str">
        <f>IF(OR(tblShipments4[[#This Row],[EGM no]]="", tblShipments4[[#This Row],[EGM no]]="N.A."), "Not Submitted", "Submitted")</f>
        <v>Submitted</v>
      </c>
      <c r="J143" t="str">
        <f>IF(LEFT(tblShipments4[[#This Row],[Gateway_Extracted]],2)="IN","Valid","Invalid")</f>
        <v>Valid</v>
      </c>
      <c r="K143" t="s">
        <v>842</v>
      </c>
      <c r="L143" t="s">
        <v>843</v>
      </c>
      <c r="M143" t="s">
        <v>844</v>
      </c>
      <c r="N143" t="s">
        <v>845</v>
      </c>
      <c r="O143" t="str">
        <f>IFERROR("IN" &amp; _xlfn.TEXTBEFORE(_xlfn.TEXTAFTER(UPPER(tblShipments4[[#This Row],[Gateway_clean]]),"IN")," ",1),"")</f>
        <v>INMUN1</v>
      </c>
      <c r="P143" t="str">
        <f>SUBSTITUTE(tblShipments4[[#This Row],[Gateway]], CHAR(10), " ")</f>
        <v xml:space="preserve">AWB No. Gateway Port Gateway EGM No. Gateway EGM Date Gateway Site ID Error Code N.A.  INMUN1  139832  2017-11-30 00:00:00.0  INMUN1  S </v>
      </c>
      <c r="Q143" t="s">
        <v>846</v>
      </c>
    </row>
    <row r="144" spans="1:17" x14ac:dyDescent="0.35">
      <c r="A144" t="s">
        <v>8</v>
      </c>
      <c r="B144">
        <v>8910761</v>
      </c>
      <c r="C144" s="2" t="s">
        <v>835</v>
      </c>
      <c r="D144" s="2" t="str">
        <f>LEFT(TRIM(MID(SUBSTITUTE(tblShipments4[[#This Row],[Details]],CHAR(10)," "), FIND(CHAR(10),tblShipments4[[#This Row],[Details]])+1, 50)), 10)</f>
        <v>DOOPK1147B</v>
      </c>
      <c r="E144" t="s">
        <v>855</v>
      </c>
      <c r="F14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4" t="str">
        <f>IF(tblShipments4[[#This Row],[EGM no]]="", "Missing EGM", "EGM Submitted")</f>
        <v>EGM Submitted</v>
      </c>
      <c r="H144" t="str">
        <f>IF(OR(ISNUMBER(SEARCH("Released",tblShipments4[[#This Row],[ROSL]])),
      ISNUMBER(SEARCH("Scroll",tblShipments4[[#This Row],[ROSL]])),
      ISNUMBER(SEARCH("Y",tblShipments4[[#This Row],[ROSL]]))),
   "Released",
   "Not Released")</f>
        <v>Released</v>
      </c>
      <c r="I144" t="str">
        <f>IF(OR(tblShipments4[[#This Row],[EGM no]]="", tblShipments4[[#This Row],[EGM no]]="N.A."), "Not Submitted", "Submitted")</f>
        <v>Submitted</v>
      </c>
      <c r="J144" t="str">
        <f>IF(LEFT(tblShipments4[[#This Row],[Gateway_Extracted]],2)="IN","Valid","Invalid")</f>
        <v>Valid</v>
      </c>
      <c r="K144" t="s">
        <v>842</v>
      </c>
      <c r="L144" t="s">
        <v>843</v>
      </c>
      <c r="M144" t="s">
        <v>844</v>
      </c>
      <c r="N144" t="s">
        <v>845</v>
      </c>
      <c r="O144" t="str">
        <f>IFERROR("IN" &amp; _xlfn.TEXTBEFORE(_xlfn.TEXTAFTER(UPPER(tblShipments4[[#This Row],[Gateway_clean]]),"IN")," ",1),"")</f>
        <v>INMUN1</v>
      </c>
      <c r="P144" t="str">
        <f>SUBSTITUTE(tblShipments4[[#This Row],[Gateway]], CHAR(10), " ")</f>
        <v xml:space="preserve">AWB No. Gateway Port Gateway EGM No. Gateway EGM Date Gateway Site ID Error Code N.A.  INMUN1  139832  2017-11-30 00:00:00.0  INMUN1  S </v>
      </c>
      <c r="Q144" t="s">
        <v>846</v>
      </c>
    </row>
    <row r="145" spans="1:17" x14ac:dyDescent="0.35">
      <c r="A145" t="s">
        <v>8</v>
      </c>
      <c r="B145">
        <v>8909148</v>
      </c>
      <c r="C145" s="2" t="s">
        <v>835</v>
      </c>
      <c r="D145" s="2" t="str">
        <f>LEFT(TRIM(MID(SUBSTITUTE(tblShipments4[[#This Row],[Details]],CHAR(10)," "), FIND(CHAR(10),tblShipments4[[#This Row],[Details]])+1, 50)), 10)</f>
        <v>DOOPK1147B</v>
      </c>
      <c r="E145" t="s">
        <v>852</v>
      </c>
      <c r="F14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5" t="str">
        <f>IF(tblShipments4[[#This Row],[EGM no]]="", "Missing EGM", "EGM Submitted")</f>
        <v>EGM Submitted</v>
      </c>
      <c r="H145" t="str">
        <f>IF(OR(ISNUMBER(SEARCH("Released",tblShipments4[[#This Row],[ROSL]])),
      ISNUMBER(SEARCH("Scroll",tblShipments4[[#This Row],[ROSL]])),
      ISNUMBER(SEARCH("Y",tblShipments4[[#This Row],[ROSL]]))),
   "Released",
   "Not Released")</f>
        <v>Released</v>
      </c>
      <c r="I145" t="str">
        <f>IF(OR(tblShipments4[[#This Row],[EGM no]]="", tblShipments4[[#This Row],[EGM no]]="N.A."), "Not Submitted", "Submitted")</f>
        <v>Submitted</v>
      </c>
      <c r="J145" t="str">
        <f>IF(LEFT(tblShipments4[[#This Row],[Gateway_Extracted]],2)="IN","Valid","Invalid")</f>
        <v>Valid</v>
      </c>
      <c r="K145" t="s">
        <v>842</v>
      </c>
      <c r="L145" t="s">
        <v>843</v>
      </c>
      <c r="M145" t="s">
        <v>853</v>
      </c>
      <c r="N145" t="s">
        <v>854</v>
      </c>
      <c r="O145" t="str">
        <f>IFERROR("IN" &amp; _xlfn.TEXTBEFORE(_xlfn.TEXTAFTER(UPPER(tblShipments4[[#This Row],[Gateway_clean]]),"IN")," ",1),"")</f>
        <v>INMUN1</v>
      </c>
      <c r="P145" t="str">
        <f>SUBSTITUTE(tblShipments4[[#This Row],[Gateway]], CHAR(10), " ")</f>
        <v xml:space="preserve">AWB No. Gateway Port Gateway EGM No. Gateway EGM Date Gateway Site ID Error Code N.A.  INMUN1  139832  2017-11-30 00:00:00.0  INMUN1  S </v>
      </c>
      <c r="Q145" t="s">
        <v>846</v>
      </c>
    </row>
    <row r="146" spans="1:17" x14ac:dyDescent="0.35">
      <c r="A146" t="s">
        <v>8</v>
      </c>
      <c r="B146">
        <v>8909119</v>
      </c>
      <c r="C146" s="2" t="s">
        <v>835</v>
      </c>
      <c r="D146" s="2" t="str">
        <f>LEFT(TRIM(MID(SUBSTITUTE(tblShipments4[[#This Row],[Details]],CHAR(10)," "), FIND(CHAR(10),tblShipments4[[#This Row],[Details]])+1, 50)), 10)</f>
        <v>DOOPK1147B</v>
      </c>
      <c r="E146" t="s">
        <v>847</v>
      </c>
      <c r="F14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6" t="str">
        <f>IF(tblShipments4[[#This Row],[EGM no]]="", "Missing EGM", "EGM Submitted")</f>
        <v>EGM Submitted</v>
      </c>
      <c r="H146" t="str">
        <f>IF(OR(ISNUMBER(SEARCH("Released",tblShipments4[[#This Row],[ROSL]])),
      ISNUMBER(SEARCH("Scroll",tblShipments4[[#This Row],[ROSL]])),
      ISNUMBER(SEARCH("Y",tblShipments4[[#This Row],[ROSL]]))),
   "Released",
   "Not Released")</f>
        <v>Released</v>
      </c>
      <c r="I146" t="str">
        <f>IF(OR(tblShipments4[[#This Row],[EGM no]]="", tblShipments4[[#This Row],[EGM no]]="N.A."), "Not Submitted", "Submitted")</f>
        <v>Submitted</v>
      </c>
      <c r="J146" t="str">
        <f>IF(LEFT(tblShipments4[[#This Row],[Gateway_Extracted]],2)="IN","Valid","Invalid")</f>
        <v>Valid</v>
      </c>
      <c r="K146" t="s">
        <v>842</v>
      </c>
      <c r="L146" t="s">
        <v>843</v>
      </c>
      <c r="M146" t="s">
        <v>848</v>
      </c>
      <c r="N146" t="s">
        <v>849</v>
      </c>
      <c r="O146" t="str">
        <f>IFERROR("IN" &amp; _xlfn.TEXTBEFORE(_xlfn.TEXTAFTER(UPPER(tblShipments4[[#This Row],[Gateway_clean]]),"IN")," ",1),"")</f>
        <v>INMUN1</v>
      </c>
      <c r="P146" t="str">
        <f>SUBSTITUTE(tblShipments4[[#This Row],[Gateway]], CHAR(10), " ")</f>
        <v xml:space="preserve">AWB No. Gateway Port Gateway EGM No. Gateway EGM Date Gateway Site ID Error Code N.A.  INMUN1  139832  2017-11-30 00:00:00.0  INMUN1  S </v>
      </c>
      <c r="Q146" t="s">
        <v>846</v>
      </c>
    </row>
    <row r="147" spans="1:17" x14ac:dyDescent="0.35">
      <c r="A147" t="s">
        <v>8</v>
      </c>
      <c r="B147">
        <v>1694312</v>
      </c>
      <c r="C147" s="2" t="s">
        <v>1601</v>
      </c>
      <c r="D147" s="2" t="str">
        <f>LEFT(TRIM(MID(SUBSTITUTE(tblShipments4[[#This Row],[Details]],CHAR(10)," "), FIND(CHAR(10),tblShipments4[[#This Row],[Details]])+1, 50)), 10)</f>
        <v xml:space="preserve">No Record </v>
      </c>
      <c r="E147" t="s">
        <v>1602</v>
      </c>
      <c r="F14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7" t="str">
        <f>IF(tblShipments4[[#This Row],[EGM no]]="", "Missing EGM", "EGM Submitted")</f>
        <v>EGM Submitted</v>
      </c>
      <c r="H147" t="str">
        <f>IF(OR(ISNUMBER(SEARCH("Released",tblShipments4[[#This Row],[ROSL]])),
      ISNUMBER(SEARCH("Scroll",tblShipments4[[#This Row],[ROSL]])),
      ISNUMBER(SEARCH("Y",tblShipments4[[#This Row],[ROSL]]))),
   "Released",
   "Not Released")</f>
        <v>Released</v>
      </c>
      <c r="I147" t="str">
        <f>IF(OR(tblShipments4[[#This Row],[EGM no]]="", tblShipments4[[#This Row],[EGM no]]="N.A."), "Not Submitted", "Submitted")</f>
        <v>Submitted</v>
      </c>
      <c r="J147" t="str">
        <f>IF(LEFT(tblShipments4[[#This Row],[Gateway_Extracted]],2)="IN","Valid","Invalid")</f>
        <v>Valid</v>
      </c>
      <c r="K147" t="s">
        <v>1581</v>
      </c>
      <c r="L147" t="s">
        <v>1603</v>
      </c>
      <c r="M147" t="s">
        <v>31</v>
      </c>
      <c r="N147" t="s">
        <v>1604</v>
      </c>
      <c r="O147" t="str">
        <f>IFERROR("IN" &amp; _xlfn.TEXTBEFORE(_xlfn.TEXTAFTER(UPPER(tblShipments4[[#This Row],[Gateway_clean]]),"IN")," ",1),"")</f>
        <v>INMUN1</v>
      </c>
      <c r="P147" t="str">
        <f>SUBSTITUTE(tblShipments4[[#This Row],[Gateway]], CHAR(10), " ")</f>
        <v xml:space="preserve">AWB No. Gateway Port Gateway EGM No. Gateway EGM Date Gateway Site ID Error Code N.A.  INMUN1  140648  2017-12-13 00:00:00.0  INMUN1  S </v>
      </c>
      <c r="Q147" t="s">
        <v>1605</v>
      </c>
    </row>
    <row r="148" spans="1:17" x14ac:dyDescent="0.35">
      <c r="A148" t="s">
        <v>8</v>
      </c>
      <c r="B148">
        <v>1719344</v>
      </c>
      <c r="C148" s="2" t="s">
        <v>1615</v>
      </c>
      <c r="D148" s="2" t="str">
        <f>LEFT(TRIM(MID(SUBSTITUTE(tblShipments4[[#This Row],[Details]],CHAR(10)," "), FIND(CHAR(10),tblShipments4[[#This Row],[Details]])+1, 50)), 10)</f>
        <v xml:space="preserve">No Record </v>
      </c>
      <c r="E148" t="s">
        <v>1602</v>
      </c>
      <c r="F14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8" t="str">
        <f>IF(tblShipments4[[#This Row],[EGM no]]="", "Missing EGM", "EGM Submitted")</f>
        <v>EGM Submitted</v>
      </c>
      <c r="H148" t="str">
        <f>IF(OR(ISNUMBER(SEARCH("Released",tblShipments4[[#This Row],[ROSL]])),
      ISNUMBER(SEARCH("Scroll",tblShipments4[[#This Row],[ROSL]])),
      ISNUMBER(SEARCH("Y",tblShipments4[[#This Row],[ROSL]]))),
   "Released",
   "Not Released")</f>
        <v>Released</v>
      </c>
      <c r="I148" t="str">
        <f>IF(OR(tblShipments4[[#This Row],[EGM no]]="", tblShipments4[[#This Row],[EGM no]]="N.A."), "Not Submitted", "Submitted")</f>
        <v>Submitted</v>
      </c>
      <c r="J148" t="str">
        <f>IF(LEFT(tblShipments4[[#This Row],[Gateway_Extracted]],2)="IN","Valid","Invalid")</f>
        <v>Valid</v>
      </c>
      <c r="K148" t="s">
        <v>1553</v>
      </c>
      <c r="L148" t="s">
        <v>1620</v>
      </c>
      <c r="M148" t="s">
        <v>31</v>
      </c>
      <c r="N148" t="s">
        <v>1621</v>
      </c>
      <c r="O148" t="str">
        <f>IFERROR("IN" &amp; _xlfn.TEXTBEFORE(_xlfn.TEXTAFTER(UPPER(tblShipments4[[#This Row],[Gateway_clean]]),"IN")," ",1),"")</f>
        <v>INMUN1</v>
      </c>
      <c r="P148" t="str">
        <f>SUBSTITUTE(tblShipments4[[#This Row],[Gateway]], CHAR(10), " ")</f>
        <v xml:space="preserve">AWB No. Gateway Port Gateway EGM No. Gateway EGM Date Gateway Site ID Error Code N.A.  INMUN1  141142  2017-12-21 00:00:00.0  INMUN1  S </v>
      </c>
      <c r="Q148" t="s">
        <v>1622</v>
      </c>
    </row>
    <row r="149" spans="1:17" x14ac:dyDescent="0.35">
      <c r="A149" t="s">
        <v>8</v>
      </c>
      <c r="B149">
        <v>9675183</v>
      </c>
      <c r="C149" s="2" t="s">
        <v>1139</v>
      </c>
      <c r="D149" s="2" t="str">
        <f>LEFT(TRIM(MID(SUBSTITUTE(tblShipments4[[#This Row],[Details]],CHAR(10)," "), FIND(CHAR(10),tblShipments4[[#This Row],[Details]])+1, 50)), 10)</f>
        <v>0288014952</v>
      </c>
      <c r="E149" t="s">
        <v>1140</v>
      </c>
      <c r="F14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49" t="str">
        <f>IF(tblShipments4[[#This Row],[EGM no]]="", "Missing EGM", "EGM Submitted")</f>
        <v>EGM Submitted</v>
      </c>
      <c r="H149" t="str">
        <f>IF(OR(ISNUMBER(SEARCH("Released",tblShipments4[[#This Row],[ROSL]])),
      ISNUMBER(SEARCH("Scroll",tblShipments4[[#This Row],[ROSL]])),
      ISNUMBER(SEARCH("Y",tblShipments4[[#This Row],[ROSL]]))),
   "Released",
   "Not Released")</f>
        <v>Released</v>
      </c>
      <c r="I149" t="str">
        <f>IF(OR(tblShipments4[[#This Row],[EGM no]]="", tblShipments4[[#This Row],[EGM no]]="N.A."), "Not Submitted", "Submitted")</f>
        <v>Submitted</v>
      </c>
      <c r="J149" t="str">
        <f>IF(LEFT(tblShipments4[[#This Row],[Gateway_Extracted]],2)="IN","Valid","Invalid")</f>
        <v>Valid</v>
      </c>
      <c r="K149" t="s">
        <v>1141</v>
      </c>
      <c r="L149" t="s">
        <v>1142</v>
      </c>
      <c r="M149" t="s">
        <v>13</v>
      </c>
      <c r="N149" t="s">
        <v>1143</v>
      </c>
      <c r="O149" t="str">
        <f>IFERROR("IN" &amp; _xlfn.TEXTBEFORE(_xlfn.TEXTAFTER(UPPER(tblShipments4[[#This Row],[Gateway_clean]]),"IN")," ",1),"")</f>
        <v>INNSA1</v>
      </c>
      <c r="P149" t="str">
        <f>SUBSTITUTE(tblShipments4[[#This Row],[Gateway]], CHAR(10), " ")</f>
        <v xml:space="preserve">AWB No. Gateway Port Gateway EGM No. Gateway EGM Date Gateway Site ID Error Code N.A.  INNSA1  N.A.  N.A.  N.A.  N.A. </v>
      </c>
      <c r="Q149" t="s">
        <v>26</v>
      </c>
    </row>
    <row r="150" spans="1:17" x14ac:dyDescent="0.35">
      <c r="A150" t="s">
        <v>8</v>
      </c>
      <c r="B150">
        <v>8752612</v>
      </c>
      <c r="C150" s="2" t="s">
        <v>762</v>
      </c>
      <c r="D150" s="2" t="str">
        <f>LEFT(TRIM(MID(SUBSTITUTE(tblShipments4[[#This Row],[Details]],CHAR(10)," "), FIND(CHAR(10),tblShipments4[[#This Row],[Details]])+1, 50)), 10)</f>
        <v>0307055078</v>
      </c>
      <c r="E150" t="s">
        <v>774</v>
      </c>
      <c r="F15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0" t="str">
        <f>IF(tblShipments4[[#This Row],[EGM no]]="", "Missing EGM", "EGM Submitted")</f>
        <v>EGM Submitted</v>
      </c>
      <c r="H150" t="str">
        <f>IF(OR(ISNUMBER(SEARCH("Released",tblShipments4[[#This Row],[ROSL]])),
      ISNUMBER(SEARCH("Scroll",tblShipments4[[#This Row],[ROSL]])),
      ISNUMBER(SEARCH("Y",tblShipments4[[#This Row],[ROSL]]))),
   "Released",
   "Not Released")</f>
        <v>Released</v>
      </c>
      <c r="I150" t="str">
        <f>IF(OR(tblShipments4[[#This Row],[EGM no]]="", tblShipments4[[#This Row],[EGM no]]="N.A."), "Not Submitted", "Submitted")</f>
        <v>Submitted</v>
      </c>
      <c r="J150" t="str">
        <f>IF(LEFT(tblShipments4[[#This Row],[Gateway_Extracted]],2)="IN","Valid","Invalid")</f>
        <v>Valid</v>
      </c>
      <c r="K150" t="s">
        <v>775</v>
      </c>
      <c r="L150" t="s">
        <v>776</v>
      </c>
      <c r="M150" t="s">
        <v>13</v>
      </c>
      <c r="N150" t="s">
        <v>777</v>
      </c>
      <c r="O150" t="str">
        <f>IFERROR("IN" &amp; _xlfn.TEXTBEFORE(_xlfn.TEXTAFTER(UPPER(tblShipments4[[#This Row],[Gateway_clean]]),"IN")," ",1),"")</f>
        <v>INNSA1</v>
      </c>
      <c r="P150" t="str">
        <f>SUBSTITUTE(tblShipments4[[#This Row],[Gateway]], CHAR(10), " ")</f>
        <v xml:space="preserve">AWB No. Gateway Port Gateway EGM No. Gateway EGM Date Gateway Site ID Error Code N.A.  INNSA1  136236  2017-10-04 00:00:00.0  INNSA1  C </v>
      </c>
      <c r="Q150" t="s">
        <v>778</v>
      </c>
    </row>
    <row r="151" spans="1:17" x14ac:dyDescent="0.35">
      <c r="A151" t="s">
        <v>8</v>
      </c>
      <c r="B151">
        <v>9949379</v>
      </c>
      <c r="C151" s="2" t="s">
        <v>1208</v>
      </c>
      <c r="D151" s="2" t="str">
        <f>LEFT(TRIM(MID(SUBSTITUTE(tblShipments4[[#This Row],[Details]],CHAR(10)," "), FIND(CHAR(10),tblShipments4[[#This Row],[Details]])+1, 50)), 10)</f>
        <v>0314004173</v>
      </c>
      <c r="E151" t="s">
        <v>1215</v>
      </c>
      <c r="F15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1" t="str">
        <f>IF(tblShipments4[[#This Row],[EGM no]]="", "Missing EGM", "EGM Submitted")</f>
        <v>EGM Submitted</v>
      </c>
      <c r="H151" t="str">
        <f>IF(OR(ISNUMBER(SEARCH("Released",tblShipments4[[#This Row],[ROSL]])),
      ISNUMBER(SEARCH("Scroll",tblShipments4[[#This Row],[ROSL]])),
      ISNUMBER(SEARCH("Y",tblShipments4[[#This Row],[ROSL]]))),
   "Released",
   "Not Released")</f>
        <v>Released</v>
      </c>
      <c r="I151" t="str">
        <f>IF(OR(tblShipments4[[#This Row],[EGM no]]="", tblShipments4[[#This Row],[EGM no]]="N.A."), "Not Submitted", "Submitted")</f>
        <v>Submitted</v>
      </c>
      <c r="J151" t="str">
        <f>IF(LEFT(tblShipments4[[#This Row],[Gateway_Extracted]],2)="IN","Valid","Invalid")</f>
        <v>Valid</v>
      </c>
      <c r="K151" t="s">
        <v>1216</v>
      </c>
      <c r="L151" t="s">
        <v>1217</v>
      </c>
      <c r="M151" t="s">
        <v>13</v>
      </c>
      <c r="N151" t="s">
        <v>1218</v>
      </c>
      <c r="O151" t="str">
        <f>IFERROR("IN" &amp; _xlfn.TEXTBEFORE(_xlfn.TEXTAFTER(UPPER(tblShipments4[[#This Row],[Gateway_clean]]),"IN")," ",1),"")</f>
        <v>INNSA1</v>
      </c>
      <c r="P151" t="str">
        <f>SUBSTITUTE(tblShipments4[[#This Row],[Gateway]], CHAR(10), " ")</f>
        <v xml:space="preserve">AWB No. Gateway Port Gateway EGM No. Gateway EGM Date Gateway Site ID Error Code N.A.  INNSA1  138732  2017-11-14 00:00:00.0  INNSA1  S </v>
      </c>
      <c r="Q151" t="s">
        <v>1126</v>
      </c>
    </row>
    <row r="152" spans="1:17" x14ac:dyDescent="0.35">
      <c r="A152" t="s">
        <v>8</v>
      </c>
      <c r="B152">
        <v>9136843</v>
      </c>
      <c r="C152" s="2" t="s">
        <v>968</v>
      </c>
      <c r="D152" s="2" t="str">
        <f>LEFT(TRIM(MID(SUBSTITUTE(tblShipments4[[#This Row],[Details]],CHAR(10)," "), FIND(CHAR(10),tblShipments4[[#This Row],[Details]])+1, 50)), 10)</f>
        <v>0314004173</v>
      </c>
      <c r="E152" t="s">
        <v>969</v>
      </c>
      <c r="F15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2" t="str">
        <f>IF(tblShipments4[[#This Row],[EGM no]]="", "Missing EGM", "EGM Submitted")</f>
        <v>EGM Submitted</v>
      </c>
      <c r="H152" t="str">
        <f>IF(OR(ISNUMBER(SEARCH("Released",tblShipments4[[#This Row],[ROSL]])),
      ISNUMBER(SEARCH("Scroll",tblShipments4[[#This Row],[ROSL]])),
      ISNUMBER(SEARCH("Y",tblShipments4[[#This Row],[ROSL]]))),
   "Released",
   "Not Released")</f>
        <v>Released</v>
      </c>
      <c r="I152" t="str">
        <f>IF(OR(tblShipments4[[#This Row],[EGM no]]="", tblShipments4[[#This Row],[EGM no]]="N.A."), "Not Submitted", "Submitted")</f>
        <v>Submitted</v>
      </c>
      <c r="J152" t="str">
        <f>IF(LEFT(tblShipments4[[#This Row],[Gateway_Extracted]],2)="IN","Valid","Invalid")</f>
        <v>Valid</v>
      </c>
      <c r="K152" t="s">
        <v>811</v>
      </c>
      <c r="L152" t="s">
        <v>970</v>
      </c>
      <c r="M152" t="s">
        <v>13</v>
      </c>
      <c r="N152" t="s">
        <v>971</v>
      </c>
      <c r="O152" t="str">
        <f>IFERROR("IN" &amp; _xlfn.TEXTBEFORE(_xlfn.TEXTAFTER(UPPER(tblShipments4[[#This Row],[Gateway_clean]]),"IN")," ",1),"")</f>
        <v>INNSA1</v>
      </c>
      <c r="P152" t="str">
        <f>SUBSTITUTE(tblShipments4[[#This Row],[Gateway]], CHAR(10), " ")</f>
        <v xml:space="preserve">AWB No. Gateway Port Gateway EGM No. Gateway EGM Date Gateway Site ID Error Code N.A.  INNSA1  137147  2017-10-18 00:00:00.0  INNSA1  S </v>
      </c>
      <c r="Q152" t="s">
        <v>972</v>
      </c>
    </row>
    <row r="153" spans="1:17" x14ac:dyDescent="0.35">
      <c r="A153" t="s">
        <v>8</v>
      </c>
      <c r="B153">
        <v>8796298</v>
      </c>
      <c r="C153" s="2" t="s">
        <v>798</v>
      </c>
      <c r="D153" s="2" t="str">
        <f>LEFT(TRIM(MID(SUBSTITUTE(tblShipments4[[#This Row],[Details]],CHAR(10)," "), FIND(CHAR(10),tblShipments4[[#This Row],[Details]])+1, 50)), 10)</f>
        <v>0397084901</v>
      </c>
      <c r="E153" t="s">
        <v>804</v>
      </c>
      <c r="F15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3" t="str">
        <f>IF(tblShipments4[[#This Row],[EGM no]]="", "Missing EGM", "EGM Submitted")</f>
        <v>EGM Submitted</v>
      </c>
      <c r="H153" t="str">
        <f>IF(OR(ISNUMBER(SEARCH("Released",tblShipments4[[#This Row],[ROSL]])),
      ISNUMBER(SEARCH("Scroll",tblShipments4[[#This Row],[ROSL]])),
      ISNUMBER(SEARCH("Y",tblShipments4[[#This Row],[ROSL]]))),
   "Released",
   "Not Released")</f>
        <v>Released</v>
      </c>
      <c r="I153" t="str">
        <f>IF(OR(tblShipments4[[#This Row],[EGM no]]="", tblShipments4[[#This Row],[EGM no]]="N.A."), "Not Submitted", "Submitted")</f>
        <v>Submitted</v>
      </c>
      <c r="J153" t="str">
        <f>IF(LEFT(tblShipments4[[#This Row],[Gateway_Extracted]],2)="IN","Valid","Invalid")</f>
        <v>Valid</v>
      </c>
      <c r="K153" t="s">
        <v>805</v>
      </c>
      <c r="L153" t="s">
        <v>806</v>
      </c>
      <c r="M153" t="s">
        <v>31</v>
      </c>
      <c r="N153" t="s">
        <v>807</v>
      </c>
      <c r="O153" t="str">
        <f>IFERROR("IN" &amp; _xlfn.TEXTBEFORE(_xlfn.TEXTAFTER(UPPER(tblShipments4[[#This Row],[Gateway_clean]]),"IN")," ",1),"")</f>
        <v>INNSA1</v>
      </c>
      <c r="P153" t="str">
        <f>SUBSTITUTE(tblShipments4[[#This Row],[Gateway]], CHAR(10), " ")</f>
        <v xml:space="preserve">AWB No. Gateway Port Gateway EGM No. Gateway EGM Date Gateway Site ID Error Code N.A.  INNSA1  135726  2017-09-25 00:00:00.0  INNSA1  S </v>
      </c>
      <c r="Q153" t="s">
        <v>808</v>
      </c>
    </row>
    <row r="154" spans="1:17" x14ac:dyDescent="0.35">
      <c r="A154" t="s">
        <v>8</v>
      </c>
      <c r="B154">
        <v>7703453</v>
      </c>
      <c r="C154" s="2" t="s">
        <v>87</v>
      </c>
      <c r="D154" s="2" t="str">
        <f>LEFT(TRIM(MID(SUBSTITUTE(tblShipments4[[#This Row],[Details]],CHAR(10)," "), FIND(CHAR(10),tblShipments4[[#This Row],[Details]])+1, 50)), 10)</f>
        <v>0500016143</v>
      </c>
      <c r="E154" t="s">
        <v>88</v>
      </c>
      <c r="F15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4" t="str">
        <f>IF(tblShipments4[[#This Row],[EGM no]]="", "Missing EGM", "EGM Submitted")</f>
        <v>EGM Submitted</v>
      </c>
      <c r="H154" t="str">
        <f>IF(OR(ISNUMBER(SEARCH("Released",tblShipments4[[#This Row],[ROSL]])),
      ISNUMBER(SEARCH("Scroll",tblShipments4[[#This Row],[ROSL]])),
      ISNUMBER(SEARCH("Y",tblShipments4[[#This Row],[ROSL]]))),
   "Released",
   "Not Released")</f>
        <v>Released</v>
      </c>
      <c r="I154" t="str">
        <f>IF(OR(tblShipments4[[#This Row],[EGM no]]="", tblShipments4[[#This Row],[EGM no]]="N.A."), "Not Submitted", "Submitted")</f>
        <v>Submitted</v>
      </c>
      <c r="J154" t="str">
        <f>IF(LEFT(tblShipments4[[#This Row],[Gateway_Extracted]],2)="IN","Valid","Invalid")</f>
        <v>Valid</v>
      </c>
      <c r="K154" t="s">
        <v>89</v>
      </c>
      <c r="L154" t="s">
        <v>90</v>
      </c>
      <c r="M154" t="s">
        <v>13</v>
      </c>
      <c r="N154" t="s">
        <v>91</v>
      </c>
      <c r="O154" t="str">
        <f>IFERROR("IN" &amp; _xlfn.TEXTBEFORE(_xlfn.TEXTAFTER(UPPER(tblShipments4[[#This Row],[Gateway_clean]]),"IN")," ",1),"")</f>
        <v>INNSA1</v>
      </c>
      <c r="P154" t="str">
        <f>SUBSTITUTE(tblShipments4[[#This Row],[Gateway]], CHAR(10), " ")</f>
        <v xml:space="preserve">AWB No. Gateway Port Gateway EGM No. Gateway EGM Date Gateway Site ID Error Code N.A.  INNSA1  N.A.  N.A.  N.A.  N.A. </v>
      </c>
      <c r="Q154" t="s">
        <v>26</v>
      </c>
    </row>
    <row r="155" spans="1:17" x14ac:dyDescent="0.35">
      <c r="A155" t="s">
        <v>8</v>
      </c>
      <c r="B155">
        <v>7903729</v>
      </c>
      <c r="C155" s="2" t="s">
        <v>221</v>
      </c>
      <c r="D155" s="2" t="str">
        <f>LEFT(TRIM(MID(SUBSTITUTE(tblShipments4[[#This Row],[Details]],CHAR(10)," "), FIND(CHAR(10),tblShipments4[[#This Row],[Details]])+1, 50)), 10)</f>
        <v>0500042616</v>
      </c>
      <c r="E155" t="s">
        <v>222</v>
      </c>
      <c r="F15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5" t="str">
        <f>IF(tblShipments4[[#This Row],[EGM no]]="", "Missing EGM", "EGM Submitted")</f>
        <v>EGM Submitted</v>
      </c>
      <c r="H155" t="str">
        <f>IF(OR(ISNUMBER(SEARCH("Released",tblShipments4[[#This Row],[ROSL]])),
      ISNUMBER(SEARCH("Scroll",tblShipments4[[#This Row],[ROSL]])),
      ISNUMBER(SEARCH("Y",tblShipments4[[#This Row],[ROSL]]))),
   "Released",
   "Not Released")</f>
        <v>Released</v>
      </c>
      <c r="I155" t="str">
        <f>IF(OR(tblShipments4[[#This Row],[EGM no]]="", tblShipments4[[#This Row],[EGM no]]="N.A."), "Not Submitted", "Submitted")</f>
        <v>Submitted</v>
      </c>
      <c r="J155" t="str">
        <f>IF(LEFT(tblShipments4[[#This Row],[Gateway_Extracted]],2)="IN","Valid","Invalid")</f>
        <v>Valid</v>
      </c>
      <c r="K155" t="s">
        <v>223</v>
      </c>
      <c r="L155" t="s">
        <v>224</v>
      </c>
      <c r="M155" t="s">
        <v>13</v>
      </c>
      <c r="N155" t="s">
        <v>225</v>
      </c>
      <c r="O155" t="str">
        <f>IFERROR("IN" &amp; _xlfn.TEXTBEFORE(_xlfn.TEXTAFTER(UPPER(tblShipments4[[#This Row],[Gateway_clean]]),"IN")," ",1),"")</f>
        <v>INNSA1</v>
      </c>
      <c r="P155" t="str">
        <f>SUBSTITUTE(tblShipments4[[#This Row],[Gateway]], CHAR(10), " ")</f>
        <v xml:space="preserve">AWB No. Gateway Port Gateway EGM No. Gateway EGM Date Gateway Site ID Error Code N.A.  INNSA1  132938  2017-08-09 00:00:00.0  INNSA1  S </v>
      </c>
      <c r="Q155" t="s">
        <v>226</v>
      </c>
    </row>
    <row r="156" spans="1:17" x14ac:dyDescent="0.35">
      <c r="A156" t="s">
        <v>8</v>
      </c>
      <c r="B156">
        <v>9531547</v>
      </c>
      <c r="C156" s="2" t="s">
        <v>1072</v>
      </c>
      <c r="D156" s="2" t="str">
        <f>LEFT(TRIM(MID(SUBSTITUTE(tblShipments4[[#This Row],[Details]],CHAR(10)," "), FIND(CHAR(10),tblShipments4[[#This Row],[Details]])+1, 50)), 10)</f>
        <v>0500048967</v>
      </c>
      <c r="E156" t="s">
        <v>1078</v>
      </c>
      <c r="F15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6" t="str">
        <f>IF(tblShipments4[[#This Row],[EGM no]]="", "Missing EGM", "EGM Submitted")</f>
        <v>EGM Submitted</v>
      </c>
      <c r="H156" t="str">
        <f>IF(OR(ISNUMBER(SEARCH("Released",tblShipments4[[#This Row],[ROSL]])),
      ISNUMBER(SEARCH("Scroll",tblShipments4[[#This Row],[ROSL]])),
      ISNUMBER(SEARCH("Y",tblShipments4[[#This Row],[ROSL]]))),
   "Released",
   "Not Released")</f>
        <v>Released</v>
      </c>
      <c r="I156" t="str">
        <f>IF(OR(tblShipments4[[#This Row],[EGM no]]="", tblShipments4[[#This Row],[EGM no]]="N.A."), "Not Submitted", "Submitted")</f>
        <v>Submitted</v>
      </c>
      <c r="J156" t="str">
        <f>IF(LEFT(tblShipments4[[#This Row],[Gateway_Extracted]],2)="IN","Valid","Invalid")</f>
        <v>Valid</v>
      </c>
      <c r="K156" t="s">
        <v>1079</v>
      </c>
      <c r="L156" t="s">
        <v>1080</v>
      </c>
      <c r="M156" t="s">
        <v>31</v>
      </c>
      <c r="N156" t="s">
        <v>1081</v>
      </c>
      <c r="O156" t="str">
        <f>IFERROR("IN" &amp; _xlfn.TEXTBEFORE(_xlfn.TEXTAFTER(UPPER(tblShipments4[[#This Row],[Gateway_clean]]),"IN")," ",1),"")</f>
        <v>INNSA1</v>
      </c>
      <c r="P156" t="str">
        <f>SUBSTITUTE(tblShipments4[[#This Row],[Gateway]], CHAR(10), " ")</f>
        <v xml:space="preserve">AWB No. Gateway Port Gateway EGM No. Gateway EGM Date Gateway Site ID Error Code N.A.  INNSA1  137367  2017-10-23 00:00:00.0  INNSA1  S </v>
      </c>
      <c r="Q156" t="s">
        <v>1082</v>
      </c>
    </row>
    <row r="157" spans="1:17" x14ac:dyDescent="0.35">
      <c r="A157" t="s">
        <v>8</v>
      </c>
      <c r="B157">
        <v>1551135</v>
      </c>
      <c r="C157" s="2" t="s">
        <v>1516</v>
      </c>
      <c r="D157" s="2" t="str">
        <f>LEFT(TRIM(MID(SUBSTITUTE(tblShipments4[[#This Row],[Details]],CHAR(10)," "), FIND(CHAR(10),tblShipments4[[#This Row],[Details]])+1, 50)), 10)</f>
        <v>0500050139</v>
      </c>
      <c r="E157" t="s">
        <v>1524</v>
      </c>
      <c r="F15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7" t="str">
        <f>IF(tblShipments4[[#This Row],[EGM no]]="", "Missing EGM", "EGM Submitted")</f>
        <v>EGM Submitted</v>
      </c>
      <c r="H157" t="str">
        <f>IF(OR(ISNUMBER(SEARCH("Released",tblShipments4[[#This Row],[ROSL]])),
      ISNUMBER(SEARCH("Scroll",tblShipments4[[#This Row],[ROSL]])),
      ISNUMBER(SEARCH("Y",tblShipments4[[#This Row],[ROSL]]))),
   "Released",
   "Not Released")</f>
        <v>Released</v>
      </c>
      <c r="I157" t="str">
        <f>IF(OR(tblShipments4[[#This Row],[EGM no]]="", tblShipments4[[#This Row],[EGM no]]="N.A."), "Not Submitted", "Submitted")</f>
        <v>Submitted</v>
      </c>
      <c r="J157" t="str">
        <f>IF(LEFT(tblShipments4[[#This Row],[Gateway_Extracted]],2)="IN","Valid","Invalid")</f>
        <v>Valid</v>
      </c>
      <c r="K157" t="s">
        <v>1481</v>
      </c>
      <c r="L157" t="s">
        <v>1525</v>
      </c>
      <c r="M157" t="s">
        <v>31</v>
      </c>
      <c r="N157" t="s">
        <v>1526</v>
      </c>
      <c r="O157" t="str">
        <f>IFERROR("IN" &amp; _xlfn.TEXTBEFORE(_xlfn.TEXTAFTER(UPPER(tblShipments4[[#This Row],[Gateway_clean]]),"IN")," ",1),"")</f>
        <v>INNSA1</v>
      </c>
      <c r="P157" t="str">
        <f>SUBSTITUTE(tblShipments4[[#This Row],[Gateway]], CHAR(10), " ")</f>
        <v xml:space="preserve">AWB No. Gateway Port Gateway EGM No. Gateway EGM Date Gateway Site ID Error Code N.A.  INNSA1  138758  2017-11-14 00:00:00.0  INNSA1  S </v>
      </c>
      <c r="Q157" t="s">
        <v>1527</v>
      </c>
    </row>
    <row r="158" spans="1:17" x14ac:dyDescent="0.35">
      <c r="A158" t="s">
        <v>8</v>
      </c>
      <c r="B158">
        <v>1657961</v>
      </c>
      <c r="C158" s="2" t="s">
        <v>1573</v>
      </c>
      <c r="D158" s="2" t="str">
        <f>LEFT(TRIM(MID(SUBSTITUTE(tblShipments4[[#This Row],[Details]],CHAR(10)," "), FIND(CHAR(10),tblShipments4[[#This Row],[Details]])+1, 50)), 10)</f>
        <v>0500050139</v>
      </c>
      <c r="E158" t="s">
        <v>1574</v>
      </c>
      <c r="F15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8" t="str">
        <f>IF(tblShipments4[[#This Row],[EGM no]]="", "Missing EGM", "EGM Submitted")</f>
        <v>EGM Submitted</v>
      </c>
      <c r="H158" t="str">
        <f>IF(OR(ISNUMBER(SEARCH("Released",tblShipments4[[#This Row],[ROSL]])),
      ISNUMBER(SEARCH("Scroll",tblShipments4[[#This Row],[ROSL]])),
      ISNUMBER(SEARCH("Y",tblShipments4[[#This Row],[ROSL]]))),
   "Released",
   "Not Released")</f>
        <v>Released</v>
      </c>
      <c r="I158" t="str">
        <f>IF(OR(tblShipments4[[#This Row],[EGM no]]="", tblShipments4[[#This Row],[EGM no]]="N.A."), "Not Submitted", "Submitted")</f>
        <v>Submitted</v>
      </c>
      <c r="J158" t="str">
        <f>IF(LEFT(tblShipments4[[#This Row],[Gateway_Extracted]],2)="IN","Valid","Invalid")</f>
        <v>Valid</v>
      </c>
      <c r="K158" t="s">
        <v>1575</v>
      </c>
      <c r="L158" t="s">
        <v>1576</v>
      </c>
      <c r="M158" t="s">
        <v>31</v>
      </c>
      <c r="N158" t="s">
        <v>1577</v>
      </c>
      <c r="O158" t="str">
        <f>IFERROR("IN" &amp; _xlfn.TEXTBEFORE(_xlfn.TEXTAFTER(UPPER(tblShipments4[[#This Row],[Gateway_clean]]),"IN")," ",1),"")</f>
        <v>INNSA1</v>
      </c>
      <c r="P158" t="str">
        <f>SUBSTITUTE(tblShipments4[[#This Row],[Gateway]], CHAR(10), " ")</f>
        <v xml:space="preserve">AWB No. Gateway Port Gateway EGM No. Gateway EGM Date Gateway Site ID Error Code N.A.  INNSA1  140724  2017-12-15 00:00:00.0  INNSA1  S </v>
      </c>
      <c r="Q158" t="s">
        <v>1578</v>
      </c>
    </row>
    <row r="159" spans="1:17" x14ac:dyDescent="0.35">
      <c r="A159" t="s">
        <v>8</v>
      </c>
      <c r="B159">
        <v>1773615</v>
      </c>
      <c r="C159" s="2" t="s">
        <v>1633</v>
      </c>
      <c r="D159" s="2" t="str">
        <f>LEFT(TRIM(MID(SUBSTITUTE(tblShipments4[[#This Row],[Details]],CHAR(10)," "), FIND(CHAR(10),tblShipments4[[#This Row],[Details]])+1, 50)), 10)</f>
        <v>0500068241</v>
      </c>
      <c r="E159" t="s">
        <v>1639</v>
      </c>
      <c r="F15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59" t="str">
        <f>IF(tblShipments4[[#This Row],[EGM no]]="", "Missing EGM", "EGM Submitted")</f>
        <v>EGM Submitted</v>
      </c>
      <c r="H159" t="str">
        <f>IF(OR(ISNUMBER(SEARCH("Released",tblShipments4[[#This Row],[ROSL]])),
      ISNUMBER(SEARCH("Scroll",tblShipments4[[#This Row],[ROSL]])),
      ISNUMBER(SEARCH("Y",tblShipments4[[#This Row],[ROSL]]))),
   "Released",
   "Not Released")</f>
        <v>Released</v>
      </c>
      <c r="I159" t="str">
        <f>IF(OR(tblShipments4[[#This Row],[EGM no]]="", tblShipments4[[#This Row],[EGM no]]="N.A."), "Not Submitted", "Submitted")</f>
        <v>Submitted</v>
      </c>
      <c r="J159" t="str">
        <f>IF(LEFT(tblShipments4[[#This Row],[Gateway_Extracted]],2)="IN","Valid","Invalid")</f>
        <v>Valid</v>
      </c>
      <c r="K159" t="s">
        <v>1597</v>
      </c>
      <c r="L159" t="s">
        <v>1640</v>
      </c>
      <c r="M159" t="s">
        <v>13</v>
      </c>
      <c r="N159" t="s">
        <v>1641</v>
      </c>
      <c r="O159" t="str">
        <f>IFERROR("IN" &amp; _xlfn.TEXTBEFORE(_xlfn.TEXTAFTER(UPPER(tblShipments4[[#This Row],[Gateway_clean]]),"IN")," ",1),"")</f>
        <v>INNSA1</v>
      </c>
      <c r="P159" t="str">
        <f>SUBSTITUTE(tblShipments4[[#This Row],[Gateway]], CHAR(10), " ")</f>
        <v xml:space="preserve">AWB No. Gateway Port Gateway EGM No. Gateway EGM Date Gateway Site ID Error Code N.A.  INNSA1  141039  2017-12-20 00:00:00.0  INNSA1  S </v>
      </c>
      <c r="Q159" t="s">
        <v>1565</v>
      </c>
    </row>
    <row r="160" spans="1:17" x14ac:dyDescent="0.35">
      <c r="A160" t="s">
        <v>8</v>
      </c>
      <c r="B160">
        <v>9361492</v>
      </c>
      <c r="C160" s="2" t="s">
        <v>1032</v>
      </c>
      <c r="D160" s="2" t="str">
        <f>LEFT(TRIM(MID(SUBSTITUTE(tblShipments4[[#This Row],[Details]],CHAR(10)," "), FIND(CHAR(10),tblShipments4[[#This Row],[Details]])+1, 50)), 10)</f>
        <v>0501009990</v>
      </c>
      <c r="E160" t="s">
        <v>1046</v>
      </c>
      <c r="F16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0" t="str">
        <f>IF(tblShipments4[[#This Row],[EGM no]]="", "Missing EGM", "EGM Submitted")</f>
        <v>EGM Submitted</v>
      </c>
      <c r="H160" t="str">
        <f>IF(OR(ISNUMBER(SEARCH("Released",tblShipments4[[#This Row],[ROSL]])),
      ISNUMBER(SEARCH("Scroll",tblShipments4[[#This Row],[ROSL]])),
      ISNUMBER(SEARCH("Y",tblShipments4[[#This Row],[ROSL]]))),
   "Released",
   "Not Released")</f>
        <v>Released</v>
      </c>
      <c r="I160" t="str">
        <f>IF(OR(tblShipments4[[#This Row],[EGM no]]="", tblShipments4[[#This Row],[EGM no]]="N.A."), "Not Submitted", "Submitted")</f>
        <v>Submitted</v>
      </c>
      <c r="J160" t="str">
        <f>IF(LEFT(tblShipments4[[#This Row],[Gateway_Extracted]],2)="IN","Valid","Invalid")</f>
        <v>Valid</v>
      </c>
      <c r="K160" t="s">
        <v>1047</v>
      </c>
      <c r="L160" t="s">
        <v>1011</v>
      </c>
      <c r="M160" t="s">
        <v>31</v>
      </c>
      <c r="N160" t="s">
        <v>1048</v>
      </c>
      <c r="O160" t="str">
        <f>IFERROR("IN" &amp; _xlfn.TEXTBEFORE(_xlfn.TEXTAFTER(UPPER(tblShipments4[[#This Row],[Gateway_clean]]),"IN")," ",1),"")</f>
        <v>INNSA1</v>
      </c>
      <c r="P160" t="str">
        <f>SUBSTITUTE(tblShipments4[[#This Row],[Gateway]], CHAR(10), " ")</f>
        <v xml:space="preserve">AWB No. Gateway Port Gateway EGM No. Gateway EGM Date Gateway Site ID Error Code N.A.  INNSA1  N.A.  N.A.  N.A.  N.A. </v>
      </c>
      <c r="Q160" t="s">
        <v>26</v>
      </c>
    </row>
    <row r="161" spans="1:17" x14ac:dyDescent="0.35">
      <c r="A161" t="s">
        <v>8</v>
      </c>
      <c r="B161">
        <v>1466520</v>
      </c>
      <c r="C161" s="2" t="s">
        <v>1459</v>
      </c>
      <c r="D161" s="2" t="str">
        <f>LEFT(TRIM(MID(SUBSTITUTE(tblShipments4[[#This Row],[Details]],CHAR(10)," "), FIND(CHAR(10),tblShipments4[[#This Row],[Details]])+1, 50)), 10)</f>
        <v>0501016481</v>
      </c>
      <c r="E161" t="s">
        <v>1460</v>
      </c>
      <c r="F16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1" t="str">
        <f>IF(tblShipments4[[#This Row],[EGM no]]="", "Missing EGM", "EGM Submitted")</f>
        <v>EGM Submitted</v>
      </c>
      <c r="H161" t="str">
        <f>IF(OR(ISNUMBER(SEARCH("Released",tblShipments4[[#This Row],[ROSL]])),
      ISNUMBER(SEARCH("Scroll",tblShipments4[[#This Row],[ROSL]])),
      ISNUMBER(SEARCH("Y",tblShipments4[[#This Row],[ROSL]]))),
   "Released",
   "Not Released")</f>
        <v>Released</v>
      </c>
      <c r="I161" t="str">
        <f>IF(OR(tblShipments4[[#This Row],[EGM no]]="", tblShipments4[[#This Row],[EGM no]]="N.A."), "Not Submitted", "Submitted")</f>
        <v>Submitted</v>
      </c>
      <c r="J161" t="str">
        <f>IF(LEFT(tblShipments4[[#This Row],[Gateway_Extracted]],2)="IN","Valid","Invalid")</f>
        <v>Valid</v>
      </c>
      <c r="K161" t="s">
        <v>1461</v>
      </c>
      <c r="L161" t="s">
        <v>1462</v>
      </c>
      <c r="M161" t="s">
        <v>13</v>
      </c>
      <c r="N161" t="s">
        <v>1463</v>
      </c>
      <c r="O161" t="str">
        <f>IFERROR("IN" &amp; _xlfn.TEXTBEFORE(_xlfn.TEXTAFTER(UPPER(tblShipments4[[#This Row],[Gateway_clean]]),"IN")," ",1),"")</f>
        <v>INNSA1</v>
      </c>
      <c r="P161" t="str">
        <f>SUBSTITUTE(tblShipments4[[#This Row],[Gateway]], CHAR(10), " ")</f>
        <v xml:space="preserve">AWB No. Gateway Port Gateway EGM No. Gateway EGM Date Gateway Site ID Error Code N.A.  INNSA1  140677  2017-12-14 00:00:00.0  INNSA1  S </v>
      </c>
      <c r="Q161" t="s">
        <v>1464</v>
      </c>
    </row>
    <row r="162" spans="1:17" x14ac:dyDescent="0.35">
      <c r="A162" t="s">
        <v>8</v>
      </c>
      <c r="B162">
        <v>1349513</v>
      </c>
      <c r="C162" s="2" t="s">
        <v>1415</v>
      </c>
      <c r="D162" s="2" t="str">
        <f>LEFT(TRIM(MID(SUBSTITUTE(tblShipments4[[#This Row],[Details]],CHAR(10)," "), FIND(CHAR(10),tblShipments4[[#This Row],[Details]])+1, 50)), 10)</f>
        <v>0501016481</v>
      </c>
      <c r="E162" t="s">
        <v>1426</v>
      </c>
      <c r="F16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2" t="str">
        <f>IF(tblShipments4[[#This Row],[EGM no]]="", "Missing EGM", "EGM Submitted")</f>
        <v>EGM Submitted</v>
      </c>
      <c r="H162" t="str">
        <f>IF(OR(ISNUMBER(SEARCH("Released",tblShipments4[[#This Row],[ROSL]])),
      ISNUMBER(SEARCH("Scroll",tblShipments4[[#This Row],[ROSL]])),
      ISNUMBER(SEARCH("Y",tblShipments4[[#This Row],[ROSL]]))),
   "Released",
   "Not Released")</f>
        <v>Released</v>
      </c>
      <c r="I162" t="str">
        <f>IF(OR(tblShipments4[[#This Row],[EGM no]]="", tblShipments4[[#This Row],[EGM no]]="N.A."), "Not Submitted", "Submitted")</f>
        <v>Submitted</v>
      </c>
      <c r="J162" t="str">
        <f>IF(LEFT(tblShipments4[[#This Row],[Gateway_Extracted]],2)="IN","Valid","Invalid")</f>
        <v>Valid</v>
      </c>
      <c r="K162" t="s">
        <v>1427</v>
      </c>
      <c r="L162" t="s">
        <v>1428</v>
      </c>
      <c r="M162" t="s">
        <v>13</v>
      </c>
      <c r="N162" t="s">
        <v>1429</v>
      </c>
      <c r="O162" t="str">
        <f>IFERROR("IN" &amp; _xlfn.TEXTBEFORE(_xlfn.TEXTAFTER(UPPER(tblShipments4[[#This Row],[Gateway_clean]]),"IN")," ",1),"")</f>
        <v>INNSA1</v>
      </c>
      <c r="P162" t="str">
        <f>SUBSTITUTE(tblShipments4[[#This Row],[Gateway]], CHAR(10), " ")</f>
        <v xml:space="preserve">AWB No. Gateway Port Gateway EGM No. Gateway EGM Date Gateway Site ID Error Code N.A.  INNSA1  139986  2017-12-04 00:00:00.0  INNSA1  S </v>
      </c>
      <c r="Q162" t="s">
        <v>1430</v>
      </c>
    </row>
    <row r="163" spans="1:17" x14ac:dyDescent="0.35">
      <c r="A163" t="s">
        <v>8</v>
      </c>
      <c r="B163">
        <v>8775656</v>
      </c>
      <c r="C163" s="2" t="s">
        <v>784</v>
      </c>
      <c r="D163" s="2" t="str">
        <f>LEFT(TRIM(MID(SUBSTITUTE(tblShipments4[[#This Row],[Details]],CHAR(10)," "), FIND(CHAR(10),tblShipments4[[#This Row],[Details]])+1, 50)), 10)</f>
        <v>0501045813</v>
      </c>
      <c r="E163" t="s">
        <v>785</v>
      </c>
      <c r="F16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3" t="str">
        <f>IF(tblShipments4[[#This Row],[EGM no]]="", "Missing EGM", "EGM Submitted")</f>
        <v>EGM Submitted</v>
      </c>
      <c r="H163" t="str">
        <f>IF(OR(ISNUMBER(SEARCH("Released",tblShipments4[[#This Row],[ROSL]])),
      ISNUMBER(SEARCH("Scroll",tblShipments4[[#This Row],[ROSL]])),
      ISNUMBER(SEARCH("Y",tblShipments4[[#This Row],[ROSL]]))),
   "Released",
   "Not Released")</f>
        <v>Released</v>
      </c>
      <c r="I163" t="str">
        <f>IF(OR(tblShipments4[[#This Row],[EGM no]]="", tblShipments4[[#This Row],[EGM no]]="N.A."), "Not Submitted", "Submitted")</f>
        <v>Submitted</v>
      </c>
      <c r="J163" t="str">
        <f>IF(LEFT(tblShipments4[[#This Row],[Gateway_Extracted]],2)="IN","Valid","Invalid")</f>
        <v>Valid</v>
      </c>
      <c r="K163" t="s">
        <v>786</v>
      </c>
      <c r="L163" t="s">
        <v>787</v>
      </c>
      <c r="M163" t="s">
        <v>31</v>
      </c>
      <c r="N163" t="s">
        <v>788</v>
      </c>
      <c r="O163" t="str">
        <f>IFERROR("IN" &amp; _xlfn.TEXTBEFORE(_xlfn.TEXTAFTER(UPPER(tblShipments4[[#This Row],[Gateway_clean]]),"IN")," ",1),"")</f>
        <v>INNSA1</v>
      </c>
      <c r="P163" t="str">
        <f>SUBSTITUTE(tblShipments4[[#This Row],[Gateway]], CHAR(10), " ")</f>
        <v xml:space="preserve">AWB No. Gateway Port Gateway EGM No. Gateway EGM Date Gateway Site ID Error Code N.A.  INNSA1  136144  2017-10-03 00:00:00.0  INNSA1  C </v>
      </c>
      <c r="Q163" t="s">
        <v>789</v>
      </c>
    </row>
    <row r="164" spans="1:17" x14ac:dyDescent="0.35">
      <c r="A164" t="s">
        <v>8</v>
      </c>
      <c r="B164">
        <v>9098433</v>
      </c>
      <c r="C164" s="2" t="s">
        <v>939</v>
      </c>
      <c r="D164" s="2" t="str">
        <f>LEFT(TRIM(MID(SUBSTITUTE(tblShipments4[[#This Row],[Details]],CHAR(10)," "), FIND(CHAR(10),tblShipments4[[#This Row],[Details]])+1, 50)), 10)</f>
        <v>0501061428</v>
      </c>
      <c r="E164" t="s">
        <v>957</v>
      </c>
      <c r="F16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4" t="str">
        <f>IF(tblShipments4[[#This Row],[EGM no]]="", "Missing EGM", "EGM Submitted")</f>
        <v>EGM Submitted</v>
      </c>
      <c r="H164" t="str">
        <f>IF(OR(ISNUMBER(SEARCH("Released",tblShipments4[[#This Row],[ROSL]])),
      ISNUMBER(SEARCH("Scroll",tblShipments4[[#This Row],[ROSL]])),
      ISNUMBER(SEARCH("Y",tblShipments4[[#This Row],[ROSL]]))),
   "Released",
   "Not Released")</f>
        <v>Released</v>
      </c>
      <c r="I164" t="str">
        <f>IF(OR(tblShipments4[[#This Row],[EGM no]]="", tblShipments4[[#This Row],[EGM no]]="N.A."), "Not Submitted", "Submitted")</f>
        <v>Submitted</v>
      </c>
      <c r="J164" t="str">
        <f>IF(LEFT(tblShipments4[[#This Row],[Gateway_Extracted]],2)="IN","Valid","Invalid")</f>
        <v>Valid</v>
      </c>
      <c r="K164" t="s">
        <v>894</v>
      </c>
      <c r="L164" t="s">
        <v>958</v>
      </c>
      <c r="M164" t="s">
        <v>13</v>
      </c>
      <c r="N164" t="s">
        <v>959</v>
      </c>
      <c r="O164" t="str">
        <f>IFERROR("IN" &amp; _xlfn.TEXTBEFORE(_xlfn.TEXTAFTER(UPPER(tblShipments4[[#This Row],[Gateway_clean]]),"IN")," ",1),"")</f>
        <v>INNSA1</v>
      </c>
      <c r="P164" t="str">
        <f>SUBSTITUTE(tblShipments4[[#This Row],[Gateway]], CHAR(10), " ")</f>
        <v xml:space="preserve">AWB No. Gateway Port Gateway EGM No. Gateway EGM Date Gateway Site ID Error Code N.A.  INNSA1  135895  2017-09-27 00:00:00.0  INNSA1  S </v>
      </c>
      <c r="Q164" t="s">
        <v>933</v>
      </c>
    </row>
    <row r="165" spans="1:17" x14ac:dyDescent="0.35">
      <c r="A165" t="s">
        <v>8</v>
      </c>
      <c r="B165">
        <v>7782282</v>
      </c>
      <c r="C165" s="2" t="s">
        <v>120</v>
      </c>
      <c r="D165" s="2" t="str">
        <f>LEFT(TRIM(MID(SUBSTITUTE(tblShipments4[[#This Row],[Details]],CHAR(10)," "), FIND(CHAR(10),tblShipments4[[#This Row],[Details]])+1, 50)), 10)</f>
        <v>0502021373</v>
      </c>
      <c r="E165" t="s">
        <v>148</v>
      </c>
      <c r="F16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5" t="str">
        <f>IF(tblShipments4[[#This Row],[EGM no]]="", "Missing EGM", "EGM Submitted")</f>
        <v>EGM Submitted</v>
      </c>
      <c r="H165" t="str">
        <f>IF(OR(ISNUMBER(SEARCH("Released",tblShipments4[[#This Row],[ROSL]])),
      ISNUMBER(SEARCH("Scroll",tblShipments4[[#This Row],[ROSL]])),
      ISNUMBER(SEARCH("Y",tblShipments4[[#This Row],[ROSL]]))),
   "Released",
   "Not Released")</f>
        <v>Released</v>
      </c>
      <c r="I165" t="str">
        <f>IF(OR(tblShipments4[[#This Row],[EGM no]]="", tblShipments4[[#This Row],[EGM no]]="N.A."), "Not Submitted", "Submitted")</f>
        <v>Submitted</v>
      </c>
      <c r="J165" t="str">
        <f>IF(LEFT(tblShipments4[[#This Row],[Gateway_Extracted]],2)="IN","Valid","Invalid")</f>
        <v>Valid</v>
      </c>
      <c r="K165" t="s">
        <v>149</v>
      </c>
      <c r="L165" t="s">
        <v>150</v>
      </c>
      <c r="M165" t="s">
        <v>13</v>
      </c>
      <c r="N165" t="s">
        <v>151</v>
      </c>
      <c r="O165" t="str">
        <f>IFERROR("IN" &amp; _xlfn.TEXTBEFORE(_xlfn.TEXTAFTER(UPPER(tblShipments4[[#This Row],[Gateway_clean]]),"IN")," ",1),"")</f>
        <v>INNSA1</v>
      </c>
      <c r="P165" t="str">
        <f>SUBSTITUTE(tblShipments4[[#This Row],[Gateway]], CHAR(10), " ")</f>
        <v xml:space="preserve">AWB No. Gateway Port Gateway EGM No. Gateway EGM Date Gateway Site ID Error Code N.A.  INNSA1  132481  2017-07-31 00:00:00.0  INNSA1  C </v>
      </c>
      <c r="Q165" t="s">
        <v>152</v>
      </c>
    </row>
    <row r="166" spans="1:17" x14ac:dyDescent="0.35">
      <c r="A166" t="s">
        <v>8</v>
      </c>
      <c r="B166">
        <v>7891039</v>
      </c>
      <c r="C166" s="2" t="s">
        <v>208</v>
      </c>
      <c r="D166" s="2" t="str">
        <f>LEFT(TRIM(MID(SUBSTITUTE(tblShipments4[[#This Row],[Details]],CHAR(10)," "), FIND(CHAR(10),tblShipments4[[#This Row],[Details]])+1, 50)), 10)</f>
        <v>0502077905</v>
      </c>
      <c r="E166" t="s">
        <v>213</v>
      </c>
      <c r="F16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6" t="str">
        <f>IF(tblShipments4[[#This Row],[EGM no]]="", "Missing EGM", "EGM Submitted")</f>
        <v>EGM Submitted</v>
      </c>
      <c r="H166" t="str">
        <f>IF(OR(ISNUMBER(SEARCH("Released",tblShipments4[[#This Row],[ROSL]])),
      ISNUMBER(SEARCH("Scroll",tblShipments4[[#This Row],[ROSL]])),
      ISNUMBER(SEARCH("Y",tblShipments4[[#This Row],[ROSL]]))),
   "Released",
   "Not Released")</f>
        <v>Released</v>
      </c>
      <c r="I166" t="str">
        <f>IF(OR(tblShipments4[[#This Row],[EGM no]]="", tblShipments4[[#This Row],[EGM no]]="N.A."), "Not Submitted", "Submitted")</f>
        <v>Submitted</v>
      </c>
      <c r="J166" t="str">
        <f>IF(LEFT(tblShipments4[[#This Row],[Gateway_Extracted]],2)="IN","Valid","Invalid")</f>
        <v>Valid</v>
      </c>
      <c r="K166" t="s">
        <v>214</v>
      </c>
      <c r="L166" t="s">
        <v>215</v>
      </c>
      <c r="M166" t="s">
        <v>13</v>
      </c>
      <c r="N166" t="s">
        <v>216</v>
      </c>
      <c r="O166" t="str">
        <f>IFERROR("IN" &amp; _xlfn.TEXTBEFORE(_xlfn.TEXTAFTER(UPPER(tblShipments4[[#This Row],[Gateway_clean]]),"IN")," ",1),"")</f>
        <v>INNSA1</v>
      </c>
      <c r="P166" t="str">
        <f>SUBSTITUTE(tblShipments4[[#This Row],[Gateway]], CHAR(10), " ")</f>
        <v xml:space="preserve">AWB No. Gateway Port Gateway EGM No. Gateway EGM Date Gateway Site ID Error Code N.A.  INNSA1  N.A.  N.A.  N.A.  N.A. </v>
      </c>
      <c r="Q166" t="s">
        <v>26</v>
      </c>
    </row>
    <row r="167" spans="1:17" x14ac:dyDescent="0.35">
      <c r="A167" t="s">
        <v>8</v>
      </c>
      <c r="B167">
        <v>9330767</v>
      </c>
      <c r="C167" s="2" t="s">
        <v>1018</v>
      </c>
      <c r="D167" s="2" t="str">
        <f>LEFT(TRIM(MID(SUBSTITUTE(tblShipments4[[#This Row],[Details]],CHAR(10)," "), FIND(CHAR(10),tblShipments4[[#This Row],[Details]])+1, 50)), 10)</f>
        <v>0503014761</v>
      </c>
      <c r="E167" t="s">
        <v>1028</v>
      </c>
      <c r="F16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7" t="str">
        <f>IF(tblShipments4[[#This Row],[EGM no]]="", "Missing EGM", "EGM Submitted")</f>
        <v>EGM Submitted</v>
      </c>
      <c r="H167" t="str">
        <f>IF(OR(ISNUMBER(SEARCH("Released",tblShipments4[[#This Row],[ROSL]])),
      ISNUMBER(SEARCH("Scroll",tblShipments4[[#This Row],[ROSL]])),
      ISNUMBER(SEARCH("Y",tblShipments4[[#This Row],[ROSL]]))),
   "Released",
   "Not Released")</f>
        <v>Released</v>
      </c>
      <c r="I167" t="str">
        <f>IF(OR(tblShipments4[[#This Row],[EGM no]]="", tblShipments4[[#This Row],[EGM no]]="N.A."), "Not Submitted", "Submitted")</f>
        <v>Submitted</v>
      </c>
      <c r="J167" t="str">
        <f>IF(LEFT(tblShipments4[[#This Row],[Gateway_Extracted]],2)="IN","Valid","Invalid")</f>
        <v>Valid</v>
      </c>
      <c r="K167" t="s">
        <v>1029</v>
      </c>
      <c r="L167" t="s">
        <v>1030</v>
      </c>
      <c r="M167" t="s">
        <v>31</v>
      </c>
      <c r="N167" t="s">
        <v>1031</v>
      </c>
      <c r="O167" t="str">
        <f>IFERROR("IN" &amp; _xlfn.TEXTBEFORE(_xlfn.TEXTAFTER(UPPER(tblShipments4[[#This Row],[Gateway_clean]]),"IN")," ",1),"")</f>
        <v>INNSA1</v>
      </c>
      <c r="P167" t="str">
        <f>SUBSTITUTE(tblShipments4[[#This Row],[Gateway]], CHAR(10), " ")</f>
        <v xml:space="preserve">AWB No. Gateway Port Gateway EGM No. Gateway EGM Date Gateway Site ID Error Code N.A.  INNSA1  136204  2017-10-03 00:00:00.0  INNSA1  S </v>
      </c>
      <c r="Q167" t="s">
        <v>992</v>
      </c>
    </row>
    <row r="168" spans="1:17" x14ac:dyDescent="0.35">
      <c r="A168" t="s">
        <v>8</v>
      </c>
      <c r="B168">
        <v>1789517</v>
      </c>
      <c r="C168" s="2" t="s">
        <v>1633</v>
      </c>
      <c r="D168" s="2" t="str">
        <f>LEFT(TRIM(MID(SUBSTITUTE(tblShipments4[[#This Row],[Details]],CHAR(10)," "), FIND(CHAR(10),tblShipments4[[#This Row],[Details]])+1, 50)), 10)</f>
        <v>0503019321</v>
      </c>
      <c r="E168" t="s">
        <v>1653</v>
      </c>
      <c r="F16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8" t="str">
        <f>IF(tblShipments4[[#This Row],[EGM no]]="", "Missing EGM", "EGM Submitted")</f>
        <v>EGM Submitted</v>
      </c>
      <c r="H168" t="str">
        <f>IF(OR(ISNUMBER(SEARCH("Released",tblShipments4[[#This Row],[ROSL]])),
      ISNUMBER(SEARCH("Scroll",tblShipments4[[#This Row],[ROSL]])),
      ISNUMBER(SEARCH("Y",tblShipments4[[#This Row],[ROSL]]))),
   "Released",
   "Not Released")</f>
        <v>Released</v>
      </c>
      <c r="I168" t="str">
        <f>IF(OR(tblShipments4[[#This Row],[EGM no]]="", tblShipments4[[#This Row],[EGM no]]="N.A."), "Not Submitted", "Submitted")</f>
        <v>Submitted</v>
      </c>
      <c r="J168" t="str">
        <f>IF(LEFT(tblShipments4[[#This Row],[Gateway_Extracted]],2)="IN","Valid","Invalid")</f>
        <v>Valid</v>
      </c>
      <c r="K168" t="s">
        <v>1654</v>
      </c>
      <c r="L168" t="s">
        <v>1655</v>
      </c>
      <c r="M168" t="s">
        <v>13</v>
      </c>
      <c r="N168" t="s">
        <v>1656</v>
      </c>
      <c r="O168" t="str">
        <f>IFERROR("IN" &amp; _xlfn.TEXTBEFORE(_xlfn.TEXTAFTER(UPPER(tblShipments4[[#This Row],[Gateway_clean]]),"IN")," ",1),"")</f>
        <v>INNSA1</v>
      </c>
      <c r="P168" t="str">
        <f>SUBSTITUTE(tblShipments4[[#This Row],[Gateway]], CHAR(10), " ")</f>
        <v xml:space="preserve">AWB No. Gateway Port Gateway EGM No. Gateway EGM Date Gateway Site ID Error Code N.A.  INNSA1  N.A.  N.A.  N.A.  N.A. </v>
      </c>
      <c r="Q168" t="s">
        <v>26</v>
      </c>
    </row>
    <row r="169" spans="1:17" x14ac:dyDescent="0.35">
      <c r="A169" t="s">
        <v>8</v>
      </c>
      <c r="B169">
        <v>9741196</v>
      </c>
      <c r="C169" s="2" t="s">
        <v>1168</v>
      </c>
      <c r="D169" s="2" t="str">
        <f>LEFT(TRIM(MID(SUBSTITUTE(tblShipments4[[#This Row],[Details]],CHAR(10)," "), FIND(CHAR(10),tblShipments4[[#This Row],[Details]])+1, 50)), 10)</f>
        <v>0504008455</v>
      </c>
      <c r="E169" t="s">
        <v>1178</v>
      </c>
      <c r="F16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69" t="str">
        <f>IF(tblShipments4[[#This Row],[EGM no]]="", "Missing EGM", "EGM Submitted")</f>
        <v>EGM Submitted</v>
      </c>
      <c r="H169" t="str">
        <f>IF(OR(ISNUMBER(SEARCH("Released",tblShipments4[[#This Row],[ROSL]])),
      ISNUMBER(SEARCH("Scroll",tblShipments4[[#This Row],[ROSL]])),
      ISNUMBER(SEARCH("Y",tblShipments4[[#This Row],[ROSL]]))),
   "Released",
   "Not Released")</f>
        <v>Released</v>
      </c>
      <c r="I169" t="str">
        <f>IF(OR(tblShipments4[[#This Row],[EGM no]]="", tblShipments4[[#This Row],[EGM no]]="N.A."), "Not Submitted", "Submitted")</f>
        <v>Submitted</v>
      </c>
      <c r="J169" t="str">
        <f>IF(LEFT(tblShipments4[[#This Row],[Gateway_Extracted]],2)="IN","Valid","Invalid")</f>
        <v>Valid</v>
      </c>
      <c r="K169" t="s">
        <v>1099</v>
      </c>
      <c r="L169" t="s">
        <v>1179</v>
      </c>
      <c r="M169" t="s">
        <v>13</v>
      </c>
      <c r="N169" t="s">
        <v>1180</v>
      </c>
      <c r="O169" t="str">
        <f>IFERROR("IN" &amp; _xlfn.TEXTBEFORE(_xlfn.TEXTAFTER(UPPER(tblShipments4[[#This Row],[Gateway_clean]]),"IN")," ",1),"")</f>
        <v>INNSA1</v>
      </c>
      <c r="P169" t="str">
        <f>SUBSTITUTE(tblShipments4[[#This Row],[Gateway]], CHAR(10), " ")</f>
        <v xml:space="preserve">AWB No. Gateway Port Gateway EGM No. Gateway EGM Date Gateway Site ID Error Code N.A.  INNSA1  137370  2017-10-23 00:00:00.0  INNSA1  C </v>
      </c>
      <c r="Q169" t="s">
        <v>1181</v>
      </c>
    </row>
    <row r="170" spans="1:17" x14ac:dyDescent="0.35">
      <c r="A170" t="s">
        <v>8</v>
      </c>
      <c r="B170">
        <v>1349436</v>
      </c>
      <c r="C170" s="2" t="s">
        <v>1415</v>
      </c>
      <c r="D170" s="2" t="str">
        <f>LEFT(TRIM(MID(SUBSTITUTE(tblShipments4[[#This Row],[Details]],CHAR(10)," "), FIND(CHAR(10),tblShipments4[[#This Row],[Details]])+1, 50)), 10)</f>
        <v>0504019392</v>
      </c>
      <c r="E170" t="s">
        <v>1422</v>
      </c>
      <c r="F17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0" t="str">
        <f>IF(tblShipments4[[#This Row],[EGM no]]="", "Missing EGM", "EGM Submitted")</f>
        <v>EGM Submitted</v>
      </c>
      <c r="H170" t="str">
        <f>IF(OR(ISNUMBER(SEARCH("Released",tblShipments4[[#This Row],[ROSL]])),
      ISNUMBER(SEARCH("Scroll",tblShipments4[[#This Row],[ROSL]])),
      ISNUMBER(SEARCH("Y",tblShipments4[[#This Row],[ROSL]]))),
   "Released",
   "Not Released")</f>
        <v>Released</v>
      </c>
      <c r="I170" t="str">
        <f>IF(OR(tblShipments4[[#This Row],[EGM no]]="", tblShipments4[[#This Row],[EGM no]]="N.A."), "Not Submitted", "Submitted")</f>
        <v>Submitted</v>
      </c>
      <c r="J170" t="str">
        <f>IF(LEFT(tblShipments4[[#This Row],[Gateway_Extracted]],2)="IN","Valid","Invalid")</f>
        <v>Valid</v>
      </c>
      <c r="K170" t="s">
        <v>1379</v>
      </c>
      <c r="L170" t="s">
        <v>1423</v>
      </c>
      <c r="M170" t="s">
        <v>13</v>
      </c>
      <c r="N170" t="s">
        <v>1424</v>
      </c>
      <c r="O170" t="str">
        <f>IFERROR("IN" &amp; _xlfn.TEXTBEFORE(_xlfn.TEXTAFTER(UPPER(tblShipments4[[#This Row],[Gateway_clean]]),"IN")," ",1),"")</f>
        <v>INNSA1</v>
      </c>
      <c r="P170" t="str">
        <f>SUBSTITUTE(tblShipments4[[#This Row],[Gateway]], CHAR(10), " ")</f>
        <v xml:space="preserve">AWB No. Gateway Port Gateway EGM No. Gateway EGM Date Gateway Site ID Error Code N.A.  INNSA1  140472  2017-12-12 00:00:00.0  INNSA1  S </v>
      </c>
      <c r="Q170" t="s">
        <v>1425</v>
      </c>
    </row>
    <row r="171" spans="1:17" x14ac:dyDescent="0.35">
      <c r="A171" t="s">
        <v>8</v>
      </c>
      <c r="B171">
        <v>9626392</v>
      </c>
      <c r="C171" s="2" t="s">
        <v>1127</v>
      </c>
      <c r="D171" s="2" t="str">
        <f>LEFT(TRIM(MID(SUBSTITUTE(tblShipments4[[#This Row],[Details]],CHAR(10)," "), FIND(CHAR(10),tblShipments4[[#This Row],[Details]])+1, 50)), 10)</f>
        <v>0504038966</v>
      </c>
      <c r="E171" t="s">
        <v>1128</v>
      </c>
      <c r="F17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1" t="str">
        <f>IF(tblShipments4[[#This Row],[EGM no]]="", "Missing EGM", "EGM Submitted")</f>
        <v>EGM Submitted</v>
      </c>
      <c r="H171" t="str">
        <f>IF(OR(ISNUMBER(SEARCH("Released",tblShipments4[[#This Row],[ROSL]])),
      ISNUMBER(SEARCH("Scroll",tblShipments4[[#This Row],[ROSL]])),
      ISNUMBER(SEARCH("Y",tblShipments4[[#This Row],[ROSL]]))),
   "Released",
   "Not Released")</f>
        <v>Released</v>
      </c>
      <c r="I171" t="str">
        <f>IF(OR(tblShipments4[[#This Row],[EGM no]]="", tblShipments4[[#This Row],[EGM no]]="N.A."), "Not Submitted", "Submitted")</f>
        <v>Submitted</v>
      </c>
      <c r="J171" t="str">
        <f>IF(LEFT(tblShipments4[[#This Row],[Gateway_Extracted]],2)="IN","Valid","Invalid")</f>
        <v>Valid</v>
      </c>
      <c r="K171" t="s">
        <v>1129</v>
      </c>
      <c r="L171" t="s">
        <v>1130</v>
      </c>
      <c r="M171" t="s">
        <v>13</v>
      </c>
      <c r="N171" t="s">
        <v>1131</v>
      </c>
      <c r="O171" t="str">
        <f>IFERROR("IN" &amp; _xlfn.TEXTBEFORE(_xlfn.TEXTAFTER(UPPER(tblShipments4[[#This Row],[Gateway_clean]]),"IN")," ",1),"")</f>
        <v>INNSA1</v>
      </c>
      <c r="P171" t="str">
        <f>SUBSTITUTE(tblShipments4[[#This Row],[Gateway]], CHAR(10), " ")</f>
        <v xml:space="preserve">AWB No. Gateway Port Gateway EGM No. Gateway EGM Date Gateway Site ID Error Code N.A.  INNSA1  137889  2017-10-31 00:00:00.0  INNSA1  S </v>
      </c>
      <c r="Q171" t="s">
        <v>1132</v>
      </c>
    </row>
    <row r="172" spans="1:17" x14ac:dyDescent="0.35">
      <c r="A172" t="s">
        <v>8</v>
      </c>
      <c r="B172">
        <v>9064900</v>
      </c>
      <c r="C172" s="2" t="s">
        <v>928</v>
      </c>
      <c r="D172" s="2" t="str">
        <f>LEFT(TRIM(MID(SUBSTITUTE(tblShipments4[[#This Row],[Details]],CHAR(10)," "), FIND(CHAR(10),tblShipments4[[#This Row],[Details]])+1, 50)), 10)</f>
        <v>0504063227</v>
      </c>
      <c r="E172" t="s">
        <v>929</v>
      </c>
      <c r="F17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2" t="str">
        <f>IF(tblShipments4[[#This Row],[EGM no]]="", "Missing EGM", "EGM Submitted")</f>
        <v>EGM Submitted</v>
      </c>
      <c r="H172" t="str">
        <f>IF(OR(ISNUMBER(SEARCH("Released",tblShipments4[[#This Row],[ROSL]])),
      ISNUMBER(SEARCH("Scroll",tblShipments4[[#This Row],[ROSL]])),
      ISNUMBER(SEARCH("Y",tblShipments4[[#This Row],[ROSL]]))),
   "Released",
   "Not Released")</f>
        <v>Released</v>
      </c>
      <c r="I172" t="str">
        <f>IF(OR(tblShipments4[[#This Row],[EGM no]]="", tblShipments4[[#This Row],[EGM no]]="N.A."), "Not Submitted", "Submitted")</f>
        <v>Submitted</v>
      </c>
      <c r="J172" t="str">
        <f>IF(LEFT(tblShipments4[[#This Row],[Gateway_Extracted]],2)="IN","Valid","Invalid")</f>
        <v>Valid</v>
      </c>
      <c r="K172" t="s">
        <v>930</v>
      </c>
      <c r="L172" t="s">
        <v>931</v>
      </c>
      <c r="M172" t="s">
        <v>13</v>
      </c>
      <c r="N172" t="s">
        <v>932</v>
      </c>
      <c r="O172" t="str">
        <f>IFERROR("IN" &amp; _xlfn.TEXTBEFORE(_xlfn.TEXTAFTER(UPPER(tblShipments4[[#This Row],[Gateway_clean]]),"IN")," ",1),"")</f>
        <v>INNSA1</v>
      </c>
      <c r="P172" t="str">
        <f>SUBSTITUTE(tblShipments4[[#This Row],[Gateway]], CHAR(10), " ")</f>
        <v xml:space="preserve">AWB No. Gateway Port Gateway EGM No. Gateway EGM Date Gateway Site ID Error Code N.A.  INNSA1  135895  2017-09-27 00:00:00.0  INNSA1  S </v>
      </c>
      <c r="Q172" t="s">
        <v>933</v>
      </c>
    </row>
    <row r="173" spans="1:17" x14ac:dyDescent="0.35">
      <c r="A173" t="s">
        <v>8</v>
      </c>
      <c r="B173">
        <v>8483178</v>
      </c>
      <c r="C173" s="2" t="s">
        <v>615</v>
      </c>
      <c r="D173" s="2" t="str">
        <f>LEFT(TRIM(MID(SUBSTITUTE(tblShipments4[[#This Row],[Details]],CHAR(10)," "), FIND(CHAR(10),tblShipments4[[#This Row],[Details]])+1, 50)), 10)</f>
        <v>0504064754</v>
      </c>
      <c r="E173" t="s">
        <v>616</v>
      </c>
      <c r="F17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3" t="str">
        <f>IF(tblShipments4[[#This Row],[EGM no]]="", "Missing EGM", "EGM Submitted")</f>
        <v>EGM Submitted</v>
      </c>
      <c r="H173" t="str">
        <f>IF(OR(ISNUMBER(SEARCH("Released",tblShipments4[[#This Row],[ROSL]])),
      ISNUMBER(SEARCH("Scroll",tblShipments4[[#This Row],[ROSL]])),
      ISNUMBER(SEARCH("Y",tblShipments4[[#This Row],[ROSL]]))),
   "Released",
   "Not Released")</f>
        <v>Released</v>
      </c>
      <c r="I173" t="str">
        <f>IF(OR(tblShipments4[[#This Row],[EGM no]]="", tblShipments4[[#This Row],[EGM no]]="N.A."), "Not Submitted", "Submitted")</f>
        <v>Submitted</v>
      </c>
      <c r="J173" t="str">
        <f>IF(LEFT(tblShipments4[[#This Row],[Gateway_Extracted]],2)="IN","Valid","Invalid")</f>
        <v>Valid</v>
      </c>
      <c r="K173" t="s">
        <v>534</v>
      </c>
      <c r="L173" t="s">
        <v>617</v>
      </c>
      <c r="M173" t="s">
        <v>13</v>
      </c>
      <c r="N173" t="s">
        <v>618</v>
      </c>
      <c r="O173" t="str">
        <f>IFERROR("IN" &amp; _xlfn.TEXTBEFORE(_xlfn.TEXTAFTER(UPPER(tblShipments4[[#This Row],[Gateway_clean]]),"IN")," ",1),"")</f>
        <v>INNSA1</v>
      </c>
      <c r="P173" t="str">
        <f>SUBSTITUTE(tblShipments4[[#This Row],[Gateway]], CHAR(10), " ")</f>
        <v xml:space="preserve">AWB No. Gateway Port Gateway EGM No. Gateway EGM Date Gateway Site ID Error Code N.A.  INNSA1  134875  2017-09-11 00:00:00.0  INNSA1  S </v>
      </c>
      <c r="Q173" t="s">
        <v>619</v>
      </c>
    </row>
    <row r="174" spans="1:17" x14ac:dyDescent="0.35">
      <c r="A174" t="s">
        <v>8</v>
      </c>
      <c r="B174">
        <v>8848896</v>
      </c>
      <c r="C174" s="2" t="s">
        <v>815</v>
      </c>
      <c r="D174" s="2" t="str">
        <f>LEFT(TRIM(MID(SUBSTITUTE(tblShipments4[[#This Row],[Details]],CHAR(10)," "), FIND(CHAR(10),tblShipments4[[#This Row],[Details]])+1, 50)), 10)</f>
        <v>0504064754</v>
      </c>
      <c r="E174" t="s">
        <v>816</v>
      </c>
      <c r="F17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4" t="str">
        <f>IF(tblShipments4[[#This Row],[EGM no]]="", "Missing EGM", "EGM Submitted")</f>
        <v>EGM Submitted</v>
      </c>
      <c r="H174" t="str">
        <f>IF(OR(ISNUMBER(SEARCH("Released",tblShipments4[[#This Row],[ROSL]])),
      ISNUMBER(SEARCH("Scroll",tblShipments4[[#This Row],[ROSL]])),
      ISNUMBER(SEARCH("Y",tblShipments4[[#This Row],[ROSL]]))),
   "Released",
   "Not Released")</f>
        <v>Released</v>
      </c>
      <c r="I174" t="str">
        <f>IF(OR(tblShipments4[[#This Row],[EGM no]]="", tblShipments4[[#This Row],[EGM no]]="N.A."), "Not Submitted", "Submitted")</f>
        <v>Submitted</v>
      </c>
      <c r="J174" t="str">
        <f>IF(LEFT(tblShipments4[[#This Row],[Gateway_Extracted]],2)="IN","Valid","Invalid")</f>
        <v>Valid</v>
      </c>
      <c r="K174" t="s">
        <v>817</v>
      </c>
      <c r="L174" t="s">
        <v>818</v>
      </c>
      <c r="M174" t="s">
        <v>13</v>
      </c>
      <c r="N174" t="s">
        <v>819</v>
      </c>
      <c r="O174" t="str">
        <f>IFERROR("IN" &amp; _xlfn.TEXTBEFORE(_xlfn.TEXTAFTER(UPPER(tblShipments4[[#This Row],[Gateway_clean]]),"IN")," ",1),"")</f>
        <v>INNSA1</v>
      </c>
      <c r="P174" t="str">
        <f>SUBSTITUTE(tblShipments4[[#This Row],[Gateway]], CHAR(10), " ")</f>
        <v xml:space="preserve">AWB No. Gateway Port Gateway EGM No. Gateway EGM Date Gateway Site ID Error Code N.A.  INNSA1  135331  2017-09-19 00:00:00.0  INNSA1  S </v>
      </c>
      <c r="Q174" t="s">
        <v>820</v>
      </c>
    </row>
    <row r="175" spans="1:17" x14ac:dyDescent="0.35">
      <c r="A175" t="s">
        <v>8</v>
      </c>
      <c r="B175">
        <v>9510284</v>
      </c>
      <c r="C175" s="2" t="s">
        <v>1061</v>
      </c>
      <c r="D175" s="2" t="str">
        <f>LEFT(TRIM(MID(SUBSTITUTE(tblShipments4[[#This Row],[Details]],CHAR(10)," "), FIND(CHAR(10),tblShipments4[[#This Row],[Details]])+1, 50)), 10)</f>
        <v>0504064754</v>
      </c>
      <c r="E175" t="s">
        <v>1067</v>
      </c>
      <c r="F17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5" t="str">
        <f>IF(tblShipments4[[#This Row],[EGM no]]="", "Missing EGM", "EGM Submitted")</f>
        <v>EGM Submitted</v>
      </c>
      <c r="H175" t="str">
        <f>IF(OR(ISNUMBER(SEARCH("Released",tblShipments4[[#This Row],[ROSL]])),
      ISNUMBER(SEARCH("Scroll",tblShipments4[[#This Row],[ROSL]])),
      ISNUMBER(SEARCH("Y",tblShipments4[[#This Row],[ROSL]]))),
   "Released",
   "Not Released")</f>
        <v>Released</v>
      </c>
      <c r="I175" t="str">
        <f>IF(OR(tblShipments4[[#This Row],[EGM no]]="", tblShipments4[[#This Row],[EGM no]]="N.A."), "Not Submitted", "Submitted")</f>
        <v>Submitted</v>
      </c>
      <c r="J175" t="str">
        <f>IF(LEFT(tblShipments4[[#This Row],[Gateway_Extracted]],2)="IN","Valid","Invalid")</f>
        <v>Valid</v>
      </c>
      <c r="K175" t="s">
        <v>1068</v>
      </c>
      <c r="L175" t="s">
        <v>1069</v>
      </c>
      <c r="M175" t="s">
        <v>13</v>
      </c>
      <c r="N175" t="s">
        <v>1070</v>
      </c>
      <c r="O175" t="str">
        <f>IFERROR("IN" &amp; _xlfn.TEXTBEFORE(_xlfn.TEXTAFTER(UPPER(tblShipments4[[#This Row],[Gateway_clean]]),"IN")," ",1),"")</f>
        <v>INNSA1</v>
      </c>
      <c r="P175" t="str">
        <f>SUBSTITUTE(tblShipments4[[#This Row],[Gateway]], CHAR(10), " ")</f>
        <v xml:space="preserve">AWB No. Gateway Port Gateway EGM No. Gateway EGM Date Gateway Site ID Error Code N.A.  INNSA1  138449  2017-11-09 00:00:00.0  INNSA1  S </v>
      </c>
      <c r="Q175" t="s">
        <v>1071</v>
      </c>
    </row>
    <row r="176" spans="1:17" x14ac:dyDescent="0.35">
      <c r="A176" t="s">
        <v>8</v>
      </c>
      <c r="B176">
        <v>8190870</v>
      </c>
      <c r="C176" s="2" t="s">
        <v>401</v>
      </c>
      <c r="D176" s="2" t="str">
        <f>LEFT(TRIM(MID(SUBSTITUTE(tblShipments4[[#This Row],[Details]],CHAR(10)," "), FIND(CHAR(10),tblShipments4[[#This Row],[Details]])+1, 50)), 10)</f>
        <v>0505000873</v>
      </c>
      <c r="E176" t="s">
        <v>405</v>
      </c>
      <c r="F17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6" t="str">
        <f>IF(tblShipments4[[#This Row],[EGM no]]="", "Missing EGM", "EGM Submitted")</f>
        <v>EGM Submitted</v>
      </c>
      <c r="H176" t="str">
        <f>IF(OR(ISNUMBER(SEARCH("Released",tblShipments4[[#This Row],[ROSL]])),
      ISNUMBER(SEARCH("Scroll",tblShipments4[[#This Row],[ROSL]])),
      ISNUMBER(SEARCH("Y",tblShipments4[[#This Row],[ROSL]]))),
   "Released",
   "Not Released")</f>
        <v>Released</v>
      </c>
      <c r="I176" t="str">
        <f>IF(OR(tblShipments4[[#This Row],[EGM no]]="", tblShipments4[[#This Row],[EGM no]]="N.A."), "Not Submitted", "Submitted")</f>
        <v>Submitted</v>
      </c>
      <c r="J176" t="str">
        <f>IF(LEFT(tblShipments4[[#This Row],[Gateway_Extracted]],2)="IN","Valid","Invalid")</f>
        <v>Valid</v>
      </c>
      <c r="K176" t="s">
        <v>406</v>
      </c>
      <c r="L176" t="s">
        <v>407</v>
      </c>
      <c r="M176" t="s">
        <v>13</v>
      </c>
      <c r="N176" t="s">
        <v>408</v>
      </c>
      <c r="O176" t="str">
        <f>IFERROR("IN" &amp; _xlfn.TEXTBEFORE(_xlfn.TEXTAFTER(UPPER(tblShipments4[[#This Row],[Gateway_clean]]),"IN")," ",1),"")</f>
        <v>INNSA1</v>
      </c>
      <c r="P176" t="str">
        <f>SUBSTITUTE(tblShipments4[[#This Row],[Gateway]], CHAR(10), " ")</f>
        <v xml:space="preserve">AWB No. Gateway Port Gateway EGM No. Gateway EGM Date Gateway Site ID Error Code N.A.  INNSA1  N.A.  N.A.  N.A.  N.A. </v>
      </c>
      <c r="Q176" t="s">
        <v>26</v>
      </c>
    </row>
    <row r="177" spans="1:17" x14ac:dyDescent="0.35">
      <c r="A177" t="s">
        <v>8</v>
      </c>
      <c r="B177">
        <v>8424711</v>
      </c>
      <c r="C177" s="2" t="s">
        <v>565</v>
      </c>
      <c r="D177" s="2" t="str">
        <f>LEFT(TRIM(MID(SUBSTITUTE(tblShipments4[[#This Row],[Details]],CHAR(10)," "), FIND(CHAR(10),tblShipments4[[#This Row],[Details]])+1, 50)), 10)</f>
        <v>0505000873</v>
      </c>
      <c r="E177" t="s">
        <v>570</v>
      </c>
      <c r="F17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7" t="str">
        <f>IF(tblShipments4[[#This Row],[EGM no]]="", "Missing EGM", "EGM Submitted")</f>
        <v>EGM Submitted</v>
      </c>
      <c r="H177" t="str">
        <f>IF(OR(ISNUMBER(SEARCH("Released",tblShipments4[[#This Row],[ROSL]])),
      ISNUMBER(SEARCH("Scroll",tblShipments4[[#This Row],[ROSL]])),
      ISNUMBER(SEARCH("Y",tblShipments4[[#This Row],[ROSL]]))),
   "Released",
   "Not Released")</f>
        <v>Released</v>
      </c>
      <c r="I177" t="str">
        <f>IF(OR(tblShipments4[[#This Row],[EGM no]]="", tblShipments4[[#This Row],[EGM no]]="N.A."), "Not Submitted", "Submitted")</f>
        <v>Submitted</v>
      </c>
      <c r="J177" t="str">
        <f>IF(LEFT(tblShipments4[[#This Row],[Gateway_Extracted]],2)="IN","Valid","Invalid")</f>
        <v>Valid</v>
      </c>
      <c r="K177" t="s">
        <v>523</v>
      </c>
      <c r="L177" t="s">
        <v>571</v>
      </c>
      <c r="M177" t="s">
        <v>13</v>
      </c>
      <c r="N177" t="s">
        <v>572</v>
      </c>
      <c r="O177" t="str">
        <f>IFERROR("IN" &amp; _xlfn.TEXTBEFORE(_xlfn.TEXTAFTER(UPPER(tblShipments4[[#This Row],[Gateway_clean]]),"IN")," ",1),"")</f>
        <v>INNSA1</v>
      </c>
      <c r="P177" t="str">
        <f>SUBSTITUTE(tblShipments4[[#This Row],[Gateway]], CHAR(10), " ")</f>
        <v xml:space="preserve">AWB No. Gateway Port Gateway EGM No. Gateway EGM Date Gateway Site ID Error Code N.A.  INNSA1  134260  2017-08-31 00:00:00.0  INNSA1  S </v>
      </c>
      <c r="Q177" t="s">
        <v>573</v>
      </c>
    </row>
    <row r="178" spans="1:17" x14ac:dyDescent="0.35">
      <c r="A178" t="s">
        <v>8</v>
      </c>
      <c r="B178">
        <v>1054151</v>
      </c>
      <c r="C178" s="2" t="s">
        <v>1251</v>
      </c>
      <c r="D178" s="2" t="str">
        <f>LEFT(TRIM(MID(SUBSTITUTE(tblShipments4[[#This Row],[Details]],CHAR(10)," "), FIND(CHAR(10),tblShipments4[[#This Row],[Details]])+1, 50)), 10)</f>
        <v>0505000873</v>
      </c>
      <c r="E178" t="s">
        <v>1252</v>
      </c>
      <c r="F17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8" t="str">
        <f>IF(tblShipments4[[#This Row],[EGM no]]="", "Missing EGM", "EGM Submitted")</f>
        <v>EGM Submitted</v>
      </c>
      <c r="H178" t="str">
        <f>IF(OR(ISNUMBER(SEARCH("Released",tblShipments4[[#This Row],[ROSL]])),
      ISNUMBER(SEARCH("Scroll",tblShipments4[[#This Row],[ROSL]])),
      ISNUMBER(SEARCH("Y",tblShipments4[[#This Row],[ROSL]]))),
   "Released",
   "Not Released")</f>
        <v>Released</v>
      </c>
      <c r="I178" t="str">
        <f>IF(OR(tblShipments4[[#This Row],[EGM no]]="", tblShipments4[[#This Row],[EGM no]]="N.A."), "Not Submitted", "Submitted")</f>
        <v>Submitted</v>
      </c>
      <c r="J178" t="str">
        <f>IF(LEFT(tblShipments4[[#This Row],[Gateway_Extracted]],2)="IN","Valid","Invalid")</f>
        <v>Valid</v>
      </c>
      <c r="K178" t="s">
        <v>1253</v>
      </c>
      <c r="L178" t="s">
        <v>1254</v>
      </c>
      <c r="M178" t="s">
        <v>13</v>
      </c>
      <c r="N178" t="s">
        <v>1255</v>
      </c>
      <c r="O178" t="str">
        <f>IFERROR("IN" &amp; _xlfn.TEXTBEFORE(_xlfn.TEXTAFTER(UPPER(tblShipments4[[#This Row],[Gateway_clean]]),"IN")," ",1),"")</f>
        <v>INNSA1</v>
      </c>
      <c r="P178" t="str">
        <f>SUBSTITUTE(tblShipments4[[#This Row],[Gateway]], CHAR(10), " ")</f>
        <v xml:space="preserve">AWB No. Gateway Port Gateway EGM No. Gateway EGM Date Gateway Site ID Error Code N.A.  INNSA1  138641  2017-11-13 00:00:00.0  INNSA1  S </v>
      </c>
      <c r="Q178" t="s">
        <v>1256</v>
      </c>
    </row>
    <row r="179" spans="1:17" x14ac:dyDescent="0.35">
      <c r="A179" t="s">
        <v>8</v>
      </c>
      <c r="B179">
        <v>1323400</v>
      </c>
      <c r="C179" s="2" t="s">
        <v>1393</v>
      </c>
      <c r="D179" s="2" t="str">
        <f>LEFT(TRIM(MID(SUBSTITUTE(tblShipments4[[#This Row],[Details]],CHAR(10)," "), FIND(CHAR(10),tblShipments4[[#This Row],[Details]])+1, 50)), 10)</f>
        <v>0505000873</v>
      </c>
      <c r="E179" t="s">
        <v>1410</v>
      </c>
      <c r="F17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79" t="str">
        <f>IF(tblShipments4[[#This Row],[EGM no]]="", "Missing EGM", "EGM Submitted")</f>
        <v>EGM Submitted</v>
      </c>
      <c r="H179" t="str">
        <f>IF(OR(ISNUMBER(SEARCH("Released",tblShipments4[[#This Row],[ROSL]])),
      ISNUMBER(SEARCH("Scroll",tblShipments4[[#This Row],[ROSL]])),
      ISNUMBER(SEARCH("Y",tblShipments4[[#This Row],[ROSL]]))),
   "Released",
   "Not Released")</f>
        <v>Released</v>
      </c>
      <c r="I179" t="str">
        <f>IF(OR(tblShipments4[[#This Row],[EGM no]]="", tblShipments4[[#This Row],[EGM no]]="N.A."), "Not Submitted", "Submitted")</f>
        <v>Submitted</v>
      </c>
      <c r="J179" t="str">
        <f>IF(LEFT(tblShipments4[[#This Row],[Gateway_Extracted]],2)="IN","Valid","Invalid")</f>
        <v>Valid</v>
      </c>
      <c r="K179" t="s">
        <v>1411</v>
      </c>
      <c r="L179" t="s">
        <v>1412</v>
      </c>
      <c r="M179" t="s">
        <v>13</v>
      </c>
      <c r="N179" t="s">
        <v>1413</v>
      </c>
      <c r="O179" t="str">
        <f>IFERROR("IN" &amp; _xlfn.TEXTBEFORE(_xlfn.TEXTAFTER(UPPER(tblShipments4[[#This Row],[Gateway_clean]]),"IN")," ",1),"")</f>
        <v>INNSA1</v>
      </c>
      <c r="P179" t="str">
        <f>SUBSTITUTE(tblShipments4[[#This Row],[Gateway]], CHAR(10), " ")</f>
        <v xml:space="preserve">AWB No. Gateway Port Gateway EGM No. Gateway EGM Date Gateway Site ID Error Code N.A.  INNSA1  139999  2017-12-04 00:00:00.0  INNSA1  S </v>
      </c>
      <c r="Q179" t="s">
        <v>1414</v>
      </c>
    </row>
    <row r="180" spans="1:17" x14ac:dyDescent="0.35">
      <c r="A180" t="s">
        <v>8</v>
      </c>
      <c r="B180">
        <v>1622551</v>
      </c>
      <c r="C180" s="2" t="s">
        <v>1547</v>
      </c>
      <c r="D180" s="2" t="str">
        <f>LEFT(TRIM(MID(SUBSTITUTE(tblShipments4[[#This Row],[Details]],CHAR(10)," "), FIND(CHAR(10),tblShipments4[[#This Row],[Details]])+1, 50)), 10)</f>
        <v>0505000873</v>
      </c>
      <c r="E180" t="s">
        <v>1562</v>
      </c>
      <c r="F18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0" t="str">
        <f>IF(tblShipments4[[#This Row],[EGM no]]="", "Missing EGM", "EGM Submitted")</f>
        <v>EGM Submitted</v>
      </c>
      <c r="H180" t="str">
        <f>IF(OR(ISNUMBER(SEARCH("Released",tblShipments4[[#This Row],[ROSL]])),
      ISNUMBER(SEARCH("Scroll",tblShipments4[[#This Row],[ROSL]])),
      ISNUMBER(SEARCH("Y",tblShipments4[[#This Row],[ROSL]]))),
   "Released",
   "Not Released")</f>
        <v>Released</v>
      </c>
      <c r="I180" t="str">
        <f>IF(OR(tblShipments4[[#This Row],[EGM no]]="", tblShipments4[[#This Row],[EGM no]]="N.A."), "Not Submitted", "Submitted")</f>
        <v>Submitted</v>
      </c>
      <c r="J180" t="str">
        <f>IF(LEFT(tblShipments4[[#This Row],[Gateway_Extracted]],2)="IN","Valid","Invalid")</f>
        <v>Valid</v>
      </c>
      <c r="K180" t="s">
        <v>1543</v>
      </c>
      <c r="L180" t="s">
        <v>1563</v>
      </c>
      <c r="M180" t="s">
        <v>13</v>
      </c>
      <c r="N180" t="s">
        <v>1564</v>
      </c>
      <c r="O180" t="str">
        <f>IFERROR("IN" &amp; _xlfn.TEXTBEFORE(_xlfn.TEXTAFTER(UPPER(tblShipments4[[#This Row],[Gateway_clean]]),"IN")," ",1),"")</f>
        <v>INNSA1</v>
      </c>
      <c r="P180" t="str">
        <f>SUBSTITUTE(tblShipments4[[#This Row],[Gateway]], CHAR(10), " ")</f>
        <v xml:space="preserve">AWB No. Gateway Port Gateway EGM No. Gateway EGM Date Gateway Site ID Error Code N.A.  INNSA1  141039  2017-12-20 00:00:00.0  INNSA1  S </v>
      </c>
      <c r="Q180" t="s">
        <v>1565</v>
      </c>
    </row>
    <row r="181" spans="1:17" x14ac:dyDescent="0.35">
      <c r="A181" t="s">
        <v>8</v>
      </c>
      <c r="B181">
        <v>1622558</v>
      </c>
      <c r="C181" s="2" t="s">
        <v>1547</v>
      </c>
      <c r="D181" s="2" t="str">
        <f>LEFT(TRIM(MID(SUBSTITUTE(tblShipments4[[#This Row],[Details]],CHAR(10)," "), FIND(CHAR(10),tblShipments4[[#This Row],[Details]])+1, 50)), 10)</f>
        <v>0505000873</v>
      </c>
      <c r="E181" t="s">
        <v>1566</v>
      </c>
      <c r="F18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1" t="str">
        <f>IF(tblShipments4[[#This Row],[EGM no]]="", "Missing EGM", "EGM Submitted")</f>
        <v>EGM Submitted</v>
      </c>
      <c r="H181" t="str">
        <f>IF(OR(ISNUMBER(SEARCH("Released",tblShipments4[[#This Row],[ROSL]])),
      ISNUMBER(SEARCH("Scroll",tblShipments4[[#This Row],[ROSL]])),
      ISNUMBER(SEARCH("Y",tblShipments4[[#This Row],[ROSL]]))),
   "Released",
   "Not Released")</f>
        <v>Released</v>
      </c>
      <c r="I181" t="str">
        <f>IF(OR(tblShipments4[[#This Row],[EGM no]]="", tblShipments4[[#This Row],[EGM no]]="N.A."), "Not Submitted", "Submitted")</f>
        <v>Submitted</v>
      </c>
      <c r="J181" t="str">
        <f>IF(LEFT(tblShipments4[[#This Row],[Gateway_Extracted]],2)="IN","Valid","Invalid")</f>
        <v>Valid</v>
      </c>
      <c r="K181" t="s">
        <v>1567</v>
      </c>
      <c r="L181" t="s">
        <v>1563</v>
      </c>
      <c r="M181" t="s">
        <v>13</v>
      </c>
      <c r="N181" t="s">
        <v>1568</v>
      </c>
      <c r="O181" t="str">
        <f>IFERROR("IN" &amp; _xlfn.TEXTBEFORE(_xlfn.TEXTAFTER(UPPER(tblShipments4[[#This Row],[Gateway_clean]]),"IN")," ",1),"")</f>
        <v>INNSA1</v>
      </c>
      <c r="P181" t="str">
        <f>SUBSTITUTE(tblShipments4[[#This Row],[Gateway]], CHAR(10), " ")</f>
        <v xml:space="preserve">AWB No. Gateway Port Gateway EGM No. Gateway EGM Date Gateway Site ID Error Code N.A.  INNSA1  141039  2017-12-20 00:00:00.0  INNSA1  S </v>
      </c>
      <c r="Q181" t="s">
        <v>1565</v>
      </c>
    </row>
    <row r="182" spans="1:17" x14ac:dyDescent="0.35">
      <c r="A182" t="s">
        <v>8</v>
      </c>
      <c r="B182">
        <v>9150741</v>
      </c>
      <c r="C182" s="2" t="s">
        <v>968</v>
      </c>
      <c r="D182" s="2" t="str">
        <f>LEFT(TRIM(MID(SUBSTITUTE(tblShipments4[[#This Row],[Details]],CHAR(10)," "), FIND(CHAR(10),tblShipments4[[#This Row],[Details]])+1, 50)), 10)</f>
        <v>0505007592</v>
      </c>
      <c r="E182" t="s">
        <v>977</v>
      </c>
      <c r="F18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2" t="str">
        <f>IF(tblShipments4[[#This Row],[EGM no]]="", "Missing EGM", "EGM Submitted")</f>
        <v>EGM Submitted</v>
      </c>
      <c r="H182" t="str">
        <f>IF(OR(ISNUMBER(SEARCH("Released",tblShipments4[[#This Row],[ROSL]])),
      ISNUMBER(SEARCH("Scroll",tblShipments4[[#This Row],[ROSL]])),
      ISNUMBER(SEARCH("Y",tblShipments4[[#This Row],[ROSL]]))),
   "Released",
   "Not Released")</f>
        <v>Released</v>
      </c>
      <c r="I182" t="str">
        <f>IF(OR(tblShipments4[[#This Row],[EGM no]]="", tblShipments4[[#This Row],[EGM no]]="N.A."), "Not Submitted", "Submitted")</f>
        <v>Submitted</v>
      </c>
      <c r="J182" t="str">
        <f>IF(LEFT(tblShipments4[[#This Row],[Gateway_Extracted]],2)="IN","Valid","Invalid")</f>
        <v>Valid</v>
      </c>
      <c r="K182" t="s">
        <v>894</v>
      </c>
      <c r="L182" t="s">
        <v>978</v>
      </c>
      <c r="M182" t="s">
        <v>13</v>
      </c>
      <c r="N182" t="s">
        <v>979</v>
      </c>
      <c r="O182" t="str">
        <f>IFERROR("IN" &amp; _xlfn.TEXTBEFORE(_xlfn.TEXTAFTER(UPPER(tblShipments4[[#This Row],[Gateway_clean]]),"IN")," ",1),"")</f>
        <v>INNSA1</v>
      </c>
      <c r="P182" t="str">
        <f>SUBSTITUTE(tblShipments4[[#This Row],[Gateway]], CHAR(10), " ")</f>
        <v xml:space="preserve">AWB No. Gateway Port Gateway EGM No. Gateway EGM Date Gateway Site ID Error Code N.A.  INNSA1  136123  2017-10-02 00:00:00.0  INNSA1  S </v>
      </c>
      <c r="Q182" t="s">
        <v>980</v>
      </c>
    </row>
    <row r="183" spans="1:17" x14ac:dyDescent="0.35">
      <c r="A183" t="s">
        <v>8</v>
      </c>
      <c r="B183">
        <v>8180485</v>
      </c>
      <c r="C183" s="2" t="s">
        <v>401</v>
      </c>
      <c r="D183" s="2" t="str">
        <f>LEFT(TRIM(MID(SUBSTITUTE(tblShipments4[[#This Row],[Details]],CHAR(10)," "), FIND(CHAR(10),tblShipments4[[#This Row],[Details]])+1, 50)), 10)</f>
        <v>0505023954</v>
      </c>
      <c r="E183" t="s">
        <v>402</v>
      </c>
      <c r="F18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3" t="str">
        <f>IF(tblShipments4[[#This Row],[EGM no]]="", "Missing EGM", "EGM Submitted")</f>
        <v>EGM Submitted</v>
      </c>
      <c r="H183" t="str">
        <f>IF(OR(ISNUMBER(SEARCH("Released",tblShipments4[[#This Row],[ROSL]])),
      ISNUMBER(SEARCH("Scroll",tblShipments4[[#This Row],[ROSL]])),
      ISNUMBER(SEARCH("Y",tblShipments4[[#This Row],[ROSL]]))),
   "Released",
   "Not Released")</f>
        <v>Released</v>
      </c>
      <c r="I183" t="str">
        <f>IF(OR(tblShipments4[[#This Row],[EGM no]]="", tblShipments4[[#This Row],[EGM no]]="N.A."), "Not Submitted", "Submitted")</f>
        <v>Submitted</v>
      </c>
      <c r="J183" t="str">
        <f>IF(LEFT(tblShipments4[[#This Row],[Gateway_Extracted]],2)="IN","Valid","Invalid")</f>
        <v>Valid</v>
      </c>
      <c r="K183" t="s">
        <v>369</v>
      </c>
      <c r="L183" t="s">
        <v>403</v>
      </c>
      <c r="M183" t="s">
        <v>31</v>
      </c>
      <c r="N183" t="s">
        <v>404</v>
      </c>
      <c r="O183" t="str">
        <f>IFERROR("IN" &amp; _xlfn.TEXTBEFORE(_xlfn.TEXTAFTER(UPPER(tblShipments4[[#This Row],[Gateway_clean]]),"IN")," ",1),"")</f>
        <v>INNSA1</v>
      </c>
      <c r="P183" t="str">
        <f>SUBSTITUTE(tblShipments4[[#This Row],[Gateway]], CHAR(10), " ")</f>
        <v xml:space="preserve">AWB No. Gateway Port Gateway EGM No. Gateway EGM Date Gateway Site ID Error Code N.A.  INNSA1  N.A.  N.A.  N.A.  N.A. </v>
      </c>
      <c r="Q183" t="s">
        <v>26</v>
      </c>
    </row>
    <row r="184" spans="1:17" x14ac:dyDescent="0.35">
      <c r="A184" t="s">
        <v>8</v>
      </c>
      <c r="B184">
        <v>7603758</v>
      </c>
      <c r="C184" s="2" t="s">
        <v>27</v>
      </c>
      <c r="D184" s="2" t="str">
        <f>LEFT(TRIM(MID(SUBSTITUTE(tblShipments4[[#This Row],[Details]],CHAR(10)," "), FIND(CHAR(10),tblShipments4[[#This Row],[Details]])+1, 50)), 10)</f>
        <v>0505023954</v>
      </c>
      <c r="E184" t="s">
        <v>28</v>
      </c>
      <c r="F18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4" t="str">
        <f>IF(tblShipments4[[#This Row],[EGM no]]="", "Missing EGM", "EGM Submitted")</f>
        <v>EGM Submitted</v>
      </c>
      <c r="H184" t="str">
        <f>IF(OR(ISNUMBER(SEARCH("Released",tblShipments4[[#This Row],[ROSL]])),
      ISNUMBER(SEARCH("Scroll",tblShipments4[[#This Row],[ROSL]])),
      ISNUMBER(SEARCH("Y",tblShipments4[[#This Row],[ROSL]]))),
   "Released",
   "Not Released")</f>
        <v>Released</v>
      </c>
      <c r="I184" t="str">
        <f>IF(OR(tblShipments4[[#This Row],[EGM no]]="", tblShipments4[[#This Row],[EGM no]]="N.A."), "Not Submitted", "Submitted")</f>
        <v>Submitted</v>
      </c>
      <c r="J184" t="str">
        <f>IF(LEFT(tblShipments4[[#This Row],[Gateway_Extracted]],2)="IN","Valid","Invalid")</f>
        <v>Valid</v>
      </c>
      <c r="K184" t="s">
        <v>29</v>
      </c>
      <c r="L184" t="s">
        <v>30</v>
      </c>
      <c r="M184" t="s">
        <v>31</v>
      </c>
      <c r="N184" t="s">
        <v>32</v>
      </c>
      <c r="O184" t="str">
        <f>IFERROR("IN" &amp; _xlfn.TEXTBEFORE(_xlfn.TEXTAFTER(UPPER(tblShipments4[[#This Row],[Gateway_clean]]),"IN")," ",1),"")</f>
        <v>INNSA1</v>
      </c>
      <c r="P184" t="str">
        <f>SUBSTITUTE(tblShipments4[[#This Row],[Gateway]], CHAR(10), " ")</f>
        <v xml:space="preserve">AWB No. Gateway Port Gateway EGM No. Gateway EGM Date Gateway Site ID Error Code N.A.  INNSA1  N.A.  N.A.  N.A.  N.A. </v>
      </c>
      <c r="Q184" t="s">
        <v>26</v>
      </c>
    </row>
    <row r="185" spans="1:17" x14ac:dyDescent="0.35">
      <c r="A185" t="s">
        <v>8</v>
      </c>
      <c r="B185">
        <v>1487979</v>
      </c>
      <c r="C185" s="2" t="s">
        <v>1485</v>
      </c>
      <c r="D185" s="2" t="str">
        <f>LEFT(TRIM(MID(SUBSTITUTE(tblShipments4[[#This Row],[Details]],CHAR(10)," "), FIND(CHAR(10),tblShipments4[[#This Row],[Details]])+1, 50)), 10)</f>
        <v>0505075172</v>
      </c>
      <c r="E185" t="s">
        <v>1496</v>
      </c>
      <c r="F18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5" t="str">
        <f>IF(tblShipments4[[#This Row],[EGM no]]="", "Missing EGM", "EGM Submitted")</f>
        <v>EGM Submitted</v>
      </c>
      <c r="H185" t="str">
        <f>IF(OR(ISNUMBER(SEARCH("Released",tblShipments4[[#This Row],[ROSL]])),
      ISNUMBER(SEARCH("Scroll",tblShipments4[[#This Row],[ROSL]])),
      ISNUMBER(SEARCH("Y",tblShipments4[[#This Row],[ROSL]]))),
   "Released",
   "Not Released")</f>
        <v>Released</v>
      </c>
      <c r="I185" t="str">
        <f>IF(OR(tblShipments4[[#This Row],[EGM no]]="", tblShipments4[[#This Row],[EGM no]]="N.A."), "Not Submitted", "Submitted")</f>
        <v>Submitted</v>
      </c>
      <c r="J185" t="str">
        <f>IF(LEFT(tblShipments4[[#This Row],[Gateway_Extracted]],2)="IN","Valid","Invalid")</f>
        <v>Valid</v>
      </c>
      <c r="K185" t="s">
        <v>1497</v>
      </c>
      <c r="L185" t="s">
        <v>1467</v>
      </c>
      <c r="M185" t="s">
        <v>13</v>
      </c>
      <c r="N185" t="s">
        <v>1498</v>
      </c>
      <c r="O185" t="str">
        <f>IFERROR("IN" &amp; _xlfn.TEXTBEFORE(_xlfn.TEXTAFTER(UPPER(tblShipments4[[#This Row],[Gateway_clean]]),"IN")," ",1),"")</f>
        <v>INNSA1</v>
      </c>
      <c r="P185" t="str">
        <f>SUBSTITUTE(tblShipments4[[#This Row],[Gateway]], CHAR(10), " ")</f>
        <v xml:space="preserve">AWB No. Gateway Port Gateway EGM No. Gateway EGM Date Gateway Site ID Error Code N.A.  INNSA1  140365  2017-12-08 00:00:00.0  INNSA1  N </v>
      </c>
      <c r="Q185" t="s">
        <v>1469</v>
      </c>
    </row>
    <row r="186" spans="1:17" x14ac:dyDescent="0.35">
      <c r="A186" t="s">
        <v>8</v>
      </c>
      <c r="B186">
        <v>8600398</v>
      </c>
      <c r="C186" s="2" t="s">
        <v>681</v>
      </c>
      <c r="D186" s="2" t="str">
        <f>LEFT(TRIM(MID(SUBSTITUTE(tblShipments4[[#This Row],[Details]],CHAR(10)," "), FIND(CHAR(10),tblShipments4[[#This Row],[Details]])+1, 50)), 10)</f>
        <v>0506004830</v>
      </c>
      <c r="E186" t="s">
        <v>682</v>
      </c>
      <c r="F18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6" t="str">
        <f>IF(tblShipments4[[#This Row],[EGM no]]="", "Missing EGM", "EGM Submitted")</f>
        <v>EGM Submitted</v>
      </c>
      <c r="H186" t="str">
        <f>IF(OR(ISNUMBER(SEARCH("Released",tblShipments4[[#This Row],[ROSL]])),
      ISNUMBER(SEARCH("Scroll",tblShipments4[[#This Row],[ROSL]])),
      ISNUMBER(SEARCH("Y",tblShipments4[[#This Row],[ROSL]]))),
   "Released",
   "Not Released")</f>
        <v>Released</v>
      </c>
      <c r="I186" t="str">
        <f>IF(OR(tblShipments4[[#This Row],[EGM no]]="", tblShipments4[[#This Row],[EGM no]]="N.A."), "Not Submitted", "Submitted")</f>
        <v>Submitted</v>
      </c>
      <c r="J186" t="str">
        <f>IF(LEFT(tblShipments4[[#This Row],[Gateway_Extracted]],2)="IN","Valid","Invalid")</f>
        <v>Valid</v>
      </c>
      <c r="K186" t="s">
        <v>659</v>
      </c>
      <c r="L186" t="s">
        <v>655</v>
      </c>
      <c r="M186" t="s">
        <v>13</v>
      </c>
      <c r="N186" t="s">
        <v>683</v>
      </c>
      <c r="O186" t="str">
        <f>IFERROR("IN" &amp; _xlfn.TEXTBEFORE(_xlfn.TEXTAFTER(UPPER(tblShipments4[[#This Row],[Gateway_clean]]),"IN")," ",1),"")</f>
        <v>INNSA1</v>
      </c>
      <c r="P186" t="str">
        <f>SUBSTITUTE(tblShipments4[[#This Row],[Gateway]], CHAR(10), " ")</f>
        <v xml:space="preserve">AWB No. Gateway Port Gateway EGM No. Gateway EGM Date Gateway Site ID Error Code N.A.  INNSA1  N.A.  N.A.  N.A.  N.A. </v>
      </c>
      <c r="Q186" t="s">
        <v>26</v>
      </c>
    </row>
    <row r="187" spans="1:17" x14ac:dyDescent="0.35">
      <c r="A187" t="s">
        <v>8</v>
      </c>
      <c r="B187">
        <v>9049883</v>
      </c>
      <c r="C187" s="2" t="s">
        <v>917</v>
      </c>
      <c r="D187" s="2" t="str">
        <f>LEFT(TRIM(MID(SUBSTITUTE(tblShipments4[[#This Row],[Details]],CHAR(10)," "), FIND(CHAR(10),tblShipments4[[#This Row],[Details]])+1, 50)), 10)</f>
        <v>0506012905</v>
      </c>
      <c r="E187" t="s">
        <v>923</v>
      </c>
      <c r="F18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7" t="str">
        <f>IF(tblShipments4[[#This Row],[EGM no]]="", "Missing EGM", "EGM Submitted")</f>
        <v>EGM Submitted</v>
      </c>
      <c r="H187" t="str">
        <f>IF(OR(ISNUMBER(SEARCH("Released",tblShipments4[[#This Row],[ROSL]])),
      ISNUMBER(SEARCH("Scroll",tblShipments4[[#This Row],[ROSL]])),
      ISNUMBER(SEARCH("Y",tblShipments4[[#This Row],[ROSL]]))),
   "Released",
   "Not Released")</f>
        <v>Released</v>
      </c>
      <c r="I187" t="str">
        <f>IF(OR(tblShipments4[[#This Row],[EGM no]]="", tblShipments4[[#This Row],[EGM no]]="N.A."), "Not Submitted", "Submitted")</f>
        <v>Submitted</v>
      </c>
      <c r="J187" t="str">
        <f>IF(LEFT(tblShipments4[[#This Row],[Gateway_Extracted]],2)="IN","Valid","Invalid")</f>
        <v>Valid</v>
      </c>
      <c r="K187" t="s">
        <v>924</v>
      </c>
      <c r="L187" t="s">
        <v>925</v>
      </c>
      <c r="M187" t="s">
        <v>31</v>
      </c>
      <c r="N187" t="s">
        <v>926</v>
      </c>
      <c r="O187" t="str">
        <f>IFERROR("IN" &amp; _xlfn.TEXTBEFORE(_xlfn.TEXTAFTER(UPPER(tblShipments4[[#This Row],[Gateway_clean]]),"IN")," ",1),"")</f>
        <v>INNSA1</v>
      </c>
      <c r="P187" t="str">
        <f>SUBSTITUTE(tblShipments4[[#This Row],[Gateway]], CHAR(10), " ")</f>
        <v xml:space="preserve">AWB No. Gateway Port Gateway EGM No. Gateway EGM Date Gateway Site ID Error Code N.A.  INNSA1  136163  2017-10-03 00:00:00.0  INNSA1  C </v>
      </c>
      <c r="Q187" t="s">
        <v>927</v>
      </c>
    </row>
    <row r="188" spans="1:17" x14ac:dyDescent="0.35">
      <c r="A188" t="s">
        <v>8</v>
      </c>
      <c r="B188">
        <v>1023575</v>
      </c>
      <c r="C188" s="2" t="s">
        <v>1228</v>
      </c>
      <c r="D188" s="2" t="str">
        <f>LEFT(TRIM(MID(SUBSTITUTE(tblShipments4[[#This Row],[Details]],CHAR(10)," "), FIND(CHAR(10),tblShipments4[[#This Row],[Details]])+1, 50)), 10)</f>
        <v>0506012905</v>
      </c>
      <c r="E188" t="s">
        <v>1229</v>
      </c>
      <c r="F18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8" t="str">
        <f>IF(tblShipments4[[#This Row],[EGM no]]="", "Missing EGM", "EGM Submitted")</f>
        <v>EGM Submitted</v>
      </c>
      <c r="H188" t="str">
        <f>IF(OR(ISNUMBER(SEARCH("Released",tblShipments4[[#This Row],[ROSL]])),
      ISNUMBER(SEARCH("Scroll",tblShipments4[[#This Row],[ROSL]])),
      ISNUMBER(SEARCH("Y",tblShipments4[[#This Row],[ROSL]]))),
   "Released",
   "Not Released")</f>
        <v>Released</v>
      </c>
      <c r="I188" t="str">
        <f>IF(OR(tblShipments4[[#This Row],[EGM no]]="", tblShipments4[[#This Row],[EGM no]]="N.A."), "Not Submitted", "Submitted")</f>
        <v>Submitted</v>
      </c>
      <c r="J188" t="str">
        <f>IF(LEFT(tblShipments4[[#This Row],[Gateway_Extracted]],2)="IN","Valid","Invalid")</f>
        <v>Valid</v>
      </c>
      <c r="K188" t="s">
        <v>1230</v>
      </c>
      <c r="L188" t="s">
        <v>1231</v>
      </c>
      <c r="M188" t="s">
        <v>31</v>
      </c>
      <c r="N188" t="s">
        <v>1232</v>
      </c>
      <c r="O188" t="str">
        <f>IFERROR("IN" &amp; _xlfn.TEXTBEFORE(_xlfn.TEXTAFTER(UPPER(tblShipments4[[#This Row],[Gateway_clean]]),"IN")," ",1),"")</f>
        <v>INNSA1</v>
      </c>
      <c r="P188" t="str">
        <f>SUBSTITUTE(tblShipments4[[#This Row],[Gateway]], CHAR(10), " ")</f>
        <v xml:space="preserve">AWB No. Gateway Port Gateway EGM No. Gateway EGM Date Gateway Site ID Error Code N.A.  INNSA1  139142  2017-11-20 00:00:00.0  INNSA1  S </v>
      </c>
      <c r="Q188" t="s">
        <v>1233</v>
      </c>
    </row>
    <row r="189" spans="1:17" x14ac:dyDescent="0.35">
      <c r="A189" t="s">
        <v>8</v>
      </c>
      <c r="B189">
        <v>7690771</v>
      </c>
      <c r="C189" s="2" t="s">
        <v>76</v>
      </c>
      <c r="D189" s="2" t="str">
        <f>LEFT(TRIM(MID(SUBSTITUTE(tblShipments4[[#This Row],[Details]],CHAR(10)," "), FIND(CHAR(10),tblShipments4[[#This Row],[Details]])+1, 50)), 10)</f>
        <v>0506046231</v>
      </c>
      <c r="E189" t="s">
        <v>77</v>
      </c>
      <c r="F18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89" t="str">
        <f>IF(tblShipments4[[#This Row],[EGM no]]="", "Missing EGM", "EGM Submitted")</f>
        <v>EGM Submitted</v>
      </c>
      <c r="H189" t="str">
        <f>IF(OR(ISNUMBER(SEARCH("Released",tblShipments4[[#This Row],[ROSL]])),
      ISNUMBER(SEARCH("Scroll",tblShipments4[[#This Row],[ROSL]])),
      ISNUMBER(SEARCH("Y",tblShipments4[[#This Row],[ROSL]]))),
   "Released",
   "Not Released")</f>
        <v>Released</v>
      </c>
      <c r="I189" t="str">
        <f>IF(OR(tblShipments4[[#This Row],[EGM no]]="", tblShipments4[[#This Row],[EGM no]]="N.A."), "Not Submitted", "Submitted")</f>
        <v>Submitted</v>
      </c>
      <c r="J189" t="str">
        <f>IF(LEFT(tblShipments4[[#This Row],[Gateway_Extracted]],2)="IN","Valid","Invalid")</f>
        <v>Valid</v>
      </c>
      <c r="K189" t="s">
        <v>78</v>
      </c>
      <c r="L189" t="s">
        <v>79</v>
      </c>
      <c r="M189" t="s">
        <v>13</v>
      </c>
      <c r="N189" t="s">
        <v>80</v>
      </c>
      <c r="O189" t="str">
        <f>IFERROR("IN" &amp; _xlfn.TEXTBEFORE(_xlfn.TEXTAFTER(UPPER(tblShipments4[[#This Row],[Gateway_clean]]),"IN")," ",1),"")</f>
        <v>INNSA1</v>
      </c>
      <c r="P189" t="str">
        <f>SUBSTITUTE(tblShipments4[[#This Row],[Gateway]], CHAR(10), " ")</f>
        <v xml:space="preserve">AWB No. Gateway Port Gateway EGM No. Gateway EGM Date Gateway Site ID Error Code N.A.  INNSA1  132146  2017-07-26 00:00:00.0  INNSA1  S </v>
      </c>
      <c r="Q189" t="s">
        <v>81</v>
      </c>
    </row>
    <row r="190" spans="1:17" x14ac:dyDescent="0.35">
      <c r="A190" t="s">
        <v>8</v>
      </c>
      <c r="B190">
        <v>9597287</v>
      </c>
      <c r="C190" s="2" t="s">
        <v>1112</v>
      </c>
      <c r="D190" s="2" t="str">
        <f>LEFT(TRIM(MID(SUBSTITUTE(tblShipments4[[#This Row],[Details]],CHAR(10)," "), FIND(CHAR(10),tblShipments4[[#This Row],[Details]])+1, 50)), 10)</f>
        <v>0506059944</v>
      </c>
      <c r="E190" t="s">
        <v>1113</v>
      </c>
      <c r="F19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0" t="str">
        <f>IF(tblShipments4[[#This Row],[EGM no]]="", "Missing EGM", "EGM Submitted")</f>
        <v>EGM Submitted</v>
      </c>
      <c r="H190" t="str">
        <f>IF(OR(ISNUMBER(SEARCH("Released",tblShipments4[[#This Row],[ROSL]])),
      ISNUMBER(SEARCH("Scroll",tblShipments4[[#This Row],[ROSL]])),
      ISNUMBER(SEARCH("Y",tblShipments4[[#This Row],[ROSL]]))),
   "Released",
   "Not Released")</f>
        <v>Released</v>
      </c>
      <c r="I190" t="str">
        <f>IF(OR(tblShipments4[[#This Row],[EGM no]]="", tblShipments4[[#This Row],[EGM no]]="N.A."), "Not Submitted", "Submitted")</f>
        <v>Submitted</v>
      </c>
      <c r="J190" t="str">
        <f>IF(LEFT(tblShipments4[[#This Row],[Gateway_Extracted]],2)="IN","Valid","Invalid")</f>
        <v>Valid</v>
      </c>
      <c r="K190" t="s">
        <v>1094</v>
      </c>
      <c r="L190" t="s">
        <v>1114</v>
      </c>
      <c r="M190" t="s">
        <v>31</v>
      </c>
      <c r="N190" t="s">
        <v>1115</v>
      </c>
      <c r="O190" t="str">
        <f>IFERROR("IN" &amp; _xlfn.TEXTBEFORE(_xlfn.TEXTAFTER(UPPER(tblShipments4[[#This Row],[Gateway_clean]]),"IN")," ",1),"")</f>
        <v>INNSA1</v>
      </c>
      <c r="P190" t="str">
        <f>SUBSTITUTE(tblShipments4[[#This Row],[Gateway]], CHAR(10), " ")</f>
        <v xml:space="preserve">AWB No. Gateway Port Gateway EGM No. Gateway EGM Date Gateway Site ID Error Code N.A.  INNSA1  137830  2017-10-30 00:00:00.0  INNSA1  S </v>
      </c>
      <c r="Q190" t="s">
        <v>1116</v>
      </c>
    </row>
    <row r="191" spans="1:17" x14ac:dyDescent="0.35">
      <c r="A191" t="s">
        <v>8</v>
      </c>
      <c r="B191">
        <v>8660236</v>
      </c>
      <c r="C191" s="2" t="s">
        <v>730</v>
      </c>
      <c r="D191" s="2" t="str">
        <f>LEFT(TRIM(MID(SUBSTITUTE(tblShipments4[[#This Row],[Details]],CHAR(10)," "), FIND(CHAR(10),tblShipments4[[#This Row],[Details]])+1, 50)), 10)</f>
        <v>0506062538</v>
      </c>
      <c r="E191" t="s">
        <v>731</v>
      </c>
      <c r="F19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1" t="str">
        <f>IF(tblShipments4[[#This Row],[EGM no]]="", "Missing EGM", "EGM Submitted")</f>
        <v>EGM Submitted</v>
      </c>
      <c r="H191" t="str">
        <f>IF(OR(ISNUMBER(SEARCH("Released",tblShipments4[[#This Row],[ROSL]])),
      ISNUMBER(SEARCH("Scroll",tblShipments4[[#This Row],[ROSL]])),
      ISNUMBER(SEARCH("Y",tblShipments4[[#This Row],[ROSL]]))),
   "Released",
   "Not Released")</f>
        <v>Released</v>
      </c>
      <c r="I191" t="str">
        <f>IF(OR(tblShipments4[[#This Row],[EGM no]]="", tblShipments4[[#This Row],[EGM no]]="N.A."), "Not Submitted", "Submitted")</f>
        <v>Submitted</v>
      </c>
      <c r="J191" t="str">
        <f>IF(LEFT(tblShipments4[[#This Row],[Gateway_Extracted]],2)="IN","Valid","Invalid")</f>
        <v>Valid</v>
      </c>
      <c r="K191" t="s">
        <v>732</v>
      </c>
      <c r="L191" t="s">
        <v>733</v>
      </c>
      <c r="M191" t="s">
        <v>13</v>
      </c>
      <c r="N191" t="s">
        <v>734</v>
      </c>
      <c r="O191" t="str">
        <f>IFERROR("IN" &amp; _xlfn.TEXTBEFORE(_xlfn.TEXTAFTER(UPPER(tblShipments4[[#This Row],[Gateway_clean]]),"IN")," ",1),"")</f>
        <v>INNSA1</v>
      </c>
      <c r="P191" t="str">
        <f>SUBSTITUTE(tblShipments4[[#This Row],[Gateway]], CHAR(10), " ")</f>
        <v xml:space="preserve">AWB No. Gateway Port Gateway EGM No. Gateway EGM Date Gateway Site ID Error Code N.A.  INNSA1  135503  2017-09-21 00:00:00.0  INNSA1  C </v>
      </c>
      <c r="Q191" t="s">
        <v>735</v>
      </c>
    </row>
    <row r="192" spans="1:17" x14ac:dyDescent="0.35">
      <c r="A192" t="s">
        <v>8</v>
      </c>
      <c r="B192">
        <v>7638661</v>
      </c>
      <c r="C192" s="2" t="s">
        <v>38</v>
      </c>
      <c r="D192" s="2" t="str">
        <f>LEFT(TRIM(MID(SUBSTITUTE(tblShipments4[[#This Row],[Details]],CHAR(10)," "), FIND(CHAR(10),tblShipments4[[#This Row],[Details]])+1, 50)), 10)</f>
        <v>0506070484</v>
      </c>
      <c r="E192" t="s">
        <v>44</v>
      </c>
      <c r="F19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2" t="str">
        <f>IF(tblShipments4[[#This Row],[EGM no]]="", "Missing EGM", "EGM Submitted")</f>
        <v>EGM Submitted</v>
      </c>
      <c r="H192" t="str">
        <f>IF(OR(ISNUMBER(SEARCH("Released",tblShipments4[[#This Row],[ROSL]])),
      ISNUMBER(SEARCH("Scroll",tblShipments4[[#This Row],[ROSL]])),
      ISNUMBER(SEARCH("Y",tblShipments4[[#This Row],[ROSL]]))),
   "Released",
   "Not Released")</f>
        <v>Released</v>
      </c>
      <c r="I192" t="str">
        <f>IF(OR(tblShipments4[[#This Row],[EGM no]]="", tblShipments4[[#This Row],[EGM no]]="N.A."), "Not Submitted", "Submitted")</f>
        <v>Submitted</v>
      </c>
      <c r="J192" t="str">
        <f>IF(LEFT(tblShipments4[[#This Row],[Gateway_Extracted]],2)="IN","Valid","Invalid")</f>
        <v>Valid</v>
      </c>
      <c r="K192" t="s">
        <v>45</v>
      </c>
      <c r="L192" t="s">
        <v>46</v>
      </c>
      <c r="M192" t="s">
        <v>31</v>
      </c>
      <c r="N192" t="s">
        <v>47</v>
      </c>
      <c r="O192" t="str">
        <f>IFERROR("IN" &amp; _xlfn.TEXTBEFORE(_xlfn.TEXTAFTER(UPPER(tblShipments4[[#This Row],[Gateway_clean]]),"IN")," ",1),"")</f>
        <v>INNSA1</v>
      </c>
      <c r="P192" t="str">
        <f>SUBSTITUTE(tblShipments4[[#This Row],[Gateway]], CHAR(10), " ")</f>
        <v xml:space="preserve">AWB No. Gateway Port Gateway EGM No. Gateway EGM Date Gateway Site ID Error Code N.A.  INNSA1  N.A.  N.A.  N.A.  N.A. </v>
      </c>
      <c r="Q192" t="s">
        <v>26</v>
      </c>
    </row>
    <row r="193" spans="1:17" x14ac:dyDescent="0.35">
      <c r="A193" t="s">
        <v>8</v>
      </c>
      <c r="B193">
        <v>9687200</v>
      </c>
      <c r="C193" s="2" t="s">
        <v>1139</v>
      </c>
      <c r="D193" s="2" t="str">
        <f>LEFT(TRIM(MID(SUBSTITUTE(tblShipments4[[#This Row],[Details]],CHAR(10)," "), FIND(CHAR(10),tblShipments4[[#This Row],[Details]])+1, 50)), 10)</f>
        <v>0506074285</v>
      </c>
      <c r="E193" t="s">
        <v>1152</v>
      </c>
      <c r="F19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3" t="str">
        <f>IF(tblShipments4[[#This Row],[EGM no]]="", "Missing EGM", "EGM Submitted")</f>
        <v>EGM Submitted</v>
      </c>
      <c r="H193" t="str">
        <f>IF(OR(ISNUMBER(SEARCH("Released",tblShipments4[[#This Row],[ROSL]])),
      ISNUMBER(SEARCH("Scroll",tblShipments4[[#This Row],[ROSL]])),
      ISNUMBER(SEARCH("Y",tblShipments4[[#This Row],[ROSL]]))),
   "Released",
   "Not Released")</f>
        <v>Released</v>
      </c>
      <c r="I193" t="str">
        <f>IF(OR(tblShipments4[[#This Row],[EGM no]]="", tblShipments4[[#This Row],[EGM no]]="N.A."), "Not Submitted", "Submitted")</f>
        <v>Submitted</v>
      </c>
      <c r="J193" t="str">
        <f>IF(LEFT(tblShipments4[[#This Row],[Gateway_Extracted]],2)="IN","Valid","Invalid")</f>
        <v>Valid</v>
      </c>
      <c r="K193" t="s">
        <v>1129</v>
      </c>
      <c r="L193" t="s">
        <v>1153</v>
      </c>
      <c r="M193" t="s">
        <v>1154</v>
      </c>
      <c r="N193" t="s">
        <v>1155</v>
      </c>
      <c r="O193" t="str">
        <f>IFERROR("IN" &amp; _xlfn.TEXTBEFORE(_xlfn.TEXTAFTER(UPPER(tblShipments4[[#This Row],[Gateway_clean]]),"IN")," ",1),"")</f>
        <v>INNSA1</v>
      </c>
      <c r="P193" t="str">
        <f>SUBSTITUTE(tblShipments4[[#This Row],[Gateway]], CHAR(10), " ")</f>
        <v xml:space="preserve">AWB No. Gateway Port Gateway EGM No. Gateway EGM Date Gateway Site ID Error Code N.A.  INNSA1  N.A.  N.A.  N.A.  N.A. </v>
      </c>
      <c r="Q193" t="s">
        <v>26</v>
      </c>
    </row>
    <row r="194" spans="1:17" x14ac:dyDescent="0.35">
      <c r="A194" t="s">
        <v>8</v>
      </c>
      <c r="B194">
        <v>7183827</v>
      </c>
      <c r="C194" s="2" t="s">
        <v>21</v>
      </c>
      <c r="D194" s="2" t="str">
        <f>LEFT(TRIM(MID(SUBSTITUTE(tblShipments4[[#This Row],[Details]],CHAR(10)," "), FIND(CHAR(10),tblShipments4[[#This Row],[Details]])+1, 50)), 10)</f>
        <v>0506074994</v>
      </c>
      <c r="E194" t="s">
        <v>22</v>
      </c>
      <c r="F19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4" t="str">
        <f>IF(tblShipments4[[#This Row],[EGM no]]="", "Missing EGM", "EGM Submitted")</f>
        <v>EGM Submitted</v>
      </c>
      <c r="H194" t="str">
        <f>IF(OR(ISNUMBER(SEARCH("Released",tblShipments4[[#This Row],[ROSL]])),
      ISNUMBER(SEARCH("Scroll",tblShipments4[[#This Row],[ROSL]])),
      ISNUMBER(SEARCH("Y",tblShipments4[[#This Row],[ROSL]]))),
   "Released",
   "Not Released")</f>
        <v>Released</v>
      </c>
      <c r="I194" t="str">
        <f>IF(OR(tblShipments4[[#This Row],[EGM no]]="", tblShipments4[[#This Row],[EGM no]]="N.A."), "Not Submitted", "Submitted")</f>
        <v>Submitted</v>
      </c>
      <c r="J194" t="str">
        <f>IF(LEFT(tblShipments4[[#This Row],[Gateway_Extracted]],2)="IN","Valid","Invalid")</f>
        <v>Valid</v>
      </c>
      <c r="K194" t="s">
        <v>23</v>
      </c>
      <c r="L194" t="s">
        <v>24</v>
      </c>
      <c r="M194" t="s">
        <v>13</v>
      </c>
      <c r="N194" t="s">
        <v>25</v>
      </c>
      <c r="O194" t="str">
        <f>IFERROR("IN" &amp; _xlfn.TEXTBEFORE(_xlfn.TEXTAFTER(UPPER(tblShipments4[[#This Row],[Gateway_clean]]),"IN")," ",1),"")</f>
        <v>INNSA1</v>
      </c>
      <c r="P194" t="str">
        <f>SUBSTITUTE(tblShipments4[[#This Row],[Gateway]], CHAR(10), " ")</f>
        <v xml:space="preserve">AWB No. Gateway Port Gateway EGM No. Gateway EGM Date Gateway Site ID Error Code N.A.  INNSA1  N.A.  N.A.  N.A.  N.A. </v>
      </c>
      <c r="Q194" t="s">
        <v>26</v>
      </c>
    </row>
    <row r="195" spans="1:17" x14ac:dyDescent="0.35">
      <c r="A195" t="s">
        <v>8</v>
      </c>
      <c r="B195">
        <v>1031757</v>
      </c>
      <c r="C195" s="2" t="s">
        <v>1234</v>
      </c>
      <c r="D195" s="2" t="str">
        <f>LEFT(TRIM(MID(SUBSTITUTE(tblShipments4[[#This Row],[Details]],CHAR(10)," "), FIND(CHAR(10),tblShipments4[[#This Row],[Details]])+1, 50)), 10)</f>
        <v>0507004761</v>
      </c>
      <c r="E195" t="s">
        <v>1235</v>
      </c>
      <c r="F19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5" t="str">
        <f>IF(tblShipments4[[#This Row],[EGM no]]="", "Missing EGM", "EGM Submitted")</f>
        <v>EGM Submitted</v>
      </c>
      <c r="H195" t="str">
        <f>IF(OR(ISNUMBER(SEARCH("Released",tblShipments4[[#This Row],[ROSL]])),
      ISNUMBER(SEARCH("Scroll",tblShipments4[[#This Row],[ROSL]])),
      ISNUMBER(SEARCH("Y",tblShipments4[[#This Row],[ROSL]]))),
   "Released",
   "Not Released")</f>
        <v>Released</v>
      </c>
      <c r="I195" t="str">
        <f>IF(OR(tblShipments4[[#This Row],[EGM no]]="", tblShipments4[[#This Row],[EGM no]]="N.A."), "Not Submitted", "Submitted")</f>
        <v>Submitted</v>
      </c>
      <c r="J195" t="str">
        <f>IF(LEFT(tblShipments4[[#This Row],[Gateway_Extracted]],2)="IN","Valid","Invalid")</f>
        <v>Valid</v>
      </c>
      <c r="K195" t="s">
        <v>1236</v>
      </c>
      <c r="L195" t="s">
        <v>1237</v>
      </c>
      <c r="M195" t="s">
        <v>13</v>
      </c>
      <c r="N195" t="s">
        <v>1238</v>
      </c>
      <c r="O195" t="str">
        <f>IFERROR("IN" &amp; _xlfn.TEXTBEFORE(_xlfn.TEXTAFTER(UPPER(tblShipments4[[#This Row],[Gateway_clean]]),"IN")," ",1),"")</f>
        <v>INNSA1</v>
      </c>
      <c r="P195" t="str">
        <f>SUBSTITUTE(tblShipments4[[#This Row],[Gateway]], CHAR(10), " ")</f>
        <v xml:space="preserve">AWB No. Gateway Port Gateway EGM No. Gateway EGM Date Gateway Site ID Error Code N.A.  INNSA1  137386  2017-10-23 00:00:00.0  INNSA1  S </v>
      </c>
      <c r="Q195" t="s">
        <v>1239</v>
      </c>
    </row>
    <row r="196" spans="1:17" x14ac:dyDescent="0.35">
      <c r="A196" t="s">
        <v>8</v>
      </c>
      <c r="B196">
        <v>1682294</v>
      </c>
      <c r="C196" s="2" t="s">
        <v>1579</v>
      </c>
      <c r="D196" s="2" t="str">
        <f>LEFT(TRIM(MID(SUBSTITUTE(tblShipments4[[#This Row],[Details]],CHAR(10)," "), FIND(CHAR(10),tblShipments4[[#This Row],[Details]])+1, 50)), 10)</f>
        <v>0507018591</v>
      </c>
      <c r="E196" t="s">
        <v>1596</v>
      </c>
      <c r="F19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6" t="str">
        <f>IF(tblShipments4[[#This Row],[EGM no]]="", "Missing EGM", "EGM Submitted")</f>
        <v>EGM Submitted</v>
      </c>
      <c r="H196" t="str">
        <f>IF(OR(ISNUMBER(SEARCH("Released",tblShipments4[[#This Row],[ROSL]])),
      ISNUMBER(SEARCH("Scroll",tblShipments4[[#This Row],[ROSL]])),
      ISNUMBER(SEARCH("Y",tblShipments4[[#This Row],[ROSL]]))),
   "Released",
   "Not Released")</f>
        <v>Released</v>
      </c>
      <c r="I196" t="str">
        <f>IF(OR(tblShipments4[[#This Row],[EGM no]]="", tblShipments4[[#This Row],[EGM no]]="N.A."), "Not Submitted", "Submitted")</f>
        <v>Submitted</v>
      </c>
      <c r="J196" t="str">
        <f>IF(LEFT(tblShipments4[[#This Row],[Gateway_Extracted]],2)="IN","Valid","Invalid")</f>
        <v>Valid</v>
      </c>
      <c r="K196" t="s">
        <v>1597</v>
      </c>
      <c r="L196" t="s">
        <v>1598</v>
      </c>
      <c r="M196" t="s">
        <v>13</v>
      </c>
      <c r="N196" t="s">
        <v>1599</v>
      </c>
      <c r="O196" t="str">
        <f>IFERROR("IN" &amp; _xlfn.TEXTBEFORE(_xlfn.TEXTAFTER(UPPER(tblShipments4[[#This Row],[Gateway_clean]]),"IN")," ",1),"")</f>
        <v>INNSA1</v>
      </c>
      <c r="P196" t="str">
        <f>SUBSTITUTE(tblShipments4[[#This Row],[Gateway]], CHAR(10), " ")</f>
        <v xml:space="preserve">AWB No. Gateway Port Gateway EGM No. Gateway EGM Date Gateway Site ID Error Code N.A.  INNSA1  141116  2017-12-21 00:00:00.0  INNSA1  S </v>
      </c>
      <c r="Q196" t="s">
        <v>1600</v>
      </c>
    </row>
    <row r="197" spans="1:17" x14ac:dyDescent="0.35">
      <c r="A197" t="s">
        <v>8</v>
      </c>
      <c r="B197">
        <v>8462659</v>
      </c>
      <c r="C197" s="2" t="s">
        <v>590</v>
      </c>
      <c r="D197" s="2" t="str">
        <f>LEFT(TRIM(MID(SUBSTITUTE(tblShipments4[[#This Row],[Details]],CHAR(10)," "), FIND(CHAR(10),tblShipments4[[#This Row],[Details]])+1, 50)), 10)</f>
        <v>0507023722</v>
      </c>
      <c r="E197" t="s">
        <v>599</v>
      </c>
      <c r="F19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7" t="str">
        <f>IF(tblShipments4[[#This Row],[EGM no]]="", "Missing EGM", "EGM Submitted")</f>
        <v>EGM Submitted</v>
      </c>
      <c r="H197" t="str">
        <f>IF(OR(ISNUMBER(SEARCH("Released",tblShipments4[[#This Row],[ROSL]])),
      ISNUMBER(SEARCH("Scroll",tblShipments4[[#This Row],[ROSL]])),
      ISNUMBER(SEARCH("Y",tblShipments4[[#This Row],[ROSL]]))),
   "Released",
   "Not Released")</f>
        <v>Released</v>
      </c>
      <c r="I197" t="str">
        <f>IF(OR(tblShipments4[[#This Row],[EGM no]]="", tblShipments4[[#This Row],[EGM no]]="N.A."), "Not Submitted", "Submitted")</f>
        <v>Submitted</v>
      </c>
      <c r="J197" t="str">
        <f>IF(LEFT(tblShipments4[[#This Row],[Gateway_Extracted]],2)="IN","Valid","Invalid")</f>
        <v>Valid</v>
      </c>
      <c r="K197" t="s">
        <v>600</v>
      </c>
      <c r="L197" t="s">
        <v>601</v>
      </c>
      <c r="M197" t="s">
        <v>31</v>
      </c>
      <c r="N197" t="s">
        <v>602</v>
      </c>
      <c r="O197" t="str">
        <f>IFERROR("IN" &amp; _xlfn.TEXTBEFORE(_xlfn.TEXTAFTER(UPPER(tblShipments4[[#This Row],[Gateway_clean]]),"IN")," ",1),"")</f>
        <v>INNSA1</v>
      </c>
      <c r="P197" t="str">
        <f>SUBSTITUTE(tblShipments4[[#This Row],[Gateway]], CHAR(10), " ")</f>
        <v xml:space="preserve">AWB No. Gateway Port Gateway EGM No. Gateway EGM Date Gateway Site ID Error Code N.A.  INNSA1  134462  2017-09-04 00:00:00.0  INNSA1  S </v>
      </c>
      <c r="Q197" t="s">
        <v>372</v>
      </c>
    </row>
    <row r="198" spans="1:17" x14ac:dyDescent="0.35">
      <c r="A198" t="s">
        <v>8</v>
      </c>
      <c r="B198">
        <v>8584704</v>
      </c>
      <c r="C198" s="2" t="s">
        <v>657</v>
      </c>
      <c r="D198" s="2" t="str">
        <f>LEFT(TRIM(MID(SUBSTITUTE(tblShipments4[[#This Row],[Details]],CHAR(10)," "), FIND(CHAR(10),tblShipments4[[#This Row],[Details]])+1, 50)), 10)</f>
        <v>0507023722</v>
      </c>
      <c r="E198" t="s">
        <v>677</v>
      </c>
      <c r="F19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8" t="str">
        <f>IF(tblShipments4[[#This Row],[EGM no]]="", "Missing EGM", "EGM Submitted")</f>
        <v>EGM Submitted</v>
      </c>
      <c r="H198" t="str">
        <f>IF(OR(ISNUMBER(SEARCH("Released",tblShipments4[[#This Row],[ROSL]])),
      ISNUMBER(SEARCH("Scroll",tblShipments4[[#This Row],[ROSL]])),
      ISNUMBER(SEARCH("Y",tblShipments4[[#This Row],[ROSL]]))),
   "Released",
   "Not Released")</f>
        <v>Released</v>
      </c>
      <c r="I198" t="str">
        <f>IF(OR(tblShipments4[[#This Row],[EGM no]]="", tblShipments4[[#This Row],[EGM no]]="N.A."), "Not Submitted", "Submitted")</f>
        <v>Submitted</v>
      </c>
      <c r="J198" t="str">
        <f>IF(LEFT(tblShipments4[[#This Row],[Gateway_Extracted]],2)="IN","Valid","Invalid")</f>
        <v>Valid</v>
      </c>
      <c r="K198" t="s">
        <v>562</v>
      </c>
      <c r="L198" t="s">
        <v>678</v>
      </c>
      <c r="M198" t="s">
        <v>31</v>
      </c>
      <c r="N198" t="s">
        <v>679</v>
      </c>
      <c r="O198" t="str">
        <f>IFERROR("IN" &amp; _xlfn.TEXTBEFORE(_xlfn.TEXTAFTER(UPPER(tblShipments4[[#This Row],[Gateway_clean]]),"IN")," ",1),"")</f>
        <v>INNSA1</v>
      </c>
      <c r="P198" t="str">
        <f>SUBSTITUTE(tblShipments4[[#This Row],[Gateway]], CHAR(10), " ")</f>
        <v xml:space="preserve">AWB No. Gateway Port Gateway EGM No. Gateway EGM Date Gateway Site ID Error Code N.A.  INNSA1  134938  2017-09-12 00:00:00.0  INNSA1  S </v>
      </c>
      <c r="Q198" t="s">
        <v>680</v>
      </c>
    </row>
    <row r="199" spans="1:17" x14ac:dyDescent="0.35">
      <c r="A199" t="s">
        <v>8</v>
      </c>
      <c r="B199">
        <v>9122323</v>
      </c>
      <c r="C199" s="2" t="s">
        <v>960</v>
      </c>
      <c r="D199" s="2" t="str">
        <f>LEFT(TRIM(MID(SUBSTITUTE(tblShipments4[[#This Row],[Details]],CHAR(10)," "), FIND(CHAR(10),tblShipments4[[#This Row],[Details]])+1, 50)), 10)</f>
        <v>0507023722</v>
      </c>
      <c r="E199" t="s">
        <v>961</v>
      </c>
      <c r="F19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199" t="str">
        <f>IF(tblShipments4[[#This Row],[EGM no]]="", "Missing EGM", "EGM Submitted")</f>
        <v>EGM Submitted</v>
      </c>
      <c r="H199" t="str">
        <f>IF(OR(ISNUMBER(SEARCH("Released",tblShipments4[[#This Row],[ROSL]])),
      ISNUMBER(SEARCH("Scroll",tblShipments4[[#This Row],[ROSL]])),
      ISNUMBER(SEARCH("Y",tblShipments4[[#This Row],[ROSL]]))),
   "Released",
   "Not Released")</f>
        <v>Released</v>
      </c>
      <c r="I199" t="str">
        <f>IF(OR(tblShipments4[[#This Row],[EGM no]]="", tblShipments4[[#This Row],[EGM no]]="N.A."), "Not Submitted", "Submitted")</f>
        <v>Submitted</v>
      </c>
      <c r="J199" t="str">
        <f>IF(LEFT(tblShipments4[[#This Row],[Gateway_Extracted]],2)="IN","Valid","Invalid")</f>
        <v>Valid</v>
      </c>
      <c r="K199" t="s">
        <v>941</v>
      </c>
      <c r="L199" t="s">
        <v>958</v>
      </c>
      <c r="M199" t="s">
        <v>31</v>
      </c>
      <c r="N199" t="s">
        <v>962</v>
      </c>
      <c r="O199" t="str">
        <f>IFERROR("IN" &amp; _xlfn.TEXTBEFORE(_xlfn.TEXTAFTER(UPPER(tblShipments4[[#This Row],[Gateway_clean]]),"IN")," ",1),"")</f>
        <v>INNSA1</v>
      </c>
      <c r="P199" t="str">
        <f>SUBSTITUTE(tblShipments4[[#This Row],[Gateway]], CHAR(10), " ")</f>
        <v xml:space="preserve">AWB No. Gateway Port Gateway EGM No. Gateway EGM Date Gateway Site ID Error Code N.A.  INNSA1  135895  2017-09-27 00:00:00.0  INNSA1  S </v>
      </c>
      <c r="Q199" t="s">
        <v>933</v>
      </c>
    </row>
    <row r="200" spans="1:17" x14ac:dyDescent="0.35">
      <c r="A200" t="s">
        <v>8</v>
      </c>
      <c r="B200">
        <v>7791798</v>
      </c>
      <c r="C200" s="2" t="s">
        <v>153</v>
      </c>
      <c r="D200" s="2" t="str">
        <f>LEFT(TRIM(MID(SUBSTITUTE(tblShipments4[[#This Row],[Details]],CHAR(10)," "), FIND(CHAR(10),tblShipments4[[#This Row],[Details]])+1, 50)), 10)</f>
        <v>0507051360</v>
      </c>
      <c r="E200" t="s">
        <v>154</v>
      </c>
      <c r="F20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0" t="str">
        <f>IF(tblShipments4[[#This Row],[EGM no]]="", "Missing EGM", "EGM Submitted")</f>
        <v>EGM Submitted</v>
      </c>
      <c r="H200" t="str">
        <f>IF(OR(ISNUMBER(SEARCH("Released",tblShipments4[[#This Row],[ROSL]])),
      ISNUMBER(SEARCH("Scroll",tblShipments4[[#This Row],[ROSL]])),
      ISNUMBER(SEARCH("Y",tblShipments4[[#This Row],[ROSL]]))),
   "Released",
   "Not Released")</f>
        <v>Released</v>
      </c>
      <c r="I200" t="str">
        <f>IF(OR(tblShipments4[[#This Row],[EGM no]]="", tblShipments4[[#This Row],[EGM no]]="N.A."), "Not Submitted", "Submitted")</f>
        <v>Submitted</v>
      </c>
      <c r="J200" t="str">
        <f>IF(LEFT(tblShipments4[[#This Row],[Gateway_Extracted]],2)="IN","Valid","Invalid")</f>
        <v>Valid</v>
      </c>
      <c r="K200" t="s">
        <v>149</v>
      </c>
      <c r="L200" t="s">
        <v>155</v>
      </c>
      <c r="M200" t="s">
        <v>13</v>
      </c>
      <c r="N200" t="s">
        <v>156</v>
      </c>
      <c r="O200" t="str">
        <f>IFERROR("IN" &amp; _xlfn.TEXTBEFORE(_xlfn.TEXTAFTER(UPPER(tblShipments4[[#This Row],[Gateway_clean]]),"IN")," ",1),"")</f>
        <v>INNSA1</v>
      </c>
      <c r="P200" t="str">
        <f>SUBSTITUTE(tblShipments4[[#This Row],[Gateway]], CHAR(10), " ")</f>
        <v xml:space="preserve">AWB No. Gateway Port Gateway EGM No. Gateway EGM Date Gateway Site ID Error Code N.A.  INNSA1  133033  2017-08-10 00:00:00.0  INNSA1  S </v>
      </c>
      <c r="Q200" t="s">
        <v>157</v>
      </c>
    </row>
    <row r="201" spans="1:17" x14ac:dyDescent="0.35">
      <c r="A201" t="s">
        <v>8</v>
      </c>
      <c r="B201">
        <v>7935521</v>
      </c>
      <c r="C201" s="2" t="s">
        <v>239</v>
      </c>
      <c r="D201" s="2" t="str">
        <f>LEFT(TRIM(MID(SUBSTITUTE(tblShipments4[[#This Row],[Details]],CHAR(10)," "), FIND(CHAR(10),tblShipments4[[#This Row],[Details]])+1, 50)), 10)</f>
        <v>0507051360</v>
      </c>
      <c r="E201" t="s">
        <v>245</v>
      </c>
      <c r="F20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1" t="str">
        <f>IF(tblShipments4[[#This Row],[EGM no]]="", "Missing EGM", "EGM Submitted")</f>
        <v>EGM Submitted</v>
      </c>
      <c r="H201" t="str">
        <f>IF(OR(ISNUMBER(SEARCH("Released",tblShipments4[[#This Row],[ROSL]])),
      ISNUMBER(SEARCH("Scroll",tblShipments4[[#This Row],[ROSL]])),
      ISNUMBER(SEARCH("Y",tblShipments4[[#This Row],[ROSL]]))),
   "Released",
   "Not Released")</f>
        <v>Released</v>
      </c>
      <c r="I201" t="str">
        <f>IF(OR(tblShipments4[[#This Row],[EGM no]]="", tblShipments4[[#This Row],[EGM no]]="N.A."), "Not Submitted", "Submitted")</f>
        <v>Submitted</v>
      </c>
      <c r="J201" t="str">
        <f>IF(LEFT(tblShipments4[[#This Row],[Gateway_Extracted]],2)="IN","Valid","Invalid")</f>
        <v>Valid</v>
      </c>
      <c r="K201" t="s">
        <v>228</v>
      </c>
      <c r="L201" t="s">
        <v>224</v>
      </c>
      <c r="M201" t="s">
        <v>13</v>
      </c>
      <c r="N201" t="s">
        <v>246</v>
      </c>
      <c r="O201" t="str">
        <f>IFERROR("IN" &amp; _xlfn.TEXTBEFORE(_xlfn.TEXTAFTER(UPPER(tblShipments4[[#This Row],[Gateway_clean]]),"IN")," ",1),"")</f>
        <v>INNSA1</v>
      </c>
      <c r="P201" t="str">
        <f>SUBSTITUTE(tblShipments4[[#This Row],[Gateway]], CHAR(10), " ")</f>
        <v xml:space="preserve">AWB No. Gateway Port Gateway EGM No. Gateway EGM Date Gateway Site ID Error Code N.A.  INNSA1  N.A.  N.A.  N.A.  N.A. </v>
      </c>
      <c r="Q201" t="s">
        <v>26</v>
      </c>
    </row>
    <row r="202" spans="1:17" x14ac:dyDescent="0.35">
      <c r="A202" t="s">
        <v>8</v>
      </c>
      <c r="B202">
        <v>7961683</v>
      </c>
      <c r="C202" s="2" t="s">
        <v>255</v>
      </c>
      <c r="D202" s="2" t="str">
        <f>LEFT(TRIM(MID(SUBSTITUTE(tblShipments4[[#This Row],[Details]],CHAR(10)," "), FIND(CHAR(10),tblShipments4[[#This Row],[Details]])+1, 50)), 10)</f>
        <v>0507051360</v>
      </c>
      <c r="E202" t="s">
        <v>264</v>
      </c>
      <c r="F20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2" t="str">
        <f>IF(tblShipments4[[#This Row],[EGM no]]="", "Missing EGM", "EGM Submitted")</f>
        <v>EGM Submitted</v>
      </c>
      <c r="H202" t="str">
        <f>IF(OR(ISNUMBER(SEARCH("Released",tblShipments4[[#This Row],[ROSL]])),
      ISNUMBER(SEARCH("Scroll",tblShipments4[[#This Row],[ROSL]])),
      ISNUMBER(SEARCH("Y",tblShipments4[[#This Row],[ROSL]]))),
   "Released",
   "Not Released")</f>
        <v>Released</v>
      </c>
      <c r="I202" t="str">
        <f>IF(OR(tblShipments4[[#This Row],[EGM no]]="", tblShipments4[[#This Row],[EGM no]]="N.A."), "Not Submitted", "Submitted")</f>
        <v>Submitted</v>
      </c>
      <c r="J202" t="str">
        <f>IF(LEFT(tblShipments4[[#This Row],[Gateway_Extracted]],2)="IN","Valid","Invalid")</f>
        <v>Valid</v>
      </c>
      <c r="K202" t="s">
        <v>228</v>
      </c>
      <c r="L202" t="s">
        <v>224</v>
      </c>
      <c r="M202" t="s">
        <v>13</v>
      </c>
      <c r="N202" t="s">
        <v>265</v>
      </c>
      <c r="O202" t="str">
        <f>IFERROR("IN" &amp; _xlfn.TEXTBEFORE(_xlfn.TEXTAFTER(UPPER(tblShipments4[[#This Row],[Gateway_clean]]),"IN")," ",1),"")</f>
        <v>INNSA1</v>
      </c>
      <c r="P202" t="str">
        <f>SUBSTITUTE(tblShipments4[[#This Row],[Gateway]], CHAR(10), " ")</f>
        <v xml:space="preserve">AWB No. Gateway Port Gateway EGM No. Gateway EGM Date Gateway Site ID Error Code N.A.  INNSA1  133227  2017-08-14 00:00:00.0  INNSA1  S </v>
      </c>
      <c r="Q202" t="s">
        <v>266</v>
      </c>
    </row>
    <row r="203" spans="1:17" x14ac:dyDescent="0.35">
      <c r="A203" t="s">
        <v>8</v>
      </c>
      <c r="B203">
        <v>1192194</v>
      </c>
      <c r="C203" s="2" t="s">
        <v>1298</v>
      </c>
      <c r="D203" s="2" t="str">
        <f>LEFT(TRIM(MID(SUBSTITUTE(tblShipments4[[#This Row],[Details]],CHAR(10)," "), FIND(CHAR(10),tblShipments4[[#This Row],[Details]])+1, 50)), 10)</f>
        <v>0507051360</v>
      </c>
      <c r="E203" t="s">
        <v>1304</v>
      </c>
      <c r="F20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3" t="str">
        <f>IF(tblShipments4[[#This Row],[EGM no]]="", "Missing EGM", "EGM Submitted")</f>
        <v>EGM Submitted</v>
      </c>
      <c r="H203" t="str">
        <f>IF(OR(ISNUMBER(SEARCH("Released",tblShipments4[[#This Row],[ROSL]])),
      ISNUMBER(SEARCH("Scroll",tblShipments4[[#This Row],[ROSL]])),
      ISNUMBER(SEARCH("Y",tblShipments4[[#This Row],[ROSL]]))),
   "Released",
   "Not Released")</f>
        <v>Released</v>
      </c>
      <c r="I203" t="str">
        <f>IF(OR(tblShipments4[[#This Row],[EGM no]]="", tblShipments4[[#This Row],[EGM no]]="N.A."), "Not Submitted", "Submitted")</f>
        <v>Submitted</v>
      </c>
      <c r="J203" t="str">
        <f>IF(LEFT(tblShipments4[[#This Row],[Gateway_Extracted]],2)="IN","Valid","Invalid")</f>
        <v>Valid</v>
      </c>
      <c r="K203" t="s">
        <v>1305</v>
      </c>
      <c r="L203" t="s">
        <v>1306</v>
      </c>
      <c r="M203" t="s">
        <v>13</v>
      </c>
      <c r="N203" t="s">
        <v>1307</v>
      </c>
      <c r="O203" t="str">
        <f>IFERROR("IN" &amp; _xlfn.TEXTBEFORE(_xlfn.TEXTAFTER(UPPER(tblShipments4[[#This Row],[Gateway_clean]]),"IN")," ",1),"")</f>
        <v>INNSA1</v>
      </c>
      <c r="P203" t="str">
        <f>SUBSTITUTE(tblShipments4[[#This Row],[Gateway]], CHAR(10), " ")</f>
        <v xml:space="preserve">AWB No. Gateway Port Gateway EGM No. Gateway EGM Date Gateway Site ID Error Code N.A.  INNSA1  139647  2017-11-28 00:00:00.0  INNSA1  S </v>
      </c>
      <c r="Q203" t="s">
        <v>1308</v>
      </c>
    </row>
    <row r="204" spans="1:17" x14ac:dyDescent="0.35">
      <c r="A204" t="s">
        <v>8</v>
      </c>
      <c r="B204">
        <v>8584007</v>
      </c>
      <c r="C204" s="2" t="s">
        <v>657</v>
      </c>
      <c r="D204" s="2" t="str">
        <f>LEFT(TRIM(MID(SUBSTITUTE(tblShipments4[[#This Row],[Details]],CHAR(10)," "), FIND(CHAR(10),tblShipments4[[#This Row],[Details]])+1, 50)), 10)</f>
        <v>0507051360</v>
      </c>
      <c r="E204" t="s">
        <v>673</v>
      </c>
      <c r="F20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4" t="str">
        <f>IF(tblShipments4[[#This Row],[EGM no]]="", "Missing EGM", "EGM Submitted")</f>
        <v>EGM Submitted</v>
      </c>
      <c r="H204" t="str">
        <f>IF(OR(ISNUMBER(SEARCH("Released",tblShipments4[[#This Row],[ROSL]])),
      ISNUMBER(SEARCH("Scroll",tblShipments4[[#This Row],[ROSL]])),
      ISNUMBER(SEARCH("Y",tblShipments4[[#This Row],[ROSL]]))),
   "Released",
   "Not Released")</f>
        <v>Released</v>
      </c>
      <c r="I204" t="str">
        <f>IF(OR(tblShipments4[[#This Row],[EGM no]]="", tblShipments4[[#This Row],[EGM no]]="N.A."), "Not Submitted", "Submitted")</f>
        <v>Submitted</v>
      </c>
      <c r="J204" t="str">
        <f>IF(LEFT(tblShipments4[[#This Row],[Gateway_Extracted]],2)="IN","Valid","Invalid")</f>
        <v>Valid</v>
      </c>
      <c r="K204" t="s">
        <v>674</v>
      </c>
      <c r="L204" t="s">
        <v>655</v>
      </c>
      <c r="M204" t="s">
        <v>13</v>
      </c>
      <c r="N204" t="s">
        <v>675</v>
      </c>
      <c r="O204" t="str">
        <f>IFERROR("IN" &amp; _xlfn.TEXTBEFORE(_xlfn.TEXTAFTER(UPPER(tblShipments4[[#This Row],[Gateway_clean]]),"IN")," ",1),"")</f>
        <v>INNSA1</v>
      </c>
      <c r="P204" t="str">
        <f>SUBSTITUTE(tblShipments4[[#This Row],[Gateway]], CHAR(10), " ")</f>
        <v xml:space="preserve">AWB No. Gateway Port Gateway EGM No. Gateway EGM Date Gateway Site ID Error Code N.A.  INNSA1  135086  2017-09-14 00:00:00.0  INNSA1  S </v>
      </c>
      <c r="Q204" t="s">
        <v>676</v>
      </c>
    </row>
    <row r="205" spans="1:17" x14ac:dyDescent="0.35">
      <c r="A205" t="s">
        <v>8</v>
      </c>
      <c r="B205">
        <v>7826835</v>
      </c>
      <c r="C205" s="2" t="s">
        <v>181</v>
      </c>
      <c r="D205" s="2" t="str">
        <f>LEFT(TRIM(MID(SUBSTITUTE(tblShipments4[[#This Row],[Details]],CHAR(10)," "), FIND(CHAR(10),tblShipments4[[#This Row],[Details]])+1, 50)), 10)</f>
        <v>0507068645</v>
      </c>
      <c r="E205" t="s">
        <v>187</v>
      </c>
      <c r="F20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5" t="str">
        <f>IF(tblShipments4[[#This Row],[EGM no]]="", "Missing EGM", "EGM Submitted")</f>
        <v>EGM Submitted</v>
      </c>
      <c r="H205" t="str">
        <f>IF(OR(ISNUMBER(SEARCH("Released",tblShipments4[[#This Row],[ROSL]])),
      ISNUMBER(SEARCH("Scroll",tblShipments4[[#This Row],[ROSL]])),
      ISNUMBER(SEARCH("Y",tblShipments4[[#This Row],[ROSL]]))),
   "Released",
   "Not Released")</f>
        <v>Released</v>
      </c>
      <c r="I205" t="str">
        <f>IF(OR(tblShipments4[[#This Row],[EGM no]]="", tblShipments4[[#This Row],[EGM no]]="N.A."), "Not Submitted", "Submitted")</f>
        <v>Submitted</v>
      </c>
      <c r="J205" t="str">
        <f>IF(LEFT(tblShipments4[[#This Row],[Gateway_Extracted]],2)="IN","Valid","Invalid")</f>
        <v>Valid</v>
      </c>
      <c r="K205" t="s">
        <v>188</v>
      </c>
      <c r="L205" t="s">
        <v>189</v>
      </c>
      <c r="M205" t="s">
        <v>13</v>
      </c>
      <c r="N205" t="s">
        <v>190</v>
      </c>
      <c r="O205" t="str">
        <f>IFERROR("IN" &amp; _xlfn.TEXTBEFORE(_xlfn.TEXTAFTER(UPPER(tblShipments4[[#This Row],[Gateway_clean]]),"IN")," ",1),"")</f>
        <v>INNSA1</v>
      </c>
      <c r="P205" t="str">
        <f>SUBSTITUTE(tblShipments4[[#This Row],[Gateway]], CHAR(10), " ")</f>
        <v xml:space="preserve">AWB No. Gateway Port Gateway EGM No. Gateway EGM Date Gateway Site ID Error Code N.A.  INNSA1  N.A.  N.A.  N.A.  N.A. </v>
      </c>
      <c r="Q205" t="s">
        <v>26</v>
      </c>
    </row>
    <row r="206" spans="1:17" x14ac:dyDescent="0.35">
      <c r="A206" t="s">
        <v>8</v>
      </c>
      <c r="B206">
        <v>8340706</v>
      </c>
      <c r="C206" s="2" t="s">
        <v>498</v>
      </c>
      <c r="D206" s="2" t="str">
        <f>LEFT(TRIM(MID(SUBSTITUTE(tblShipments4[[#This Row],[Details]],CHAR(10)," "), FIND(CHAR(10),tblShipments4[[#This Row],[Details]])+1, 50)), 10)</f>
        <v>0507081668</v>
      </c>
      <c r="E206" t="s">
        <v>527</v>
      </c>
      <c r="F20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6" t="str">
        <f>IF(tblShipments4[[#This Row],[EGM no]]="", "Missing EGM", "EGM Submitted")</f>
        <v>EGM Submitted</v>
      </c>
      <c r="H206" t="str">
        <f>IF(OR(ISNUMBER(SEARCH("Released",tblShipments4[[#This Row],[ROSL]])),
      ISNUMBER(SEARCH("Scroll",tblShipments4[[#This Row],[ROSL]])),
      ISNUMBER(SEARCH("Y",tblShipments4[[#This Row],[ROSL]]))),
   "Released",
   "Not Released")</f>
        <v>Released</v>
      </c>
      <c r="I206" t="str">
        <f>IF(OR(tblShipments4[[#This Row],[EGM no]]="", tblShipments4[[#This Row],[EGM no]]="N.A."), "Not Submitted", "Submitted")</f>
        <v>Submitted</v>
      </c>
      <c r="J206" t="str">
        <f>IF(LEFT(tblShipments4[[#This Row],[Gateway_Extracted]],2)="IN","Valid","Invalid")</f>
        <v>Valid</v>
      </c>
      <c r="K206" t="s">
        <v>528</v>
      </c>
      <c r="L206" t="s">
        <v>529</v>
      </c>
      <c r="M206" t="s">
        <v>13</v>
      </c>
      <c r="N206" t="s">
        <v>530</v>
      </c>
      <c r="O206" t="str">
        <f>IFERROR("IN" &amp; _xlfn.TEXTBEFORE(_xlfn.TEXTAFTER(UPPER(tblShipments4[[#This Row],[Gateway_clean]]),"IN")," ",1),"")</f>
        <v>INNSA1</v>
      </c>
      <c r="P206" t="str">
        <f>SUBSTITUTE(tblShipments4[[#This Row],[Gateway]], CHAR(10), " ")</f>
        <v xml:space="preserve">AWB No. Gateway Port Gateway EGM No. Gateway EGM Date Gateway Site ID Error Code N.A.  INNSA1  137304  2017-10-23 00:00:00.0  INNSA1  S </v>
      </c>
      <c r="Q206" t="s">
        <v>531</v>
      </c>
    </row>
    <row r="207" spans="1:17" x14ac:dyDescent="0.35">
      <c r="A207" t="s">
        <v>8</v>
      </c>
      <c r="B207">
        <v>7616933</v>
      </c>
      <c r="C207" s="2" t="s">
        <v>27</v>
      </c>
      <c r="D207" s="2" t="str">
        <f>LEFT(TRIM(MID(SUBSTITUTE(tblShipments4[[#This Row],[Details]],CHAR(10)," "), FIND(CHAR(10),tblShipments4[[#This Row],[Details]])+1, 50)), 10)</f>
        <v>0508003300</v>
      </c>
      <c r="E207" t="s">
        <v>33</v>
      </c>
      <c r="F20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7" t="str">
        <f>IF(tblShipments4[[#This Row],[EGM no]]="", "Missing EGM", "EGM Submitted")</f>
        <v>EGM Submitted</v>
      </c>
      <c r="H207" t="str">
        <f>IF(OR(ISNUMBER(SEARCH("Released",tblShipments4[[#This Row],[ROSL]])),
      ISNUMBER(SEARCH("Scroll",tblShipments4[[#This Row],[ROSL]])),
      ISNUMBER(SEARCH("Y",tblShipments4[[#This Row],[ROSL]]))),
   "Released",
   "Not Released")</f>
        <v>Released</v>
      </c>
      <c r="I207" t="str">
        <f>IF(OR(tblShipments4[[#This Row],[EGM no]]="", tblShipments4[[#This Row],[EGM no]]="N.A."), "Not Submitted", "Submitted")</f>
        <v>Submitted</v>
      </c>
      <c r="J207" t="str">
        <f>IF(LEFT(tblShipments4[[#This Row],[Gateway_Extracted]],2)="IN","Valid","Invalid")</f>
        <v>Valid</v>
      </c>
      <c r="K207" t="s">
        <v>34</v>
      </c>
      <c r="L207" t="s">
        <v>35</v>
      </c>
      <c r="M207" t="s">
        <v>13</v>
      </c>
      <c r="N207" t="s">
        <v>36</v>
      </c>
      <c r="O207" t="str">
        <f>IFERROR("IN" &amp; _xlfn.TEXTBEFORE(_xlfn.TEXTAFTER(UPPER(tblShipments4[[#This Row],[Gateway_clean]]),"IN")," ",1),"")</f>
        <v>INNSA1</v>
      </c>
      <c r="P207" t="str">
        <f>SUBSTITUTE(tblShipments4[[#This Row],[Gateway]], CHAR(10), " ")</f>
        <v xml:space="preserve">AWB No. Gateway Port Gateway EGM No. Gateway EGM Date Gateway Site ID Error Code N.A.  INNSA1  132025  2017-07-24 00:00:00.0  INNSA1  S </v>
      </c>
      <c r="Q207" t="s">
        <v>37</v>
      </c>
    </row>
    <row r="208" spans="1:17" x14ac:dyDescent="0.35">
      <c r="A208" t="s">
        <v>8</v>
      </c>
      <c r="B208">
        <v>7642279</v>
      </c>
      <c r="C208" s="2" t="s">
        <v>38</v>
      </c>
      <c r="D208" s="2" t="str">
        <f>LEFT(TRIM(MID(SUBSTITUTE(tblShipments4[[#This Row],[Details]],CHAR(10)," "), FIND(CHAR(10),tblShipments4[[#This Row],[Details]])+1, 50)), 10)</f>
        <v>0508003300</v>
      </c>
      <c r="E208" t="s">
        <v>59</v>
      </c>
      <c r="F20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8" t="str">
        <f>IF(tblShipments4[[#This Row],[EGM no]]="", "Missing EGM", "EGM Submitted")</f>
        <v>EGM Submitted</v>
      </c>
      <c r="H208" t="str">
        <f>IF(OR(ISNUMBER(SEARCH("Released",tblShipments4[[#This Row],[ROSL]])),
      ISNUMBER(SEARCH("Scroll",tblShipments4[[#This Row],[ROSL]])),
      ISNUMBER(SEARCH("Y",tblShipments4[[#This Row],[ROSL]]))),
   "Released",
   "Not Released")</f>
        <v>Released</v>
      </c>
      <c r="I208" t="str">
        <f>IF(OR(tblShipments4[[#This Row],[EGM no]]="", tblShipments4[[#This Row],[EGM no]]="N.A."), "Not Submitted", "Submitted")</f>
        <v>Submitted</v>
      </c>
      <c r="J208" t="str">
        <f>IF(LEFT(tblShipments4[[#This Row],[Gateway_Extracted]],2)="IN","Valid","Invalid")</f>
        <v>Valid</v>
      </c>
      <c r="K208" t="s">
        <v>49</v>
      </c>
      <c r="L208" t="s">
        <v>60</v>
      </c>
      <c r="M208" t="s">
        <v>13</v>
      </c>
      <c r="N208" t="s">
        <v>61</v>
      </c>
      <c r="O208" t="str">
        <f>IFERROR("IN" &amp; _xlfn.TEXTBEFORE(_xlfn.TEXTAFTER(UPPER(tblShipments4[[#This Row],[Gateway_clean]]),"IN")," ",1),"")</f>
        <v>INNSA1</v>
      </c>
      <c r="P208" t="str">
        <f>SUBSTITUTE(tblShipments4[[#This Row],[Gateway]], CHAR(10), " ")</f>
        <v xml:space="preserve">AWB No. Gateway Port Gateway EGM No. Gateway EGM Date Gateway Site ID Error Code N.A.  INNSA1  131685  2017-07-18 00:00:00.0  INNSA1  S </v>
      </c>
      <c r="Q208" t="s">
        <v>56</v>
      </c>
    </row>
    <row r="209" spans="1:17" x14ac:dyDescent="0.35">
      <c r="A209" t="s">
        <v>8</v>
      </c>
      <c r="B209">
        <v>7641415</v>
      </c>
      <c r="C209" s="2" t="s">
        <v>38</v>
      </c>
      <c r="D209" s="2" t="str">
        <f>LEFT(TRIM(MID(SUBSTITUTE(tblShipments4[[#This Row],[Details]],CHAR(10)," "), FIND(CHAR(10),tblShipments4[[#This Row],[Details]])+1, 50)), 10)</f>
        <v>0508003300</v>
      </c>
      <c r="E209" t="s">
        <v>57</v>
      </c>
      <c r="F20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09" t="str">
        <f>IF(tblShipments4[[#This Row],[EGM no]]="", "Missing EGM", "EGM Submitted")</f>
        <v>EGM Submitted</v>
      </c>
      <c r="H209" t="str">
        <f>IF(OR(ISNUMBER(SEARCH("Released",tblShipments4[[#This Row],[ROSL]])),
      ISNUMBER(SEARCH("Scroll",tblShipments4[[#This Row],[ROSL]])),
      ISNUMBER(SEARCH("Y",tblShipments4[[#This Row],[ROSL]]))),
   "Released",
   "Not Released")</f>
        <v>Released</v>
      </c>
      <c r="I209" t="str">
        <f>IF(OR(tblShipments4[[#This Row],[EGM no]]="", tblShipments4[[#This Row],[EGM no]]="N.A."), "Not Submitted", "Submitted")</f>
        <v>Submitted</v>
      </c>
      <c r="J209" t="str">
        <f>IF(LEFT(tblShipments4[[#This Row],[Gateway_Extracted]],2)="IN","Valid","Invalid")</f>
        <v>Valid</v>
      </c>
      <c r="K209" t="s">
        <v>49</v>
      </c>
      <c r="L209" t="s">
        <v>54</v>
      </c>
      <c r="M209" t="s">
        <v>13</v>
      </c>
      <c r="N209" t="s">
        <v>58</v>
      </c>
      <c r="O209" t="str">
        <f>IFERROR("IN" &amp; _xlfn.TEXTBEFORE(_xlfn.TEXTAFTER(UPPER(tblShipments4[[#This Row],[Gateway_clean]]),"IN")," ",1),"")</f>
        <v>INNSA1</v>
      </c>
      <c r="P209" t="str">
        <f>SUBSTITUTE(tblShipments4[[#This Row],[Gateway]], CHAR(10), " ")</f>
        <v xml:space="preserve">AWB No. Gateway Port Gateway EGM No. Gateway EGM Date Gateway Site ID Error Code N.A.  INNSA1  131685  2017-07-18 00:00:00.0  INNSA1  S </v>
      </c>
      <c r="Q209" t="s">
        <v>56</v>
      </c>
    </row>
    <row r="210" spans="1:17" x14ac:dyDescent="0.35">
      <c r="A210" t="s">
        <v>8</v>
      </c>
      <c r="B210">
        <v>7641404</v>
      </c>
      <c r="C210" s="2" t="s">
        <v>38</v>
      </c>
      <c r="D210" s="2" t="str">
        <f>LEFT(TRIM(MID(SUBSTITUTE(tblShipments4[[#This Row],[Details]],CHAR(10)," "), FIND(CHAR(10),tblShipments4[[#This Row],[Details]])+1, 50)), 10)</f>
        <v>0508003300</v>
      </c>
      <c r="E210" t="s">
        <v>53</v>
      </c>
      <c r="F21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0" t="str">
        <f>IF(tblShipments4[[#This Row],[EGM no]]="", "Missing EGM", "EGM Submitted")</f>
        <v>EGM Submitted</v>
      </c>
      <c r="H210" t="str">
        <f>IF(OR(ISNUMBER(SEARCH("Released",tblShipments4[[#This Row],[ROSL]])),
      ISNUMBER(SEARCH("Scroll",tblShipments4[[#This Row],[ROSL]])),
      ISNUMBER(SEARCH("Y",tblShipments4[[#This Row],[ROSL]]))),
   "Released",
   "Not Released")</f>
        <v>Released</v>
      </c>
      <c r="I210" t="str">
        <f>IF(OR(tblShipments4[[#This Row],[EGM no]]="", tblShipments4[[#This Row],[EGM no]]="N.A."), "Not Submitted", "Submitted")</f>
        <v>Submitted</v>
      </c>
      <c r="J210" t="str">
        <f>IF(LEFT(tblShipments4[[#This Row],[Gateway_Extracted]],2)="IN","Valid","Invalid")</f>
        <v>Valid</v>
      </c>
      <c r="K210" t="s">
        <v>49</v>
      </c>
      <c r="L210" t="s">
        <v>54</v>
      </c>
      <c r="M210" t="s">
        <v>13</v>
      </c>
      <c r="N210" t="s">
        <v>55</v>
      </c>
      <c r="O210" t="str">
        <f>IFERROR("IN" &amp; _xlfn.TEXTBEFORE(_xlfn.TEXTAFTER(UPPER(tblShipments4[[#This Row],[Gateway_clean]]),"IN")," ",1),"")</f>
        <v>INNSA1</v>
      </c>
      <c r="P210" t="str">
        <f>SUBSTITUTE(tblShipments4[[#This Row],[Gateway]], CHAR(10), " ")</f>
        <v xml:space="preserve">AWB No. Gateway Port Gateway EGM No. Gateway EGM Date Gateway Site ID Error Code N.A.  INNSA1  131685  2017-07-18 00:00:00.0  INNSA1  S </v>
      </c>
      <c r="Q210" t="s">
        <v>56</v>
      </c>
    </row>
    <row r="211" spans="1:17" x14ac:dyDescent="0.35">
      <c r="A211" t="s">
        <v>8</v>
      </c>
      <c r="B211">
        <v>8794182</v>
      </c>
      <c r="C211" s="2" t="s">
        <v>798</v>
      </c>
      <c r="D211" s="2" t="str">
        <f>LEFT(TRIM(MID(SUBSTITUTE(tblShipments4[[#This Row],[Details]],CHAR(10)," "), FIND(CHAR(10),tblShipments4[[#This Row],[Details]])+1, 50)), 10)</f>
        <v>0508003300</v>
      </c>
      <c r="E211" t="s">
        <v>799</v>
      </c>
      <c r="F21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1" t="str">
        <f>IF(tblShipments4[[#This Row],[EGM no]]="", "Missing EGM", "EGM Submitted")</f>
        <v>EGM Submitted</v>
      </c>
      <c r="H211" t="str">
        <f>IF(OR(ISNUMBER(SEARCH("Released",tblShipments4[[#This Row],[ROSL]])),
      ISNUMBER(SEARCH("Scroll",tblShipments4[[#This Row],[ROSL]])),
      ISNUMBER(SEARCH("Y",tblShipments4[[#This Row],[ROSL]]))),
   "Released",
   "Not Released")</f>
        <v>Released</v>
      </c>
      <c r="I211" t="str">
        <f>IF(OR(tblShipments4[[#This Row],[EGM no]]="", tblShipments4[[#This Row],[EGM no]]="N.A."), "Not Submitted", "Submitted")</f>
        <v>Submitted</v>
      </c>
      <c r="J211" t="str">
        <f>IF(LEFT(tblShipments4[[#This Row],[Gateway_Extracted]],2)="IN","Valid","Invalid")</f>
        <v>Valid</v>
      </c>
      <c r="K211" t="s">
        <v>800</v>
      </c>
      <c r="L211" t="s">
        <v>801</v>
      </c>
      <c r="M211" t="s">
        <v>13</v>
      </c>
      <c r="N211" t="s">
        <v>802</v>
      </c>
      <c r="O211" t="str">
        <f>IFERROR("IN" &amp; _xlfn.TEXTBEFORE(_xlfn.TEXTAFTER(UPPER(tblShipments4[[#This Row],[Gateway_clean]]),"IN")," ",1),"")</f>
        <v>INNSA1</v>
      </c>
      <c r="P211" t="str">
        <f>SUBSTITUTE(tblShipments4[[#This Row],[Gateway]], CHAR(10), " ")</f>
        <v xml:space="preserve">AWB No. Gateway Port Gateway EGM No. Gateway EGM Date Gateway Site ID Error Code N.A.  INNSA1  135731  2017-09-25 00:00:00.0  INNSA1  S </v>
      </c>
      <c r="Q211" t="s">
        <v>803</v>
      </c>
    </row>
    <row r="212" spans="1:17" x14ac:dyDescent="0.35">
      <c r="A212" t="s">
        <v>8</v>
      </c>
      <c r="B212">
        <v>9565498</v>
      </c>
      <c r="C212" s="2" t="s">
        <v>1092</v>
      </c>
      <c r="D212" s="2" t="str">
        <f>LEFT(TRIM(MID(SUBSTITUTE(tblShipments4[[#This Row],[Details]],CHAR(10)," "), FIND(CHAR(10),tblShipments4[[#This Row],[Details]])+1, 50)), 10)</f>
        <v>0508028078</v>
      </c>
      <c r="E212" t="s">
        <v>1093</v>
      </c>
      <c r="F21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2" t="str">
        <f>IF(tblShipments4[[#This Row],[EGM no]]="", "Missing EGM", "EGM Submitted")</f>
        <v>EGM Submitted</v>
      </c>
      <c r="H212" t="str">
        <f>IF(OR(ISNUMBER(SEARCH("Released",tblShipments4[[#This Row],[ROSL]])),
      ISNUMBER(SEARCH("Scroll",tblShipments4[[#This Row],[ROSL]])),
      ISNUMBER(SEARCH("Y",tblShipments4[[#This Row],[ROSL]]))),
   "Released",
   "Not Released")</f>
        <v>Released</v>
      </c>
      <c r="I212" t="str">
        <f>IF(OR(tblShipments4[[#This Row],[EGM no]]="", tblShipments4[[#This Row],[EGM no]]="N.A."), "Not Submitted", "Submitted")</f>
        <v>Submitted</v>
      </c>
      <c r="J212" t="str">
        <f>IF(LEFT(tblShipments4[[#This Row],[Gateway_Extracted]],2)="IN","Valid","Invalid")</f>
        <v>Valid</v>
      </c>
      <c r="K212" t="s">
        <v>1094</v>
      </c>
      <c r="L212" t="s">
        <v>1095</v>
      </c>
      <c r="M212" t="s">
        <v>31</v>
      </c>
      <c r="N212" t="s">
        <v>1096</v>
      </c>
      <c r="O212" t="str">
        <f>IFERROR("IN" &amp; _xlfn.TEXTBEFORE(_xlfn.TEXTAFTER(UPPER(tblShipments4[[#This Row],[Gateway_clean]]),"IN")," ",1),"")</f>
        <v>INNSA1</v>
      </c>
      <c r="P212" t="str">
        <f>SUBSTITUTE(tblShipments4[[#This Row],[Gateway]], CHAR(10), " ")</f>
        <v xml:space="preserve">AWB No. Gateway Port Gateway EGM No. Gateway EGM Date Gateway Site ID Error Code N.A.  INNSA1  137453  2017-10-24 00:00:00.0  INNSA1  C </v>
      </c>
      <c r="Q212" t="s">
        <v>1097</v>
      </c>
    </row>
    <row r="213" spans="1:17" x14ac:dyDescent="0.35">
      <c r="A213" t="s">
        <v>8</v>
      </c>
      <c r="B213">
        <v>1512374</v>
      </c>
      <c r="C213" s="2" t="s">
        <v>1499</v>
      </c>
      <c r="D213" s="2" t="str">
        <f>LEFT(TRIM(MID(SUBSTITUTE(tblShipments4[[#This Row],[Details]],CHAR(10)," "), FIND(CHAR(10),tblShipments4[[#This Row],[Details]])+1, 50)), 10)</f>
        <v>0508028078</v>
      </c>
      <c r="E213" t="s">
        <v>1504</v>
      </c>
      <c r="F21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3" t="str">
        <f>IF(tblShipments4[[#This Row],[EGM no]]="", "Missing EGM", "EGM Submitted")</f>
        <v>EGM Submitted</v>
      </c>
      <c r="H213" t="str">
        <f>IF(OR(ISNUMBER(SEARCH("Released",tblShipments4[[#This Row],[ROSL]])),
      ISNUMBER(SEARCH("Scroll",tblShipments4[[#This Row],[ROSL]])),
      ISNUMBER(SEARCH("Y",tblShipments4[[#This Row],[ROSL]]))),
   "Released",
   "Not Released")</f>
        <v>Released</v>
      </c>
      <c r="I213" t="str">
        <f>IF(OR(tblShipments4[[#This Row],[EGM no]]="", tblShipments4[[#This Row],[EGM no]]="N.A."), "Not Submitted", "Submitted")</f>
        <v>Submitted</v>
      </c>
      <c r="J213" t="str">
        <f>IF(LEFT(tblShipments4[[#This Row],[Gateway_Extracted]],2)="IN","Valid","Invalid")</f>
        <v>Valid</v>
      </c>
      <c r="K213" t="s">
        <v>1505</v>
      </c>
      <c r="L213" t="s">
        <v>1506</v>
      </c>
      <c r="M213" t="s">
        <v>13</v>
      </c>
      <c r="N213" t="s">
        <v>1507</v>
      </c>
      <c r="O213" t="str">
        <f>IFERROR("IN" &amp; _xlfn.TEXTBEFORE(_xlfn.TEXTAFTER(UPPER(tblShipments4[[#This Row],[Gateway_clean]]),"IN")," ",1),"")</f>
        <v>INNSA1</v>
      </c>
      <c r="P213" t="str">
        <f>SUBSTITUTE(tblShipments4[[#This Row],[Gateway]], CHAR(10), " ")</f>
        <v xml:space="preserve">AWB No. Gateway Port Gateway EGM No. Gateway EGM Date Gateway Site ID Error Code N.A.  INNSA1  140677  2017-12-14 00:00:00.0  INNSA1  S </v>
      </c>
      <c r="Q213" t="s">
        <v>1464</v>
      </c>
    </row>
    <row r="214" spans="1:17" x14ac:dyDescent="0.35">
      <c r="A214" t="s">
        <v>8</v>
      </c>
      <c r="B214">
        <v>8371290</v>
      </c>
      <c r="C214" s="2" t="s">
        <v>532</v>
      </c>
      <c r="D214" s="2" t="str">
        <f>LEFT(TRIM(MID(SUBSTITUTE(tblShipments4[[#This Row],[Details]],CHAR(10)," "), FIND(CHAR(10),tblShipments4[[#This Row],[Details]])+1, 50)), 10)</f>
        <v>0508073324</v>
      </c>
      <c r="E214" t="s">
        <v>540</v>
      </c>
      <c r="F21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4" t="str">
        <f>IF(tblShipments4[[#This Row],[EGM no]]="", "Missing EGM", "EGM Submitted")</f>
        <v>EGM Submitted</v>
      </c>
      <c r="H214" t="str">
        <f>IF(OR(ISNUMBER(SEARCH("Released",tblShipments4[[#This Row],[ROSL]])),
      ISNUMBER(SEARCH("Scroll",tblShipments4[[#This Row],[ROSL]])),
      ISNUMBER(SEARCH("Y",tblShipments4[[#This Row],[ROSL]]))),
   "Released",
   "Not Released")</f>
        <v>Released</v>
      </c>
      <c r="I214" t="str">
        <f>IF(OR(tblShipments4[[#This Row],[EGM no]]="", tblShipments4[[#This Row],[EGM no]]="N.A."), "Not Submitted", "Submitted")</f>
        <v>Submitted</v>
      </c>
      <c r="J214" t="str">
        <f>IF(LEFT(tblShipments4[[#This Row],[Gateway_Extracted]],2)="IN","Valid","Invalid")</f>
        <v>Valid</v>
      </c>
      <c r="K214" t="s">
        <v>394</v>
      </c>
      <c r="L214" t="s">
        <v>541</v>
      </c>
      <c r="M214" t="s">
        <v>13</v>
      </c>
      <c r="N214" t="s">
        <v>542</v>
      </c>
      <c r="O214" t="str">
        <f>IFERROR("IN" &amp; _xlfn.TEXTBEFORE(_xlfn.TEXTAFTER(UPPER(tblShipments4[[#This Row],[Gateway_clean]]),"IN")," ",1),"")</f>
        <v>INNSA1</v>
      </c>
      <c r="P214" t="str">
        <f>SUBSTITUTE(tblShipments4[[#This Row],[Gateway]], CHAR(10), " ")</f>
        <v xml:space="preserve">AWB No. Gateway Port Gateway EGM No. Gateway EGM Date Gateway Site ID Error Code N.A.  INNSA1  134500  2017-09-04 00:00:00.0  INNSA1  STC </v>
      </c>
      <c r="Q214" t="s">
        <v>543</v>
      </c>
    </row>
    <row r="215" spans="1:17" x14ac:dyDescent="0.35">
      <c r="A215" t="s">
        <v>8</v>
      </c>
      <c r="B215">
        <v>8661641</v>
      </c>
      <c r="C215" s="2" t="s">
        <v>730</v>
      </c>
      <c r="D215" s="2" t="str">
        <f>LEFT(TRIM(MID(SUBSTITUTE(tblShipments4[[#This Row],[Details]],CHAR(10)," "), FIND(CHAR(10),tblShipments4[[#This Row],[Details]])+1, 50)), 10)</f>
        <v>0508075416</v>
      </c>
      <c r="E215" t="s">
        <v>736</v>
      </c>
      <c r="F21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5" t="str">
        <f>IF(tblShipments4[[#This Row],[EGM no]]="", "Missing EGM", "EGM Submitted")</f>
        <v>EGM Submitted</v>
      </c>
      <c r="H215" t="str">
        <f>IF(OR(ISNUMBER(SEARCH("Released",tblShipments4[[#This Row],[ROSL]])),
      ISNUMBER(SEARCH("Scroll",tblShipments4[[#This Row],[ROSL]])),
      ISNUMBER(SEARCH("Y",tblShipments4[[#This Row],[ROSL]]))),
   "Released",
   "Not Released")</f>
        <v>Released</v>
      </c>
      <c r="I215" t="str">
        <f>IF(OR(tblShipments4[[#This Row],[EGM no]]="", tblShipments4[[#This Row],[EGM no]]="N.A."), "Not Submitted", "Submitted")</f>
        <v>Submitted</v>
      </c>
      <c r="J215" t="str">
        <f>IF(LEFT(tblShipments4[[#This Row],[Gateway_Extracted]],2)="IN","Valid","Invalid")</f>
        <v>Valid</v>
      </c>
      <c r="K215" t="s">
        <v>737</v>
      </c>
      <c r="L215" t="s">
        <v>738</v>
      </c>
      <c r="M215" t="s">
        <v>31</v>
      </c>
      <c r="N215" t="s">
        <v>739</v>
      </c>
      <c r="O215" t="str">
        <f>IFERROR("IN" &amp; _xlfn.TEXTBEFORE(_xlfn.TEXTAFTER(UPPER(tblShipments4[[#This Row],[Gateway_clean]]),"IN")," ",1),"")</f>
        <v>INNSA1</v>
      </c>
      <c r="P215" t="str">
        <f>SUBSTITUTE(tblShipments4[[#This Row],[Gateway]], CHAR(10), " ")</f>
        <v xml:space="preserve">AWB No. Gateway Port Gateway EGM No. Gateway EGM Date Gateway Site ID Error Code N.A.  INNSA1  135603  2017-09-22 00:00:00.0  INNSA1  S </v>
      </c>
      <c r="Q215" t="s">
        <v>740</v>
      </c>
    </row>
    <row r="216" spans="1:17" x14ac:dyDescent="0.35">
      <c r="A216" t="s">
        <v>8</v>
      </c>
      <c r="B216">
        <v>8086454</v>
      </c>
      <c r="C216" s="2" t="s">
        <v>334</v>
      </c>
      <c r="D216" s="2" t="str">
        <f>LEFT(TRIM(MID(SUBSTITUTE(tblShipments4[[#This Row],[Details]],CHAR(10)," "), FIND(CHAR(10),tblShipments4[[#This Row],[Details]])+1, 50)), 10)</f>
        <v>0509006191</v>
      </c>
      <c r="E216" t="s">
        <v>335</v>
      </c>
      <c r="F21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6" t="str">
        <f>IF(tblShipments4[[#This Row],[EGM no]]="", "Missing EGM", "EGM Submitted")</f>
        <v>EGM Submitted</v>
      </c>
      <c r="H216" t="str">
        <f>IF(OR(ISNUMBER(SEARCH("Released",tblShipments4[[#This Row],[ROSL]])),
      ISNUMBER(SEARCH("Scroll",tblShipments4[[#This Row],[ROSL]])),
      ISNUMBER(SEARCH("Y",tblShipments4[[#This Row],[ROSL]]))),
   "Released",
   "Not Released")</f>
        <v>Released</v>
      </c>
      <c r="I216" t="str">
        <f>IF(OR(tblShipments4[[#This Row],[EGM no]]="", tblShipments4[[#This Row],[EGM no]]="N.A."), "Not Submitted", "Submitted")</f>
        <v>Submitted</v>
      </c>
      <c r="J216" t="str">
        <f>IF(LEFT(tblShipments4[[#This Row],[Gateway_Extracted]],2)="IN","Valid","Invalid")</f>
        <v>Valid</v>
      </c>
      <c r="K216" t="s">
        <v>336</v>
      </c>
      <c r="L216" t="s">
        <v>337</v>
      </c>
      <c r="M216" t="s">
        <v>31</v>
      </c>
      <c r="N216" t="s">
        <v>338</v>
      </c>
      <c r="O216" t="str">
        <f>IFERROR("IN" &amp; _xlfn.TEXTBEFORE(_xlfn.TEXTAFTER(UPPER(tblShipments4[[#This Row],[Gateway_clean]]),"IN")," ",1),"")</f>
        <v>INNSA1</v>
      </c>
      <c r="P216" t="str">
        <f>SUBSTITUTE(tblShipments4[[#This Row],[Gateway]], CHAR(10), " ")</f>
        <v xml:space="preserve">AWB No. Gateway Port Gateway EGM No. Gateway EGM Date Gateway Site ID Error Code N.A.  INNSA1  133604  2017-08-19 00:00:00.0  INNSA1  S </v>
      </c>
      <c r="Q216" t="s">
        <v>339</v>
      </c>
    </row>
    <row r="217" spans="1:17" x14ac:dyDescent="0.35">
      <c r="A217" t="s">
        <v>8</v>
      </c>
      <c r="B217">
        <v>7796181</v>
      </c>
      <c r="C217" s="2" t="s">
        <v>153</v>
      </c>
      <c r="D217" s="2" t="str">
        <f>LEFT(TRIM(MID(SUBSTITUTE(tblShipments4[[#This Row],[Details]],CHAR(10)," "), FIND(CHAR(10),tblShipments4[[#This Row],[Details]])+1, 50)), 10)</f>
        <v>0509007406</v>
      </c>
      <c r="E217" t="s">
        <v>168</v>
      </c>
      <c r="F21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7" t="str">
        <f>IF(tblShipments4[[#This Row],[EGM no]]="", "Missing EGM", "EGM Submitted")</f>
        <v>EGM Submitted</v>
      </c>
      <c r="H217" t="str">
        <f>IF(OR(ISNUMBER(SEARCH("Released",tblShipments4[[#This Row],[ROSL]])),
      ISNUMBER(SEARCH("Scroll",tblShipments4[[#This Row],[ROSL]])),
      ISNUMBER(SEARCH("Y",tblShipments4[[#This Row],[ROSL]]))),
   "Released",
   "Not Released")</f>
        <v>Released</v>
      </c>
      <c r="I217" t="str">
        <f>IF(OR(tblShipments4[[#This Row],[EGM no]]="", tblShipments4[[#This Row],[EGM no]]="N.A."), "Not Submitted", "Submitted")</f>
        <v>Submitted</v>
      </c>
      <c r="J217" t="str">
        <f>IF(LEFT(tblShipments4[[#This Row],[Gateway_Extracted]],2)="IN","Valid","Invalid")</f>
        <v>Valid</v>
      </c>
      <c r="K217" t="s">
        <v>169</v>
      </c>
      <c r="L217" t="s">
        <v>150</v>
      </c>
      <c r="M217" t="s">
        <v>170</v>
      </c>
      <c r="N217" t="s">
        <v>171</v>
      </c>
      <c r="O217" t="str">
        <f>IFERROR("IN" &amp; _xlfn.TEXTBEFORE(_xlfn.TEXTAFTER(UPPER(tblShipments4[[#This Row],[Gateway_clean]]),"IN")," ",1),"")</f>
        <v>INNSA1</v>
      </c>
      <c r="P217" t="str">
        <f>SUBSTITUTE(tblShipments4[[#This Row],[Gateway]], CHAR(10), " ")</f>
        <v xml:space="preserve">AWB No. Gateway Port Gateway EGM No. Gateway EGM Date Gateway Site ID Error Code N.A.  INNSA1  132812  2017-08-07 00:00:00.0  INNSA1  C </v>
      </c>
      <c r="Q217" t="s">
        <v>116</v>
      </c>
    </row>
    <row r="218" spans="1:17" x14ac:dyDescent="0.35">
      <c r="A218" t="s">
        <v>8</v>
      </c>
      <c r="B218">
        <v>1809398</v>
      </c>
      <c r="C218" s="2" t="s">
        <v>1657</v>
      </c>
      <c r="D218" s="2" t="str">
        <f>LEFT(TRIM(MID(SUBSTITUTE(tblShipments4[[#This Row],[Details]],CHAR(10)," "), FIND(CHAR(10),tblShipments4[[#This Row],[Details]])+1, 50)), 10)</f>
        <v>0509025765</v>
      </c>
      <c r="E218" t="s">
        <v>1662</v>
      </c>
      <c r="F21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8" t="str">
        <f>IF(tblShipments4[[#This Row],[EGM no]]="", "Missing EGM", "EGM Submitted")</f>
        <v>EGM Submitted</v>
      </c>
      <c r="H218" t="str">
        <f>IF(OR(ISNUMBER(SEARCH("Released",tblShipments4[[#This Row],[ROSL]])),
      ISNUMBER(SEARCH("Scroll",tblShipments4[[#This Row],[ROSL]])),
      ISNUMBER(SEARCH("Y",tblShipments4[[#This Row],[ROSL]]))),
   "Released",
   "Not Released")</f>
        <v>Released</v>
      </c>
      <c r="I218" t="str">
        <f>IF(OR(tblShipments4[[#This Row],[EGM no]]="", tblShipments4[[#This Row],[EGM no]]="N.A."), "Not Submitted", "Submitted")</f>
        <v>Submitted</v>
      </c>
      <c r="J218" t="str">
        <f>IF(LEFT(tblShipments4[[#This Row],[Gateway_Extracted]],2)="IN","Valid","Invalid")</f>
        <v>Valid</v>
      </c>
      <c r="K218" t="s">
        <v>1635</v>
      </c>
      <c r="L218" t="s">
        <v>1663</v>
      </c>
      <c r="M218" t="s">
        <v>31</v>
      </c>
      <c r="N218" t="s">
        <v>1664</v>
      </c>
      <c r="O218" t="str">
        <f>IFERROR("IN" &amp; _xlfn.TEXTBEFORE(_xlfn.TEXTAFTER(UPPER(tblShipments4[[#This Row],[Gateway_clean]]),"IN")," ",1),"")</f>
        <v>INNSA1</v>
      </c>
      <c r="P218" t="str">
        <f>SUBSTITUTE(tblShipments4[[#This Row],[Gateway]], CHAR(10), " ")</f>
        <v xml:space="preserve">AWB No. Gateway Port Gateway EGM No. Gateway EGM Date Gateway Site ID Error Code N.A.  INNSA1  141394  2017-12-26 00:00:00.0  INNSA1  S </v>
      </c>
      <c r="Q218" t="s">
        <v>1665</v>
      </c>
    </row>
    <row r="219" spans="1:17" x14ac:dyDescent="0.35">
      <c r="A219" t="s">
        <v>8</v>
      </c>
      <c r="B219">
        <v>7955843</v>
      </c>
      <c r="C219" s="2" t="s">
        <v>255</v>
      </c>
      <c r="D219" s="2" t="str">
        <f>LEFT(TRIM(MID(SUBSTITUTE(tblShipments4[[#This Row],[Details]],CHAR(10)," "), FIND(CHAR(10),tblShipments4[[#This Row],[Details]])+1, 50)), 10)</f>
        <v>0509025765</v>
      </c>
      <c r="E219" t="s">
        <v>256</v>
      </c>
      <c r="F21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19" t="str">
        <f>IF(tblShipments4[[#This Row],[EGM no]]="", "Missing EGM", "EGM Submitted")</f>
        <v>EGM Submitted</v>
      </c>
      <c r="H219" t="str">
        <f>IF(OR(ISNUMBER(SEARCH("Released",tblShipments4[[#This Row],[ROSL]])),
      ISNUMBER(SEARCH("Scroll",tblShipments4[[#This Row],[ROSL]])),
      ISNUMBER(SEARCH("Y",tblShipments4[[#This Row],[ROSL]]))),
   "Released",
   "Not Released")</f>
        <v>Released</v>
      </c>
      <c r="I219" t="str">
        <f>IF(OR(tblShipments4[[#This Row],[EGM no]]="", tblShipments4[[#This Row],[EGM no]]="N.A."), "Not Submitted", "Submitted")</f>
        <v>Submitted</v>
      </c>
      <c r="J219" t="str">
        <f>IF(LEFT(tblShipments4[[#This Row],[Gateway_Extracted]],2)="IN","Valid","Invalid")</f>
        <v>Valid</v>
      </c>
      <c r="K219" t="s">
        <v>257</v>
      </c>
      <c r="L219" t="s">
        <v>258</v>
      </c>
      <c r="M219" t="s">
        <v>13</v>
      </c>
      <c r="N219" t="s">
        <v>259</v>
      </c>
      <c r="O219" t="str">
        <f>IFERROR("IN" &amp; _xlfn.TEXTBEFORE(_xlfn.TEXTAFTER(UPPER(tblShipments4[[#This Row],[Gateway_clean]]),"IN")," ",1),"")</f>
        <v>INNSA1</v>
      </c>
      <c r="P219" t="str">
        <f>SUBSTITUTE(tblShipments4[[#This Row],[Gateway]], CHAR(10), " ")</f>
        <v xml:space="preserve">AWB No. Gateway Port Gateway EGM No. Gateway EGM Date Gateway Site ID Error Code N.A.  INNSA1  N.A.  N.A.  N.A.  N.A. </v>
      </c>
      <c r="Q219" t="s">
        <v>26</v>
      </c>
    </row>
    <row r="220" spans="1:17" x14ac:dyDescent="0.35">
      <c r="A220" t="s">
        <v>8</v>
      </c>
      <c r="B220">
        <v>9137886</v>
      </c>
      <c r="C220" s="2" t="s">
        <v>968</v>
      </c>
      <c r="D220" s="2" t="str">
        <f>LEFT(TRIM(MID(SUBSTITUTE(tblShipments4[[#This Row],[Details]],CHAR(10)," "), FIND(CHAR(10),tblShipments4[[#This Row],[Details]])+1, 50)), 10)</f>
        <v>0509025765</v>
      </c>
      <c r="E220" t="s">
        <v>973</v>
      </c>
      <c r="F22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0" t="str">
        <f>IF(tblShipments4[[#This Row],[EGM no]]="", "Missing EGM", "EGM Submitted")</f>
        <v>EGM Submitted</v>
      </c>
      <c r="H220" t="str">
        <f>IF(OR(ISNUMBER(SEARCH("Released",tblShipments4[[#This Row],[ROSL]])),
      ISNUMBER(SEARCH("Scroll",tblShipments4[[#This Row],[ROSL]])),
      ISNUMBER(SEARCH("Y",tblShipments4[[#This Row],[ROSL]]))),
   "Released",
   "Not Released")</f>
        <v>Released</v>
      </c>
      <c r="I220" t="str">
        <f>IF(OR(tblShipments4[[#This Row],[EGM no]]="", tblShipments4[[#This Row],[EGM no]]="N.A."), "Not Submitted", "Submitted")</f>
        <v>Submitted</v>
      </c>
      <c r="J220" t="str">
        <f>IF(LEFT(tblShipments4[[#This Row],[Gateway_Extracted]],2)="IN","Valid","Invalid")</f>
        <v>Valid</v>
      </c>
      <c r="K220" t="s">
        <v>935</v>
      </c>
      <c r="L220" t="s">
        <v>974</v>
      </c>
      <c r="M220" t="s">
        <v>31</v>
      </c>
      <c r="N220" t="s">
        <v>975</v>
      </c>
      <c r="O220" t="str">
        <f>IFERROR("IN" &amp; _xlfn.TEXTBEFORE(_xlfn.TEXTAFTER(UPPER(tblShipments4[[#This Row],[Gateway_clean]]),"IN")," ",1),"")</f>
        <v>INNSA1</v>
      </c>
      <c r="P220" t="str">
        <f>SUBSTITUTE(tblShipments4[[#This Row],[Gateway]], CHAR(10), " ")</f>
        <v xml:space="preserve">AWB No. Gateway Port Gateway EGM No. Gateway EGM Date Gateway Site ID Error Code N.A.  INNSA1  136648  2017-10-10 00:00:00.0  INNSA1  C </v>
      </c>
      <c r="Q220" t="s">
        <v>976</v>
      </c>
    </row>
    <row r="221" spans="1:17" x14ac:dyDescent="0.35">
      <c r="A221" t="s">
        <v>8</v>
      </c>
      <c r="B221">
        <v>8937407</v>
      </c>
      <c r="C221" s="2" t="s">
        <v>861</v>
      </c>
      <c r="D221" s="2" t="str">
        <f>LEFT(TRIM(MID(SUBSTITUTE(tblShipments4[[#This Row],[Details]],CHAR(10)," "), FIND(CHAR(10),tblShipments4[[#This Row],[Details]])+1, 50)), 10)</f>
        <v>0509035337</v>
      </c>
      <c r="E221" t="s">
        <v>862</v>
      </c>
      <c r="F22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1" t="str">
        <f>IF(tblShipments4[[#This Row],[EGM no]]="", "Missing EGM", "EGM Submitted")</f>
        <v>EGM Submitted</v>
      </c>
      <c r="H221" t="str">
        <f>IF(OR(ISNUMBER(SEARCH("Released",tblShipments4[[#This Row],[ROSL]])),
      ISNUMBER(SEARCH("Scroll",tblShipments4[[#This Row],[ROSL]])),
      ISNUMBER(SEARCH("Y",tblShipments4[[#This Row],[ROSL]]))),
   "Released",
   "Not Released")</f>
        <v>Released</v>
      </c>
      <c r="I221" t="str">
        <f>IF(OR(tblShipments4[[#This Row],[EGM no]]="", tblShipments4[[#This Row],[EGM no]]="N.A."), "Not Submitted", "Submitted")</f>
        <v>Submitted</v>
      </c>
      <c r="J221" t="str">
        <f>IF(LEFT(tblShipments4[[#This Row],[Gateway_Extracted]],2)="IN","Valid","Invalid")</f>
        <v>Valid</v>
      </c>
      <c r="K221" t="s">
        <v>863</v>
      </c>
      <c r="L221" t="s">
        <v>864</v>
      </c>
      <c r="M221" t="s">
        <v>13</v>
      </c>
      <c r="N221" t="s">
        <v>865</v>
      </c>
      <c r="O221" t="str">
        <f>IFERROR("IN" &amp; _xlfn.TEXTBEFORE(_xlfn.TEXTAFTER(UPPER(tblShipments4[[#This Row],[Gateway_clean]]),"IN")," ",1),"")</f>
        <v>INNSA1</v>
      </c>
      <c r="P221" t="str">
        <f>SUBSTITUTE(tblShipments4[[#This Row],[Gateway]], CHAR(10), " ")</f>
        <v xml:space="preserve">AWB No. Gateway Port Gateway EGM No. Gateway EGM Date Gateway Site ID Error Code N.A.  INNSA1  136158  2017-10-03 00:00:00.0  INNSA1  S </v>
      </c>
      <c r="Q221" t="s">
        <v>866</v>
      </c>
    </row>
    <row r="222" spans="1:17" x14ac:dyDescent="0.35">
      <c r="A222" t="s">
        <v>8</v>
      </c>
      <c r="B222">
        <v>7747150</v>
      </c>
      <c r="C222" s="2" t="s">
        <v>106</v>
      </c>
      <c r="D222" s="2" t="str">
        <f>LEFT(TRIM(MID(SUBSTITUTE(tblShipments4[[#This Row],[Details]],CHAR(10)," "), FIND(CHAR(10),tblShipments4[[#This Row],[Details]])+1, 50)), 10)</f>
        <v>0509037844</v>
      </c>
      <c r="E222" t="s">
        <v>113</v>
      </c>
      <c r="F22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2" t="str">
        <f>IF(tblShipments4[[#This Row],[EGM no]]="", "Missing EGM", "EGM Submitted")</f>
        <v>EGM Submitted</v>
      </c>
      <c r="H222" t="str">
        <f>IF(OR(ISNUMBER(SEARCH("Released",tblShipments4[[#This Row],[ROSL]])),
      ISNUMBER(SEARCH("Scroll",tblShipments4[[#This Row],[ROSL]])),
      ISNUMBER(SEARCH("Y",tblShipments4[[#This Row],[ROSL]]))),
   "Released",
   "Not Released")</f>
        <v>Released</v>
      </c>
      <c r="I222" t="str">
        <f>IF(OR(tblShipments4[[#This Row],[EGM no]]="", tblShipments4[[#This Row],[EGM no]]="N.A."), "Not Submitted", "Submitted")</f>
        <v>Submitted</v>
      </c>
      <c r="J222" t="str">
        <f>IF(LEFT(tblShipments4[[#This Row],[Gateway_Extracted]],2)="IN","Valid","Invalid")</f>
        <v>Valid</v>
      </c>
      <c r="K222" t="s">
        <v>89</v>
      </c>
      <c r="L222" t="s">
        <v>114</v>
      </c>
      <c r="M222" t="s">
        <v>13</v>
      </c>
      <c r="N222" t="s">
        <v>115</v>
      </c>
      <c r="O222" t="str">
        <f>IFERROR("IN" &amp; _xlfn.TEXTBEFORE(_xlfn.TEXTAFTER(UPPER(tblShipments4[[#This Row],[Gateway_clean]]),"IN")," ",1),"")</f>
        <v>INNSA1</v>
      </c>
      <c r="P222" t="str">
        <f>SUBSTITUTE(tblShipments4[[#This Row],[Gateway]], CHAR(10), " ")</f>
        <v xml:space="preserve">AWB No. Gateway Port Gateway EGM No. Gateway EGM Date Gateway Site ID Error Code N.A.  INNSA1  132812  2017-08-07 00:00:00.0  INNSA1  C </v>
      </c>
      <c r="Q222" t="s">
        <v>116</v>
      </c>
    </row>
    <row r="223" spans="1:17" x14ac:dyDescent="0.35">
      <c r="A223" t="s">
        <v>8</v>
      </c>
      <c r="B223">
        <v>1071189</v>
      </c>
      <c r="C223" s="2" t="s">
        <v>1251</v>
      </c>
      <c r="D223" s="2" t="str">
        <f>LEFT(TRIM(MID(SUBSTITUTE(tblShipments4[[#This Row],[Details]],CHAR(10)," "), FIND(CHAR(10),tblShipments4[[#This Row],[Details]])+1, 50)), 10)</f>
        <v>0509047491</v>
      </c>
      <c r="E223" t="s">
        <v>1267</v>
      </c>
      <c r="F22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3" t="str">
        <f>IF(tblShipments4[[#This Row],[EGM no]]="", "Missing EGM", "EGM Submitted")</f>
        <v>EGM Submitted</v>
      </c>
      <c r="H223" t="str">
        <f>IF(OR(ISNUMBER(SEARCH("Released",tblShipments4[[#This Row],[ROSL]])),
      ISNUMBER(SEARCH("Scroll",tblShipments4[[#This Row],[ROSL]])),
      ISNUMBER(SEARCH("Y",tblShipments4[[#This Row],[ROSL]]))),
   "Released",
   "Not Released")</f>
        <v>Released</v>
      </c>
      <c r="I223" t="str">
        <f>IF(OR(tblShipments4[[#This Row],[EGM no]]="", tblShipments4[[#This Row],[EGM no]]="N.A."), "Not Submitted", "Submitted")</f>
        <v>Submitted</v>
      </c>
      <c r="J223" t="str">
        <f>IF(LEFT(tblShipments4[[#This Row],[Gateway_Extracted]],2)="IN","Valid","Invalid")</f>
        <v>Valid</v>
      </c>
      <c r="K223" t="s">
        <v>1241</v>
      </c>
      <c r="L223" t="s">
        <v>1268</v>
      </c>
      <c r="M223" t="s">
        <v>13</v>
      </c>
      <c r="N223" t="s">
        <v>1269</v>
      </c>
      <c r="O223" t="str">
        <f>IFERROR("IN" &amp; _xlfn.TEXTBEFORE(_xlfn.TEXTAFTER(UPPER(tblShipments4[[#This Row],[Gateway_clean]]),"IN")," ",1),"")</f>
        <v>INNSA1</v>
      </c>
      <c r="P223" t="str">
        <f>SUBSTITUTE(tblShipments4[[#This Row],[Gateway]], CHAR(10), " ")</f>
        <v xml:space="preserve">AWB No. Gateway Port Gateway EGM No. Gateway EGM Date Gateway Site ID Error Code N.A.  INNSA1  139138  2017-11-20 00:00:00.0  INNSA1  S </v>
      </c>
      <c r="Q223" t="s">
        <v>1270</v>
      </c>
    </row>
    <row r="224" spans="1:17" x14ac:dyDescent="0.35">
      <c r="A224" t="s">
        <v>8</v>
      </c>
      <c r="B224">
        <v>8398137</v>
      </c>
      <c r="C224" s="2" t="s">
        <v>548</v>
      </c>
      <c r="D224" s="2" t="str">
        <f>LEFT(TRIM(MID(SUBSTITUTE(tblShipments4[[#This Row],[Details]],CHAR(10)," "), FIND(CHAR(10),tblShipments4[[#This Row],[Details]])+1, 50)), 10)</f>
        <v>0509056105</v>
      </c>
      <c r="E224" t="s">
        <v>557</v>
      </c>
      <c r="F22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4" t="str">
        <f>IF(tblShipments4[[#This Row],[EGM no]]="", "Missing EGM", "EGM Submitted")</f>
        <v>EGM Submitted</v>
      </c>
      <c r="H224" t="str">
        <f>IF(OR(ISNUMBER(SEARCH("Released",tblShipments4[[#This Row],[ROSL]])),
      ISNUMBER(SEARCH("Scroll",tblShipments4[[#This Row],[ROSL]])),
      ISNUMBER(SEARCH("Y",tblShipments4[[#This Row],[ROSL]]))),
   "Released",
   "Not Released")</f>
        <v>Released</v>
      </c>
      <c r="I224" t="str">
        <f>IF(OR(tblShipments4[[#This Row],[EGM no]]="", tblShipments4[[#This Row],[EGM no]]="N.A."), "Not Submitted", "Submitted")</f>
        <v>Submitted</v>
      </c>
      <c r="J224" t="str">
        <f>IF(LEFT(tblShipments4[[#This Row],[Gateway_Extracted]],2)="IN","Valid","Invalid")</f>
        <v>Valid</v>
      </c>
      <c r="K224" t="s">
        <v>545</v>
      </c>
      <c r="L224" t="s">
        <v>558</v>
      </c>
      <c r="M224" t="s">
        <v>13</v>
      </c>
      <c r="N224" t="s">
        <v>559</v>
      </c>
      <c r="O224" t="str">
        <f>IFERROR("IN" &amp; _xlfn.TEXTBEFORE(_xlfn.TEXTAFTER(UPPER(tblShipments4[[#This Row],[Gateway_clean]]),"IN")," ",1),"")</f>
        <v>INNSA1</v>
      </c>
      <c r="P224" t="str">
        <f>SUBSTITUTE(tblShipments4[[#This Row],[Gateway]], CHAR(10), " ")</f>
        <v xml:space="preserve">AWB No. Gateway Port Gateway EGM No. Gateway EGM Date Gateway Site ID Error Code N.A.  INNSA1  N.A.  N.A.  N.A.  N.A. </v>
      </c>
      <c r="Q224" t="s">
        <v>26</v>
      </c>
    </row>
    <row r="225" spans="1:17" x14ac:dyDescent="0.35">
      <c r="A225" t="s">
        <v>8</v>
      </c>
      <c r="B225">
        <v>1673346</v>
      </c>
      <c r="C225" s="2" t="s">
        <v>1579</v>
      </c>
      <c r="D225" s="2" t="str">
        <f>LEFT(TRIM(MID(SUBSTITUTE(tblShipments4[[#This Row],[Details]],CHAR(10)," "), FIND(CHAR(10),tblShipments4[[#This Row],[Details]])+1, 50)), 10)</f>
        <v>0510006329</v>
      </c>
      <c r="E225" t="s">
        <v>1594</v>
      </c>
      <c r="F22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5" t="str">
        <f>IF(tblShipments4[[#This Row],[EGM no]]="", "Missing EGM", "EGM Submitted")</f>
        <v>EGM Submitted</v>
      </c>
      <c r="H225" t="str">
        <f>IF(OR(ISNUMBER(SEARCH("Released",tblShipments4[[#This Row],[ROSL]])),
      ISNUMBER(SEARCH("Scroll",tblShipments4[[#This Row],[ROSL]])),
      ISNUMBER(SEARCH("Y",tblShipments4[[#This Row],[ROSL]]))),
   "Released",
   "Not Released")</f>
        <v>Released</v>
      </c>
      <c r="I225" t="str">
        <f>IF(OR(tblShipments4[[#This Row],[EGM no]]="", tblShipments4[[#This Row],[EGM no]]="N.A."), "Not Submitted", "Submitted")</f>
        <v>Submitted</v>
      </c>
      <c r="J225" t="str">
        <f>IF(LEFT(tblShipments4[[#This Row],[Gateway_Extracted]],2)="IN","Valid","Invalid")</f>
        <v>Valid</v>
      </c>
      <c r="K225" t="s">
        <v>1549</v>
      </c>
      <c r="L225" t="s">
        <v>1467</v>
      </c>
      <c r="M225" t="s">
        <v>31</v>
      </c>
      <c r="N225" t="s">
        <v>1595</v>
      </c>
      <c r="O225" t="str">
        <f>IFERROR("IN" &amp; _xlfn.TEXTBEFORE(_xlfn.TEXTAFTER(UPPER(tblShipments4[[#This Row],[Gateway_clean]]),"IN")," ",1),"")</f>
        <v>INNSA1</v>
      </c>
      <c r="P225" t="str">
        <f>SUBSTITUTE(tblShipments4[[#This Row],[Gateway]], CHAR(10), " ")</f>
        <v xml:space="preserve">AWB No. Gateway Port Gateway EGM No. Gateway EGM Date Gateway Site ID Error Code N.A.  INNSA1  140365  2017-12-08 00:00:00.0  INNSA1  N </v>
      </c>
      <c r="Q225" t="s">
        <v>1469</v>
      </c>
    </row>
    <row r="226" spans="1:17" x14ac:dyDescent="0.35">
      <c r="A226" t="s">
        <v>8</v>
      </c>
      <c r="B226">
        <v>9203657</v>
      </c>
      <c r="C226" s="2" t="s">
        <v>987</v>
      </c>
      <c r="D226" s="2" t="str">
        <f>LEFT(TRIM(MID(SUBSTITUTE(tblShipments4[[#This Row],[Details]],CHAR(10)," "), FIND(CHAR(10),tblShipments4[[#This Row],[Details]])+1, 50)), 10)</f>
        <v>0510012680</v>
      </c>
      <c r="E226" t="s">
        <v>988</v>
      </c>
      <c r="F22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6" t="str">
        <f>IF(tblShipments4[[#This Row],[EGM no]]="", "Missing EGM", "EGM Submitted")</f>
        <v>EGM Submitted</v>
      </c>
      <c r="H226" t="str">
        <f>IF(OR(ISNUMBER(SEARCH("Released",tblShipments4[[#This Row],[ROSL]])),
      ISNUMBER(SEARCH("Scroll",tblShipments4[[#This Row],[ROSL]])),
      ISNUMBER(SEARCH("Y",tblShipments4[[#This Row],[ROSL]]))),
   "Released",
   "Not Released")</f>
        <v>Released</v>
      </c>
      <c r="I226" t="str">
        <f>IF(OR(tblShipments4[[#This Row],[EGM no]]="", tblShipments4[[#This Row],[EGM no]]="N.A."), "Not Submitted", "Submitted")</f>
        <v>Submitted</v>
      </c>
      <c r="J226" t="str">
        <f>IF(LEFT(tblShipments4[[#This Row],[Gateway_Extracted]],2)="IN","Valid","Invalid")</f>
        <v>Valid</v>
      </c>
      <c r="K226" t="s">
        <v>989</v>
      </c>
      <c r="L226" t="s">
        <v>990</v>
      </c>
      <c r="M226" t="s">
        <v>31</v>
      </c>
      <c r="N226" t="s">
        <v>991</v>
      </c>
      <c r="O226" t="str">
        <f>IFERROR("IN" &amp; _xlfn.TEXTBEFORE(_xlfn.TEXTAFTER(UPPER(tblShipments4[[#This Row],[Gateway_clean]]),"IN")," ",1),"")</f>
        <v>INNSA1</v>
      </c>
      <c r="P226" t="str">
        <f>SUBSTITUTE(tblShipments4[[#This Row],[Gateway]], CHAR(10), " ")</f>
        <v xml:space="preserve">AWB No. Gateway Port Gateway EGM No. Gateway EGM Date Gateway Site ID Error Code N.A.  INNSA1  136204  2017-10-03 00:00:00.0  INNSA1  S </v>
      </c>
      <c r="Q226" t="s">
        <v>992</v>
      </c>
    </row>
    <row r="227" spans="1:17" x14ac:dyDescent="0.35">
      <c r="A227" t="s">
        <v>8</v>
      </c>
      <c r="B227">
        <v>7984652</v>
      </c>
      <c r="C227" s="2" t="s">
        <v>284</v>
      </c>
      <c r="D227" s="2" t="str">
        <f>LEFT(TRIM(MID(SUBSTITUTE(tblShipments4[[#This Row],[Details]],CHAR(10)," "), FIND(CHAR(10),tblShipments4[[#This Row],[Details]])+1, 50)), 10)</f>
        <v>0510040519</v>
      </c>
      <c r="E227" t="s">
        <v>285</v>
      </c>
      <c r="F22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7" t="str">
        <f>IF(tblShipments4[[#This Row],[EGM no]]="", "Missing EGM", "EGM Submitted")</f>
        <v>EGM Submitted</v>
      </c>
      <c r="H227" t="str">
        <f>IF(OR(ISNUMBER(SEARCH("Released",tblShipments4[[#This Row],[ROSL]])),
      ISNUMBER(SEARCH("Scroll",tblShipments4[[#This Row],[ROSL]])),
      ISNUMBER(SEARCH("Y",tblShipments4[[#This Row],[ROSL]]))),
   "Released",
   "Not Released")</f>
        <v>Released</v>
      </c>
      <c r="I227" t="str">
        <f>IF(OR(tblShipments4[[#This Row],[EGM no]]="", tblShipments4[[#This Row],[EGM no]]="N.A."), "Not Submitted", "Submitted")</f>
        <v>Submitted</v>
      </c>
      <c r="J227" t="str">
        <f>IF(LEFT(tblShipments4[[#This Row],[Gateway_Extracted]],2)="IN","Valid","Invalid")</f>
        <v>Valid</v>
      </c>
      <c r="K227" t="s">
        <v>286</v>
      </c>
      <c r="L227" t="s">
        <v>287</v>
      </c>
      <c r="M227" t="s">
        <v>13</v>
      </c>
      <c r="N227" t="s">
        <v>288</v>
      </c>
      <c r="O227" t="str">
        <f>IFERROR("IN" &amp; _xlfn.TEXTBEFORE(_xlfn.TEXTAFTER(UPPER(tblShipments4[[#This Row],[Gateway_clean]]),"IN")," ",1),"")</f>
        <v>INNSA1</v>
      </c>
      <c r="P227" t="str">
        <f>SUBSTITUTE(tblShipments4[[#This Row],[Gateway]], CHAR(10), " ")</f>
        <v xml:space="preserve">AWB No. Gateway Port Gateway EGM No. Gateway EGM Date Gateway Site ID Error Code N.A.  INNSA1  133031  2017-08-10 00:00:00.0  INNSA1  S </v>
      </c>
      <c r="Q227" t="s">
        <v>289</v>
      </c>
    </row>
    <row r="228" spans="1:17" x14ac:dyDescent="0.35">
      <c r="A228" t="s">
        <v>8</v>
      </c>
      <c r="B228">
        <v>7778178</v>
      </c>
      <c r="C228" s="2" t="s">
        <v>120</v>
      </c>
      <c r="D228" s="2" t="str">
        <f>LEFT(TRIM(MID(SUBSTITUTE(tblShipments4[[#This Row],[Details]],CHAR(10)," "), FIND(CHAR(10),tblShipments4[[#This Row],[Details]])+1, 50)), 10)</f>
        <v>0510056601</v>
      </c>
      <c r="E228" t="s">
        <v>145</v>
      </c>
      <c r="F22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8" t="str">
        <f>IF(tblShipments4[[#This Row],[EGM no]]="", "Missing EGM", "EGM Submitted")</f>
        <v>EGM Submitted</v>
      </c>
      <c r="H228" t="str">
        <f>IF(OR(ISNUMBER(SEARCH("Released",tblShipments4[[#This Row],[ROSL]])),
      ISNUMBER(SEARCH("Scroll",tblShipments4[[#This Row],[ROSL]])),
      ISNUMBER(SEARCH("Y",tblShipments4[[#This Row],[ROSL]]))),
   "Released",
   "Not Released")</f>
        <v>Released</v>
      </c>
      <c r="I228" t="str">
        <f>IF(OR(tblShipments4[[#This Row],[EGM no]]="", tblShipments4[[#This Row],[EGM no]]="N.A."), "Not Submitted", "Submitted")</f>
        <v>Submitted</v>
      </c>
      <c r="J228" t="str">
        <f>IF(LEFT(tblShipments4[[#This Row],[Gateway_Extracted]],2)="IN","Valid","Invalid")</f>
        <v>Valid</v>
      </c>
      <c r="K228" t="s">
        <v>83</v>
      </c>
      <c r="L228" t="s">
        <v>146</v>
      </c>
      <c r="M228" t="s">
        <v>13</v>
      </c>
      <c r="N228" t="s">
        <v>147</v>
      </c>
      <c r="O228" t="str">
        <f>IFERROR("IN" &amp; _xlfn.TEXTBEFORE(_xlfn.TEXTAFTER(UPPER(tblShipments4[[#This Row],[Gateway_clean]]),"IN")," ",1),"")</f>
        <v>INNSA1</v>
      </c>
      <c r="P228" t="str">
        <f>SUBSTITUTE(tblShipments4[[#This Row],[Gateway]], CHAR(10), " ")</f>
        <v xml:space="preserve">AWB No. Gateway Port Gateway EGM No. Gateway EGM Date Gateway Site ID Error Code N.A.  INNSA1  N.A.  N.A.  N.A.  N.A. </v>
      </c>
      <c r="Q228" t="s">
        <v>26</v>
      </c>
    </row>
    <row r="229" spans="1:17" x14ac:dyDescent="0.35">
      <c r="A229" t="s">
        <v>8</v>
      </c>
      <c r="B229">
        <v>8249349</v>
      </c>
      <c r="C229" s="2" t="s">
        <v>467</v>
      </c>
      <c r="D229" s="2" t="str">
        <f>LEFT(TRIM(MID(SUBSTITUTE(tblShipments4[[#This Row],[Details]],CHAR(10)," "), FIND(CHAR(10),tblShipments4[[#This Row],[Details]])+1, 50)), 10)</f>
        <v>0510056601</v>
      </c>
      <c r="E229" t="s">
        <v>472</v>
      </c>
      <c r="F22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29" t="str">
        <f>IF(tblShipments4[[#This Row],[EGM no]]="", "Missing EGM", "EGM Submitted")</f>
        <v>EGM Submitted</v>
      </c>
      <c r="H229" t="str">
        <f>IF(OR(ISNUMBER(SEARCH("Released",tblShipments4[[#This Row],[ROSL]])),
      ISNUMBER(SEARCH("Scroll",tblShipments4[[#This Row],[ROSL]])),
      ISNUMBER(SEARCH("Y",tblShipments4[[#This Row],[ROSL]]))),
   "Released",
   "Not Released")</f>
        <v>Released</v>
      </c>
      <c r="I229" t="str">
        <f>IF(OR(tblShipments4[[#This Row],[EGM no]]="", tblShipments4[[#This Row],[EGM no]]="N.A."), "Not Submitted", "Submitted")</f>
        <v>Submitted</v>
      </c>
      <c r="J229" t="str">
        <f>IF(LEFT(tblShipments4[[#This Row],[Gateway_Extracted]],2)="IN","Valid","Invalid")</f>
        <v>Valid</v>
      </c>
      <c r="K229" t="s">
        <v>473</v>
      </c>
      <c r="L229" t="s">
        <v>474</v>
      </c>
      <c r="M229" t="s">
        <v>13</v>
      </c>
      <c r="N229" t="s">
        <v>475</v>
      </c>
      <c r="O229" t="str">
        <f>IFERROR("IN" &amp; _xlfn.TEXTBEFORE(_xlfn.TEXTAFTER(UPPER(tblShipments4[[#This Row],[Gateway_clean]]),"IN")," ",1),"")</f>
        <v>INNSA1</v>
      </c>
      <c r="P229" t="str">
        <f>SUBSTITUTE(tblShipments4[[#This Row],[Gateway]], CHAR(10), " ")</f>
        <v xml:space="preserve">AWB No. Gateway Port Gateway EGM No. Gateway EGM Date Gateway Site ID Error Code N.A.  INNSA1  N.A.  N.A.  N.A.  N.A. </v>
      </c>
      <c r="Q229" t="s">
        <v>26</v>
      </c>
    </row>
    <row r="230" spans="1:17" x14ac:dyDescent="0.35">
      <c r="A230" t="s">
        <v>8</v>
      </c>
      <c r="B230">
        <v>8204016</v>
      </c>
      <c r="C230" s="2" t="s">
        <v>409</v>
      </c>
      <c r="D230" s="2" t="str">
        <f>LEFT(TRIM(MID(SUBSTITUTE(tblShipments4[[#This Row],[Details]],CHAR(10)," "), FIND(CHAR(10),tblShipments4[[#This Row],[Details]])+1, 50)), 10)</f>
        <v>0510085423</v>
      </c>
      <c r="E230" t="s">
        <v>414</v>
      </c>
      <c r="F23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0" t="str">
        <f>IF(tblShipments4[[#This Row],[EGM no]]="", "Missing EGM", "EGM Submitted")</f>
        <v>EGM Submitted</v>
      </c>
      <c r="H230" t="str">
        <f>IF(OR(ISNUMBER(SEARCH("Released",tblShipments4[[#This Row],[ROSL]])),
      ISNUMBER(SEARCH("Scroll",tblShipments4[[#This Row],[ROSL]])),
      ISNUMBER(SEARCH("Y",tblShipments4[[#This Row],[ROSL]]))),
   "Released",
   "Not Released")</f>
        <v>Released</v>
      </c>
      <c r="I230" t="str">
        <f>IF(OR(tblShipments4[[#This Row],[EGM no]]="", tblShipments4[[#This Row],[EGM no]]="N.A."), "Not Submitted", "Submitted")</f>
        <v>Submitted</v>
      </c>
      <c r="J230" t="str">
        <f>IF(LEFT(tblShipments4[[#This Row],[Gateway_Extracted]],2)="IN","Valid","Invalid")</f>
        <v>Valid</v>
      </c>
      <c r="K230" t="s">
        <v>406</v>
      </c>
      <c r="L230" t="s">
        <v>415</v>
      </c>
      <c r="M230" t="s">
        <v>13</v>
      </c>
      <c r="N230" t="s">
        <v>416</v>
      </c>
      <c r="O230" t="str">
        <f>IFERROR("IN" &amp; _xlfn.TEXTBEFORE(_xlfn.TEXTAFTER(UPPER(tblShipments4[[#This Row],[Gateway_clean]]),"IN")," ",1),"")</f>
        <v>INNSA1</v>
      </c>
      <c r="P230" t="str">
        <f>SUBSTITUTE(tblShipments4[[#This Row],[Gateway]], CHAR(10), " ")</f>
        <v xml:space="preserve">AWB No. Gateway Port Gateway EGM No. Gateway EGM Date Gateway Site ID Error Code N.A.  INNSA1  N.A.  N.A.  N.A.  N.A. </v>
      </c>
      <c r="Q230" t="s">
        <v>26</v>
      </c>
    </row>
    <row r="231" spans="1:17" x14ac:dyDescent="0.35">
      <c r="A231" t="s">
        <v>8</v>
      </c>
      <c r="B231">
        <v>9492580</v>
      </c>
      <c r="C231" s="2" t="s">
        <v>1061</v>
      </c>
      <c r="D231" s="2" t="str">
        <f>LEFT(TRIM(MID(SUBSTITUTE(tblShipments4[[#This Row],[Details]],CHAR(10)," "), FIND(CHAR(10),tblShipments4[[#This Row],[Details]])+1, 50)), 10)</f>
        <v>0510085423</v>
      </c>
      <c r="E231" t="s">
        <v>1062</v>
      </c>
      <c r="F23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1" t="str">
        <f>IF(tblShipments4[[#This Row],[EGM no]]="", "Missing EGM", "EGM Submitted")</f>
        <v>EGM Submitted</v>
      </c>
      <c r="H231" t="str">
        <f>IF(OR(ISNUMBER(SEARCH("Released",tblShipments4[[#This Row],[ROSL]])),
      ISNUMBER(SEARCH("Scroll",tblShipments4[[#This Row],[ROSL]])),
      ISNUMBER(SEARCH("Y",tblShipments4[[#This Row],[ROSL]]))),
   "Released",
   "Not Released")</f>
        <v>Released</v>
      </c>
      <c r="I231" t="str">
        <f>IF(OR(tblShipments4[[#This Row],[EGM no]]="", tblShipments4[[#This Row],[EGM no]]="N.A."), "Not Submitted", "Submitted")</f>
        <v>Submitted</v>
      </c>
      <c r="J231" t="str">
        <f>IF(LEFT(tblShipments4[[#This Row],[Gateway_Extracted]],2)="IN","Valid","Invalid")</f>
        <v>Valid</v>
      </c>
      <c r="K231" t="s">
        <v>1063</v>
      </c>
      <c r="L231" t="s">
        <v>1064</v>
      </c>
      <c r="M231" t="s">
        <v>13</v>
      </c>
      <c r="N231" t="s">
        <v>1065</v>
      </c>
      <c r="O231" t="str">
        <f>IFERROR("IN" &amp; _xlfn.TEXTBEFORE(_xlfn.TEXTAFTER(UPPER(tblShipments4[[#This Row],[Gateway_clean]]),"IN")," ",1),"")</f>
        <v>INNSA1</v>
      </c>
      <c r="P231" t="str">
        <f>SUBSTITUTE(tblShipments4[[#This Row],[Gateway]], CHAR(10), " ")</f>
        <v xml:space="preserve">AWB No. Gateway Port Gateway EGM No. Gateway EGM Date Gateway Site ID Error Code N.A.  INNSA1  137147  2017-10-18 00:00:00.0  INNSA1  C </v>
      </c>
      <c r="Q231" t="s">
        <v>1066</v>
      </c>
    </row>
    <row r="232" spans="1:17" x14ac:dyDescent="0.35">
      <c r="A232" t="s">
        <v>8</v>
      </c>
      <c r="B232">
        <v>9536682</v>
      </c>
      <c r="C232" s="2" t="s">
        <v>1072</v>
      </c>
      <c r="D232" s="2" t="str">
        <f>LEFT(TRIM(MID(SUBSTITUTE(tblShipments4[[#This Row],[Details]],CHAR(10)," "), FIND(CHAR(10),tblShipments4[[#This Row],[Details]])+1, 50)), 10)</f>
        <v>0511002459</v>
      </c>
      <c r="E232" t="s">
        <v>1087</v>
      </c>
      <c r="F23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2" t="str">
        <f>IF(tblShipments4[[#This Row],[EGM no]]="", "Missing EGM", "EGM Submitted")</f>
        <v>EGM Submitted</v>
      </c>
      <c r="H232" t="str">
        <f>IF(OR(ISNUMBER(SEARCH("Released",tblShipments4[[#This Row],[ROSL]])),
      ISNUMBER(SEARCH("Scroll",tblShipments4[[#This Row],[ROSL]])),
      ISNUMBER(SEARCH("Y",tblShipments4[[#This Row],[ROSL]]))),
   "Released",
   "Not Released")</f>
        <v>Released</v>
      </c>
      <c r="I232" t="str">
        <f>IF(OR(tblShipments4[[#This Row],[EGM no]]="", tblShipments4[[#This Row],[EGM no]]="N.A."), "Not Submitted", "Submitted")</f>
        <v>Submitted</v>
      </c>
      <c r="J232" t="str">
        <f>IF(LEFT(tblShipments4[[#This Row],[Gateway_Extracted]],2)="IN","Valid","Invalid")</f>
        <v>Valid</v>
      </c>
      <c r="K232" t="s">
        <v>1088</v>
      </c>
      <c r="L232" t="s">
        <v>1089</v>
      </c>
      <c r="M232" t="s">
        <v>13</v>
      </c>
      <c r="N232" t="s">
        <v>1090</v>
      </c>
      <c r="O232" t="str">
        <f>IFERROR("IN" &amp; _xlfn.TEXTBEFORE(_xlfn.TEXTAFTER(UPPER(tblShipments4[[#This Row],[Gateway_clean]]),"IN")," ",1),"")</f>
        <v>INNSA1</v>
      </c>
      <c r="P232" t="str">
        <f>SUBSTITUTE(tblShipments4[[#This Row],[Gateway]], CHAR(10), " ")</f>
        <v xml:space="preserve">AWB No. Gateway Port Gateway EGM No. Gateway EGM Date Gateway Site ID Error Code N.A.  INNSA1  138138  2017-11-03 00:00:00.0  INNSA1  S </v>
      </c>
      <c r="Q232" t="s">
        <v>1091</v>
      </c>
    </row>
    <row r="233" spans="1:17" x14ac:dyDescent="0.35">
      <c r="A233" t="s">
        <v>8</v>
      </c>
      <c r="B233">
        <v>9653631</v>
      </c>
      <c r="C233" s="2" t="s">
        <v>1133</v>
      </c>
      <c r="D233" s="2" t="str">
        <f>LEFT(TRIM(MID(SUBSTITUTE(tblShipments4[[#This Row],[Details]],CHAR(10)," "), FIND(CHAR(10),tblShipments4[[#This Row],[Details]])+1, 50)), 10)</f>
        <v>0511002459</v>
      </c>
      <c r="E233" t="s">
        <v>1134</v>
      </c>
      <c r="F23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3" t="str">
        <f>IF(tblShipments4[[#This Row],[EGM no]]="", "Missing EGM", "EGM Submitted")</f>
        <v>EGM Submitted</v>
      </c>
      <c r="H233" t="str">
        <f>IF(OR(ISNUMBER(SEARCH("Released",tblShipments4[[#This Row],[ROSL]])),
      ISNUMBER(SEARCH("Scroll",tblShipments4[[#This Row],[ROSL]])),
      ISNUMBER(SEARCH("Y",tblShipments4[[#This Row],[ROSL]]))),
   "Released",
   "Not Released")</f>
        <v>Released</v>
      </c>
      <c r="I233" t="str">
        <f>IF(OR(tblShipments4[[#This Row],[EGM no]]="", tblShipments4[[#This Row],[EGM no]]="N.A."), "Not Submitted", "Submitted")</f>
        <v>Submitted</v>
      </c>
      <c r="J233" t="str">
        <f>IF(LEFT(tblShipments4[[#This Row],[Gateway_Extracted]],2)="IN","Valid","Invalid")</f>
        <v>Valid</v>
      </c>
      <c r="K233" t="s">
        <v>1135</v>
      </c>
      <c r="L233" t="s">
        <v>1136</v>
      </c>
      <c r="M233" t="s">
        <v>13</v>
      </c>
      <c r="N233" t="s">
        <v>1137</v>
      </c>
      <c r="O233" t="str">
        <f>IFERROR("IN" &amp; _xlfn.TEXTBEFORE(_xlfn.TEXTAFTER(UPPER(tblShipments4[[#This Row],[Gateway_clean]]),"IN")," ",1),"")</f>
        <v>INNSA1</v>
      </c>
      <c r="P233" t="str">
        <f>SUBSTITUTE(tblShipments4[[#This Row],[Gateway]], CHAR(10), " ")</f>
        <v xml:space="preserve">AWB No. Gateway Port Gateway EGM No. Gateway EGM Date Gateway Site ID Error Code N.A.  INNSA1  138837  2017-11-15 00:00:00.0  INNSA1  S </v>
      </c>
      <c r="Q233" t="s">
        <v>1138</v>
      </c>
    </row>
    <row r="234" spans="1:17" x14ac:dyDescent="0.35">
      <c r="A234" t="s">
        <v>8</v>
      </c>
      <c r="B234">
        <v>8144422</v>
      </c>
      <c r="C234" s="2" t="s">
        <v>356</v>
      </c>
      <c r="D234" s="2" t="str">
        <f>LEFT(TRIM(MID(SUBSTITUTE(tblShipments4[[#This Row],[Details]],CHAR(10)," "), FIND(CHAR(10),tblShipments4[[#This Row],[Details]])+1, 50)), 10)</f>
        <v>0511026242</v>
      </c>
      <c r="E234" t="s">
        <v>368</v>
      </c>
      <c r="F23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4" t="str">
        <f>IF(tblShipments4[[#This Row],[EGM no]]="", "Missing EGM", "EGM Submitted")</f>
        <v>EGM Submitted</v>
      </c>
      <c r="H234" t="str">
        <f>IF(OR(ISNUMBER(SEARCH("Released",tblShipments4[[#This Row],[ROSL]])),
      ISNUMBER(SEARCH("Scroll",tblShipments4[[#This Row],[ROSL]])),
      ISNUMBER(SEARCH("Y",tblShipments4[[#This Row],[ROSL]]))),
   "Released",
   "Not Released")</f>
        <v>Released</v>
      </c>
      <c r="I234" t="str">
        <f>IF(OR(tblShipments4[[#This Row],[EGM no]]="", tblShipments4[[#This Row],[EGM no]]="N.A."), "Not Submitted", "Submitted")</f>
        <v>Submitted</v>
      </c>
      <c r="J234" t="str">
        <f>IF(LEFT(tblShipments4[[#This Row],[Gateway_Extracted]],2)="IN","Valid","Invalid")</f>
        <v>Valid</v>
      </c>
      <c r="K234" t="s">
        <v>369</v>
      </c>
      <c r="L234" t="s">
        <v>370</v>
      </c>
      <c r="M234" t="s">
        <v>31</v>
      </c>
      <c r="N234" t="s">
        <v>371</v>
      </c>
      <c r="O234" t="str">
        <f>IFERROR("IN" &amp; _xlfn.TEXTBEFORE(_xlfn.TEXTAFTER(UPPER(tblShipments4[[#This Row],[Gateway_clean]]),"IN")," ",1),"")</f>
        <v>INNSA1</v>
      </c>
      <c r="P234" t="str">
        <f>SUBSTITUTE(tblShipments4[[#This Row],[Gateway]], CHAR(10), " ")</f>
        <v xml:space="preserve">AWB No. Gateway Port Gateway EGM No. Gateway EGM Date Gateway Site ID Error Code N.A.  INNSA1  134462  2017-09-04 00:00:00.0  INNSA1  S </v>
      </c>
      <c r="Q234" t="s">
        <v>372</v>
      </c>
    </row>
    <row r="235" spans="1:17" x14ac:dyDescent="0.35">
      <c r="A235" t="s">
        <v>8</v>
      </c>
      <c r="B235">
        <v>9234919</v>
      </c>
      <c r="C235" s="2" t="s">
        <v>1008</v>
      </c>
      <c r="D235" s="2" t="str">
        <f>LEFT(TRIM(MID(SUBSTITUTE(tblShipments4[[#This Row],[Details]],CHAR(10)," "), FIND(CHAR(10),tblShipments4[[#This Row],[Details]])+1, 50)), 10)</f>
        <v>0511026242</v>
      </c>
      <c r="E235" t="s">
        <v>1009</v>
      </c>
      <c r="F23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5" t="str">
        <f>IF(tblShipments4[[#This Row],[EGM no]]="", "Missing EGM", "EGM Submitted")</f>
        <v>EGM Submitted</v>
      </c>
      <c r="H235" t="str">
        <f>IF(OR(ISNUMBER(SEARCH("Released",tblShipments4[[#This Row],[ROSL]])),
      ISNUMBER(SEARCH("Scroll",tblShipments4[[#This Row],[ROSL]])),
      ISNUMBER(SEARCH("Y",tblShipments4[[#This Row],[ROSL]]))),
   "Released",
   "Not Released")</f>
        <v>Released</v>
      </c>
      <c r="I235" t="str">
        <f>IF(OR(tblShipments4[[#This Row],[EGM no]]="", tblShipments4[[#This Row],[EGM no]]="N.A."), "Not Submitted", "Submitted")</f>
        <v>Submitted</v>
      </c>
      <c r="J235" t="str">
        <f>IF(LEFT(tblShipments4[[#This Row],[Gateway_Extracted]],2)="IN","Valid","Invalid")</f>
        <v>Valid</v>
      </c>
      <c r="K235" t="s">
        <v>1010</v>
      </c>
      <c r="L235" t="s">
        <v>1011</v>
      </c>
      <c r="M235" t="s">
        <v>13</v>
      </c>
      <c r="N235" t="s">
        <v>1012</v>
      </c>
      <c r="O235" t="str">
        <f>IFERROR("IN" &amp; _xlfn.TEXTBEFORE(_xlfn.TEXTAFTER(UPPER(tblShipments4[[#This Row],[Gateway_clean]]),"IN")," ",1),"")</f>
        <v>INNSA1</v>
      </c>
      <c r="P235" t="str">
        <f>SUBSTITUTE(tblShipments4[[#This Row],[Gateway]], CHAR(10), " ")</f>
        <v xml:space="preserve">AWB No. Gateway Port Gateway EGM No. Gateway EGM Date Gateway Site ID Error Code N.A.  INNSA1  136898  2017-10-13 00:00:00.0  INNSA1  S </v>
      </c>
      <c r="Q235" t="s">
        <v>885</v>
      </c>
    </row>
    <row r="236" spans="1:17" x14ac:dyDescent="0.35">
      <c r="A236" t="s">
        <v>8</v>
      </c>
      <c r="B236">
        <v>7804407</v>
      </c>
      <c r="C236" s="2" t="s">
        <v>153</v>
      </c>
      <c r="D236" s="2" t="str">
        <f>LEFT(TRIM(MID(SUBSTITUTE(tblShipments4[[#This Row],[Details]],CHAR(10)," "), FIND(CHAR(10),tblShipments4[[#This Row],[Details]])+1, 50)), 10)</f>
        <v>0511034661</v>
      </c>
      <c r="E236" t="s">
        <v>176</v>
      </c>
      <c r="F23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6" t="str">
        <f>IF(tblShipments4[[#This Row],[EGM no]]="", "Missing EGM", "EGM Submitted")</f>
        <v>EGM Submitted</v>
      </c>
      <c r="H236" t="str">
        <f>IF(OR(ISNUMBER(SEARCH("Released",tblShipments4[[#This Row],[ROSL]])),
      ISNUMBER(SEARCH("Scroll",tblShipments4[[#This Row],[ROSL]])),
      ISNUMBER(SEARCH("Y",tblShipments4[[#This Row],[ROSL]]))),
   "Released",
   "Not Released")</f>
        <v>Released</v>
      </c>
      <c r="I236" t="str">
        <f>IF(OR(tblShipments4[[#This Row],[EGM no]]="", tblShipments4[[#This Row],[EGM no]]="N.A."), "Not Submitted", "Submitted")</f>
        <v>Submitted</v>
      </c>
      <c r="J236" t="str">
        <f>IF(LEFT(tblShipments4[[#This Row],[Gateway_Extracted]],2)="IN","Valid","Invalid")</f>
        <v>Valid</v>
      </c>
      <c r="K236" t="s">
        <v>177</v>
      </c>
      <c r="L236" t="s">
        <v>178</v>
      </c>
      <c r="M236" t="s">
        <v>31</v>
      </c>
      <c r="N236" t="s">
        <v>179</v>
      </c>
      <c r="O236" t="str">
        <f>IFERROR("IN" &amp; _xlfn.TEXTBEFORE(_xlfn.TEXTAFTER(UPPER(tblShipments4[[#This Row],[Gateway_clean]]),"IN")," ",1),"")</f>
        <v>INNSA1</v>
      </c>
      <c r="P236" t="str">
        <f>SUBSTITUTE(tblShipments4[[#This Row],[Gateway]], CHAR(10), " ")</f>
        <v xml:space="preserve">AWB No. Gateway Port Gateway EGM No. Gateway EGM Date Gateway Site ID Error Code N.A.  INNSA1  132332  2017-07-28 00:00:00.0  INNSA1  S </v>
      </c>
      <c r="Q236" t="s">
        <v>180</v>
      </c>
    </row>
    <row r="237" spans="1:17" x14ac:dyDescent="0.35">
      <c r="A237" t="s">
        <v>8</v>
      </c>
      <c r="B237">
        <v>9161051</v>
      </c>
      <c r="C237" s="2" t="s">
        <v>981</v>
      </c>
      <c r="D237" s="2" t="str">
        <f>LEFT(TRIM(MID(SUBSTITUTE(tblShipments4[[#This Row],[Details]],CHAR(10)," "), FIND(CHAR(10),tblShipments4[[#This Row],[Details]])+1, 50)), 10)</f>
        <v>0511034661</v>
      </c>
      <c r="E237" t="s">
        <v>982</v>
      </c>
      <c r="F23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7" t="str">
        <f>IF(tblShipments4[[#This Row],[EGM no]]="", "Missing EGM", "EGM Submitted")</f>
        <v>EGM Submitted</v>
      </c>
      <c r="H237" t="str">
        <f>IF(OR(ISNUMBER(SEARCH("Released",tblShipments4[[#This Row],[ROSL]])),
      ISNUMBER(SEARCH("Scroll",tblShipments4[[#This Row],[ROSL]])),
      ISNUMBER(SEARCH("Y",tblShipments4[[#This Row],[ROSL]]))),
   "Released",
   "Not Released")</f>
        <v>Released</v>
      </c>
      <c r="I237" t="str">
        <f>IF(OR(tblShipments4[[#This Row],[EGM no]]="", tblShipments4[[#This Row],[EGM no]]="N.A."), "Not Submitted", "Submitted")</f>
        <v>Submitted</v>
      </c>
      <c r="J237" t="str">
        <f>IF(LEFT(tblShipments4[[#This Row],[Gateway_Extracted]],2)="IN","Valid","Invalid")</f>
        <v>Valid</v>
      </c>
      <c r="K237" t="s">
        <v>983</v>
      </c>
      <c r="L237" t="s">
        <v>984</v>
      </c>
      <c r="M237" t="s">
        <v>31</v>
      </c>
      <c r="N237" t="s">
        <v>985</v>
      </c>
      <c r="O237" t="str">
        <f>IFERROR("IN" &amp; _xlfn.TEXTBEFORE(_xlfn.TEXTAFTER(UPPER(tblShipments4[[#This Row],[Gateway_clean]]),"IN")," ",1),"")</f>
        <v>INNSA1</v>
      </c>
      <c r="P237" t="str">
        <f>SUBSTITUTE(tblShipments4[[#This Row],[Gateway]], CHAR(10), " ")</f>
        <v xml:space="preserve">AWB No. Gateway Port Gateway EGM No. Gateway EGM Date Gateway Site ID Error Code N.A.  INNSA1  136151  2017-10-03 00:00:00.0  INNSA1  S </v>
      </c>
      <c r="Q237" t="s">
        <v>986</v>
      </c>
    </row>
    <row r="238" spans="1:17" x14ac:dyDescent="0.35">
      <c r="A238" t="s">
        <v>8</v>
      </c>
      <c r="B238">
        <v>8708114</v>
      </c>
      <c r="C238" s="2" t="s">
        <v>747</v>
      </c>
      <c r="D238" s="2" t="str">
        <f>LEFT(TRIM(MID(SUBSTITUTE(tblShipments4[[#This Row],[Details]],CHAR(10)," "), FIND(CHAR(10),tblShipments4[[#This Row],[Details]])+1, 50)), 10)</f>
        <v>0511035675</v>
      </c>
      <c r="E238" t="s">
        <v>752</v>
      </c>
      <c r="F23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8" t="str">
        <f>IF(tblShipments4[[#This Row],[EGM no]]="", "Missing EGM", "EGM Submitted")</f>
        <v>EGM Submitted</v>
      </c>
      <c r="H238" t="str">
        <f>IF(OR(ISNUMBER(SEARCH("Released",tblShipments4[[#This Row],[ROSL]])),
      ISNUMBER(SEARCH("Scroll",tblShipments4[[#This Row],[ROSL]])),
      ISNUMBER(SEARCH("Y",tblShipments4[[#This Row],[ROSL]]))),
   "Released",
   "Not Released")</f>
        <v>Released</v>
      </c>
      <c r="I238" t="str">
        <f>IF(OR(tblShipments4[[#This Row],[EGM no]]="", tblShipments4[[#This Row],[EGM no]]="N.A."), "Not Submitted", "Submitted")</f>
        <v>Submitted</v>
      </c>
      <c r="J238" t="str">
        <f>IF(LEFT(tblShipments4[[#This Row],[Gateway_Extracted]],2)="IN","Valid","Invalid")</f>
        <v>Valid</v>
      </c>
      <c r="K238" t="s">
        <v>753</v>
      </c>
      <c r="L238" t="s">
        <v>754</v>
      </c>
      <c r="M238" t="s">
        <v>31</v>
      </c>
      <c r="N238" t="s">
        <v>755</v>
      </c>
      <c r="O238" t="str">
        <f>IFERROR("IN" &amp; _xlfn.TEXTBEFORE(_xlfn.TEXTAFTER(UPPER(tblShipments4[[#This Row],[Gateway_clean]]),"IN")," ",1),"")</f>
        <v>INNSA1</v>
      </c>
      <c r="P238" t="str">
        <f>SUBSTITUTE(tblShipments4[[#This Row],[Gateway]], CHAR(10), " ")</f>
        <v xml:space="preserve">AWB No. Gateway Port Gateway EGM No. Gateway EGM Date Gateway Site ID Error Code N.A.  INNSA1  135349  2017-09-19 00:00:00.0  INNSA1  C </v>
      </c>
      <c r="Q238" t="s">
        <v>756</v>
      </c>
    </row>
    <row r="239" spans="1:17" x14ac:dyDescent="0.35">
      <c r="A239" t="s">
        <v>8</v>
      </c>
      <c r="B239">
        <v>8612296</v>
      </c>
      <c r="C239" s="2" t="s">
        <v>681</v>
      </c>
      <c r="D239" s="2" t="str">
        <f>LEFT(TRIM(MID(SUBSTITUTE(tblShipments4[[#This Row],[Details]],CHAR(10)," "), FIND(CHAR(10),tblShipments4[[#This Row],[Details]])+1, 50)), 10)</f>
        <v>0511063865</v>
      </c>
      <c r="E239" t="s">
        <v>719</v>
      </c>
      <c r="F23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39" t="str">
        <f>IF(tblShipments4[[#This Row],[EGM no]]="", "Missing EGM", "EGM Submitted")</f>
        <v>EGM Submitted</v>
      </c>
      <c r="H239" t="str">
        <f>IF(OR(ISNUMBER(SEARCH("Released",tblShipments4[[#This Row],[ROSL]])),
      ISNUMBER(SEARCH("Scroll",tblShipments4[[#This Row],[ROSL]])),
      ISNUMBER(SEARCH("Y",tblShipments4[[#This Row],[ROSL]]))),
   "Released",
   "Not Released")</f>
        <v>Released</v>
      </c>
      <c r="I239" t="str">
        <f>IF(OR(tblShipments4[[#This Row],[EGM no]]="", tblShipments4[[#This Row],[EGM no]]="N.A."), "Not Submitted", "Submitted")</f>
        <v>Submitted</v>
      </c>
      <c r="J239" t="str">
        <f>IF(LEFT(tblShipments4[[#This Row],[Gateway_Extracted]],2)="IN","Valid","Invalid")</f>
        <v>Valid</v>
      </c>
      <c r="K239" t="s">
        <v>645</v>
      </c>
      <c r="L239" t="s">
        <v>720</v>
      </c>
      <c r="M239" t="s">
        <v>31</v>
      </c>
      <c r="N239" t="s">
        <v>721</v>
      </c>
      <c r="O239" t="str">
        <f>IFERROR("IN" &amp; _xlfn.TEXTBEFORE(_xlfn.TEXTAFTER(UPPER(tblShipments4[[#This Row],[Gateway_clean]]),"IN")," ",1),"")</f>
        <v>INNSA1</v>
      </c>
      <c r="P239" t="str">
        <f>SUBSTITUTE(tblShipments4[[#This Row],[Gateway]], CHAR(10), " ")</f>
        <v xml:space="preserve">AWB No. Gateway Port Gateway EGM No. Gateway EGM Date Gateway Site ID Error Code N.A.  INNSA1  135086  2017-09-14 00:00:00.0  INNSA1  S </v>
      </c>
      <c r="Q239" t="s">
        <v>676</v>
      </c>
    </row>
    <row r="240" spans="1:17" x14ac:dyDescent="0.35">
      <c r="A240" t="s">
        <v>8</v>
      </c>
      <c r="B240">
        <v>1223387</v>
      </c>
      <c r="C240" s="2" t="s">
        <v>1314</v>
      </c>
      <c r="D240" s="2" t="str">
        <f>LEFT(TRIM(MID(SUBSTITUTE(tblShipments4[[#This Row],[Details]],CHAR(10)," "), FIND(CHAR(10),tblShipments4[[#This Row],[Details]])+1, 50)), 10)</f>
        <v>0511068212</v>
      </c>
      <c r="E240" t="s">
        <v>1331</v>
      </c>
      <c r="F24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0" t="str">
        <f>IF(tblShipments4[[#This Row],[EGM no]]="", "Missing EGM", "EGM Submitted")</f>
        <v>EGM Submitted</v>
      </c>
      <c r="H240" t="str">
        <f>IF(OR(ISNUMBER(SEARCH("Released",tblShipments4[[#This Row],[ROSL]])),
      ISNUMBER(SEARCH("Scroll",tblShipments4[[#This Row],[ROSL]])),
      ISNUMBER(SEARCH("Y",tblShipments4[[#This Row],[ROSL]]))),
   "Released",
   "Not Released")</f>
        <v>Released</v>
      </c>
      <c r="I240" t="str">
        <f>IF(OR(tblShipments4[[#This Row],[EGM no]]="", tblShipments4[[#This Row],[EGM no]]="N.A."), "Not Submitted", "Submitted")</f>
        <v>Submitted</v>
      </c>
      <c r="J240" t="str">
        <f>IF(LEFT(tblShipments4[[#This Row],[Gateway_Extracted]],2)="IN","Valid","Invalid")</f>
        <v>Valid</v>
      </c>
      <c r="K240" t="s">
        <v>1332</v>
      </c>
      <c r="L240" t="s">
        <v>1333</v>
      </c>
      <c r="M240" t="s">
        <v>13</v>
      </c>
      <c r="N240" t="s">
        <v>1334</v>
      </c>
      <c r="O240" t="str">
        <f>IFERROR("IN" &amp; _xlfn.TEXTBEFORE(_xlfn.TEXTAFTER(UPPER(tblShipments4[[#This Row],[Gateway_clean]]),"IN")," ",1),"")</f>
        <v>INNSA1</v>
      </c>
      <c r="P240" t="str">
        <f>SUBSTITUTE(tblShipments4[[#This Row],[Gateway]], CHAR(10), " ")</f>
        <v xml:space="preserve">AWB No. Gateway Port Gateway EGM No. Gateway EGM Date Gateway Site ID Error Code N.A.  INNSA1  139773  2017-11-29 00:00:00.0  INNSA1  S </v>
      </c>
      <c r="Q240" t="s">
        <v>1335</v>
      </c>
    </row>
    <row r="241" spans="1:17" x14ac:dyDescent="0.35">
      <c r="A241" t="s">
        <v>8</v>
      </c>
      <c r="B241">
        <v>8551635</v>
      </c>
      <c r="C241" s="2" t="s">
        <v>652</v>
      </c>
      <c r="D241" s="2" t="str">
        <f>LEFT(TRIM(MID(SUBSTITUTE(tblShipments4[[#This Row],[Details]],CHAR(10)," "), FIND(CHAR(10),tblShipments4[[#This Row],[Details]])+1, 50)), 10)</f>
        <v>0511087098</v>
      </c>
      <c r="E241" t="s">
        <v>653</v>
      </c>
      <c r="F24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1" t="str">
        <f>IF(tblShipments4[[#This Row],[EGM no]]="", "Missing EGM", "EGM Submitted")</f>
        <v>EGM Submitted</v>
      </c>
      <c r="H241" t="str">
        <f>IF(OR(ISNUMBER(SEARCH("Released",tblShipments4[[#This Row],[ROSL]])),
      ISNUMBER(SEARCH("Scroll",tblShipments4[[#This Row],[ROSL]])),
      ISNUMBER(SEARCH("Y",tblShipments4[[#This Row],[ROSL]]))),
   "Released",
   "Not Released")</f>
        <v>Released</v>
      </c>
      <c r="I241" t="str">
        <f>IF(OR(tblShipments4[[#This Row],[EGM no]]="", tblShipments4[[#This Row],[EGM no]]="N.A."), "Not Submitted", "Submitted")</f>
        <v>Submitted</v>
      </c>
      <c r="J241" t="str">
        <f>IF(LEFT(tblShipments4[[#This Row],[Gateway_Extracted]],2)="IN","Valid","Invalid")</f>
        <v>Valid</v>
      </c>
      <c r="K241" t="s">
        <v>654</v>
      </c>
      <c r="L241" t="s">
        <v>655</v>
      </c>
      <c r="M241" t="s">
        <v>31</v>
      </c>
      <c r="N241" t="s">
        <v>656</v>
      </c>
      <c r="O241" t="str">
        <f>IFERROR("IN" &amp; _xlfn.TEXTBEFORE(_xlfn.TEXTAFTER(UPPER(tblShipments4[[#This Row],[Gateway_clean]]),"IN")," ",1),"")</f>
        <v>INNSA1</v>
      </c>
      <c r="P241" t="str">
        <f>SUBSTITUTE(tblShipments4[[#This Row],[Gateway]], CHAR(10), " ")</f>
        <v xml:space="preserve">AWB No. Gateway Port Gateway EGM No. Gateway EGM Date Gateway Site ID Error Code N.A.  INNSA1  N.A.  N.A.  N.A.  N.A. </v>
      </c>
      <c r="Q241" t="s">
        <v>26</v>
      </c>
    </row>
    <row r="242" spans="1:17" x14ac:dyDescent="0.35">
      <c r="A242" t="s">
        <v>8</v>
      </c>
      <c r="B242">
        <v>8022473</v>
      </c>
      <c r="C242" s="2" t="s">
        <v>295</v>
      </c>
      <c r="D242" s="2" t="str">
        <f>LEFT(TRIM(MID(SUBSTITUTE(tblShipments4[[#This Row],[Details]],CHAR(10)," "), FIND(CHAR(10),tblShipments4[[#This Row],[Details]])+1, 50)), 10)</f>
        <v>0512062013</v>
      </c>
      <c r="E242" t="s">
        <v>296</v>
      </c>
      <c r="F24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2" t="str">
        <f>IF(tblShipments4[[#This Row],[EGM no]]="", "Missing EGM", "EGM Submitted")</f>
        <v>EGM Submitted</v>
      </c>
      <c r="H242" t="str">
        <f>IF(OR(ISNUMBER(SEARCH("Released",tblShipments4[[#This Row],[ROSL]])),
      ISNUMBER(SEARCH("Scroll",tblShipments4[[#This Row],[ROSL]])),
      ISNUMBER(SEARCH("Y",tblShipments4[[#This Row],[ROSL]]))),
   "Released",
   "Not Released")</f>
        <v>Released</v>
      </c>
      <c r="I242" t="str">
        <f>IF(OR(tblShipments4[[#This Row],[EGM no]]="", tblShipments4[[#This Row],[EGM no]]="N.A."), "Not Submitted", "Submitted")</f>
        <v>Submitted</v>
      </c>
      <c r="J242" t="str">
        <f>IF(LEFT(tblShipments4[[#This Row],[Gateway_Extracted]],2)="IN","Valid","Invalid")</f>
        <v>Valid</v>
      </c>
      <c r="K242" t="s">
        <v>297</v>
      </c>
      <c r="L242" t="s">
        <v>298</v>
      </c>
      <c r="M242" t="s">
        <v>13</v>
      </c>
      <c r="N242" t="s">
        <v>299</v>
      </c>
      <c r="O242" t="str">
        <f>IFERROR("IN" &amp; _xlfn.TEXTBEFORE(_xlfn.TEXTAFTER(UPPER(tblShipments4[[#This Row],[Gateway_clean]]),"IN")," ",1),"")</f>
        <v>INNSA1</v>
      </c>
      <c r="P242" t="str">
        <f>SUBSTITUTE(tblShipments4[[#This Row],[Gateway]], CHAR(10), " ")</f>
        <v xml:space="preserve">AWB No. Gateway Port Gateway EGM No. Gateway EGM Date Gateway Site ID Error Code N.A.  INNSA1  134040  2017-08-28 00:00:00.0  INNSA1  S </v>
      </c>
      <c r="Q242" t="s">
        <v>300</v>
      </c>
    </row>
    <row r="243" spans="1:17" x14ac:dyDescent="0.35">
      <c r="A243" t="s">
        <v>8</v>
      </c>
      <c r="B243">
        <v>8533887</v>
      </c>
      <c r="C243" s="2" t="s">
        <v>643</v>
      </c>
      <c r="D243" s="2" t="str">
        <f>LEFT(TRIM(MID(SUBSTITUTE(tblShipments4[[#This Row],[Details]],CHAR(10)," "), FIND(CHAR(10),tblShipments4[[#This Row],[Details]])+1, 50)), 10)</f>
        <v>0512067872</v>
      </c>
      <c r="E243" t="s">
        <v>648</v>
      </c>
      <c r="F24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3" t="str">
        <f>IF(tblShipments4[[#This Row],[EGM no]]="", "Missing EGM", "EGM Submitted")</f>
        <v>EGM Submitted</v>
      </c>
      <c r="H243" t="str">
        <f>IF(OR(ISNUMBER(SEARCH("Released",tblShipments4[[#This Row],[ROSL]])),
      ISNUMBER(SEARCH("Scroll",tblShipments4[[#This Row],[ROSL]])),
      ISNUMBER(SEARCH("Y",tblShipments4[[#This Row],[ROSL]]))),
   "Released",
   "Not Released")</f>
        <v>Released</v>
      </c>
      <c r="I243" t="str">
        <f>IF(OR(tblShipments4[[#This Row],[EGM no]]="", tblShipments4[[#This Row],[EGM no]]="N.A."), "Not Submitted", "Submitted")</f>
        <v>Submitted</v>
      </c>
      <c r="J243" t="str">
        <f>IF(LEFT(tblShipments4[[#This Row],[Gateway_Extracted]],2)="IN","Valid","Invalid")</f>
        <v>Valid</v>
      </c>
      <c r="K243" t="s">
        <v>635</v>
      </c>
      <c r="L243" t="s">
        <v>649</v>
      </c>
      <c r="M243" t="s">
        <v>13</v>
      </c>
      <c r="N243" t="s">
        <v>650</v>
      </c>
      <c r="O243" t="str">
        <f>IFERROR("IN" &amp; _xlfn.TEXTBEFORE(_xlfn.TEXTAFTER(UPPER(tblShipments4[[#This Row],[Gateway_clean]]),"IN")," ",1),"")</f>
        <v>INNSA1</v>
      </c>
      <c r="P243" t="str">
        <f>SUBSTITUTE(tblShipments4[[#This Row],[Gateway]], CHAR(10), " ")</f>
        <v xml:space="preserve">AWB No. Gateway Port Gateway EGM No. Gateway EGM Date Gateway Site ID Error Code N.A.  INNSA1  134930  2017-09-12 00:00:00.0  INNSA1  C </v>
      </c>
      <c r="Q243" t="s">
        <v>651</v>
      </c>
    </row>
    <row r="244" spans="1:17" x14ac:dyDescent="0.35">
      <c r="A244" t="s">
        <v>8</v>
      </c>
      <c r="B244">
        <v>8128641</v>
      </c>
      <c r="C244" s="2" t="s">
        <v>356</v>
      </c>
      <c r="D244" s="2" t="str">
        <f>LEFT(TRIM(MID(SUBSTITUTE(tblShipments4[[#This Row],[Details]],CHAR(10)," "), FIND(CHAR(10),tblShipments4[[#This Row],[Details]])+1, 50)), 10)</f>
        <v>0512072388</v>
      </c>
      <c r="E244" t="s">
        <v>357</v>
      </c>
      <c r="F24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4" t="str">
        <f>IF(tblShipments4[[#This Row],[EGM no]]="", "Missing EGM", "EGM Submitted")</f>
        <v>EGM Submitted</v>
      </c>
      <c r="H244" t="str">
        <f>IF(OR(ISNUMBER(SEARCH("Released",tblShipments4[[#This Row],[ROSL]])),
      ISNUMBER(SEARCH("Scroll",tblShipments4[[#This Row],[ROSL]])),
      ISNUMBER(SEARCH("Y",tblShipments4[[#This Row],[ROSL]]))),
   "Released",
   "Not Released")</f>
        <v>Released</v>
      </c>
      <c r="I244" t="str">
        <f>IF(OR(tblShipments4[[#This Row],[EGM no]]="", tblShipments4[[#This Row],[EGM no]]="N.A."), "Not Submitted", "Submitted")</f>
        <v>Submitted</v>
      </c>
      <c r="J244" t="str">
        <f>IF(LEFT(tblShipments4[[#This Row],[Gateway_Extracted]],2)="IN","Valid","Invalid")</f>
        <v>Valid</v>
      </c>
      <c r="K244" t="s">
        <v>358</v>
      </c>
      <c r="L244" t="s">
        <v>359</v>
      </c>
      <c r="M244" t="s">
        <v>13</v>
      </c>
      <c r="N244" t="s">
        <v>360</v>
      </c>
      <c r="O244" t="str">
        <f>IFERROR("IN" &amp; _xlfn.TEXTBEFORE(_xlfn.TEXTAFTER(UPPER(tblShipments4[[#This Row],[Gateway_clean]]),"IN")," ",1),"")</f>
        <v>INNSA1</v>
      </c>
      <c r="P244" t="str">
        <f>SUBSTITUTE(tblShipments4[[#This Row],[Gateway]], CHAR(10), " ")</f>
        <v xml:space="preserve">AWB No. Gateway Port Gateway EGM No. Gateway EGM Date Gateway Site ID Error Code N.A.  INNSA1  N.A.  N.A.  N.A.  N.A. </v>
      </c>
      <c r="Q244" t="s">
        <v>26</v>
      </c>
    </row>
    <row r="245" spans="1:17" x14ac:dyDescent="0.35">
      <c r="A245" t="s">
        <v>8</v>
      </c>
      <c r="B245">
        <v>8411392</v>
      </c>
      <c r="C245" s="2" t="s">
        <v>560</v>
      </c>
      <c r="D245" s="2" t="str">
        <f>LEFT(TRIM(MID(SUBSTITUTE(tblShipments4[[#This Row],[Details]],CHAR(10)," "), FIND(CHAR(10),tblShipments4[[#This Row],[Details]])+1, 50)), 10)</f>
        <v>0512072388</v>
      </c>
      <c r="E245" t="s">
        <v>561</v>
      </c>
      <c r="F24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5" t="str">
        <f>IF(tblShipments4[[#This Row],[EGM no]]="", "Missing EGM", "EGM Submitted")</f>
        <v>EGM Submitted</v>
      </c>
      <c r="H245" t="str">
        <f>IF(OR(ISNUMBER(SEARCH("Released",tblShipments4[[#This Row],[ROSL]])),
      ISNUMBER(SEARCH("Scroll",tblShipments4[[#This Row],[ROSL]])),
      ISNUMBER(SEARCH("Y",tblShipments4[[#This Row],[ROSL]]))),
   "Released",
   "Not Released")</f>
        <v>Released</v>
      </c>
      <c r="I245" t="str">
        <f>IF(OR(tblShipments4[[#This Row],[EGM no]]="", tblShipments4[[#This Row],[EGM no]]="N.A."), "Not Submitted", "Submitted")</f>
        <v>Submitted</v>
      </c>
      <c r="J245" t="str">
        <f>IF(LEFT(tblShipments4[[#This Row],[Gateway_Extracted]],2)="IN","Valid","Invalid")</f>
        <v>Valid</v>
      </c>
      <c r="K245" t="s">
        <v>562</v>
      </c>
      <c r="L245" t="s">
        <v>563</v>
      </c>
      <c r="M245" t="s">
        <v>31</v>
      </c>
      <c r="N245" t="s">
        <v>564</v>
      </c>
      <c r="O245" t="str">
        <f>IFERROR("IN" &amp; _xlfn.TEXTBEFORE(_xlfn.TEXTAFTER(UPPER(tblShipments4[[#This Row],[Gateway_clean]]),"IN")," ",1),"")</f>
        <v>INNSA1</v>
      </c>
      <c r="P245" t="str">
        <f>SUBSTITUTE(tblShipments4[[#This Row],[Gateway]], CHAR(10), " ")</f>
        <v xml:space="preserve">AWB No. Gateway Port Gateway EGM No. Gateway EGM Date Gateway Site ID Error Code N.A.  INNSA1  N.A.  N.A.  N.A.  N.A. </v>
      </c>
      <c r="Q245" t="s">
        <v>26</v>
      </c>
    </row>
    <row r="246" spans="1:17" x14ac:dyDescent="0.35">
      <c r="A246" t="s">
        <v>8</v>
      </c>
      <c r="B246">
        <v>9212445</v>
      </c>
      <c r="C246" s="2" t="s">
        <v>993</v>
      </c>
      <c r="D246" s="2" t="str">
        <f>LEFT(TRIM(MID(SUBSTITUTE(tblShipments4[[#This Row],[Details]],CHAR(10)," "), FIND(CHAR(10),tblShipments4[[#This Row],[Details]])+1, 50)), 10)</f>
        <v>0512084262</v>
      </c>
      <c r="E246" t="s">
        <v>994</v>
      </c>
      <c r="F24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6" t="str">
        <f>IF(tblShipments4[[#This Row],[EGM no]]="", "Missing EGM", "EGM Submitted")</f>
        <v>EGM Submitted</v>
      </c>
      <c r="H246" t="str">
        <f>IF(OR(ISNUMBER(SEARCH("Released",tblShipments4[[#This Row],[ROSL]])),
      ISNUMBER(SEARCH("Scroll",tblShipments4[[#This Row],[ROSL]])),
      ISNUMBER(SEARCH("Y",tblShipments4[[#This Row],[ROSL]]))),
   "Released",
   "Not Released")</f>
        <v>Released</v>
      </c>
      <c r="I246" t="str">
        <f>IF(OR(tblShipments4[[#This Row],[EGM no]]="", tblShipments4[[#This Row],[EGM no]]="N.A."), "Not Submitted", "Submitted")</f>
        <v>Submitted</v>
      </c>
      <c r="J246" t="str">
        <f>IF(LEFT(tblShipments4[[#This Row],[Gateway_Extracted]],2)="IN","Valid","Invalid")</f>
        <v>Valid</v>
      </c>
      <c r="K246" t="s">
        <v>995</v>
      </c>
      <c r="L246" t="s">
        <v>996</v>
      </c>
      <c r="M246" t="s">
        <v>13</v>
      </c>
      <c r="N246" t="s">
        <v>997</v>
      </c>
      <c r="O246" t="str">
        <f>IFERROR("IN" &amp; _xlfn.TEXTBEFORE(_xlfn.TEXTAFTER(UPPER(tblShipments4[[#This Row],[Gateway_clean]]),"IN")," ",1),"")</f>
        <v>INNSA1</v>
      </c>
      <c r="P246" t="str">
        <f>SUBSTITUTE(tblShipments4[[#This Row],[Gateway]], CHAR(10), " ")</f>
        <v xml:space="preserve">AWB No. Gateway Port Gateway EGM No. Gateway EGM Date Gateway Site ID Error Code N.A.  INNSA1  136637  2017-10-10 00:00:00.0  INNSA1  C </v>
      </c>
      <c r="Q246" t="s">
        <v>998</v>
      </c>
    </row>
    <row r="247" spans="1:17" x14ac:dyDescent="0.35">
      <c r="A247" t="s">
        <v>8</v>
      </c>
      <c r="B247">
        <v>1670652</v>
      </c>
      <c r="C247" s="2" t="s">
        <v>1579</v>
      </c>
      <c r="D247" s="2" t="str">
        <f>LEFT(TRIM(MID(SUBSTITUTE(tblShipments4[[#This Row],[Details]],CHAR(10)," "), FIND(CHAR(10),tblShipments4[[#This Row],[Details]])+1, 50)), 10)</f>
        <v>0513013971</v>
      </c>
      <c r="E247" t="s">
        <v>1584</v>
      </c>
      <c r="F24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7" t="str">
        <f>IF(tblShipments4[[#This Row],[EGM no]]="", "Missing EGM", "EGM Submitted")</f>
        <v>EGM Submitted</v>
      </c>
      <c r="H247" t="str">
        <f>IF(OR(ISNUMBER(SEARCH("Released",tblShipments4[[#This Row],[ROSL]])),
      ISNUMBER(SEARCH("Scroll",tblShipments4[[#This Row],[ROSL]])),
      ISNUMBER(SEARCH("Y",tblShipments4[[#This Row],[ROSL]]))),
   "Released",
   "Not Released")</f>
        <v>Released</v>
      </c>
      <c r="I247" t="str">
        <f>IF(OR(tblShipments4[[#This Row],[EGM no]]="", tblShipments4[[#This Row],[EGM no]]="N.A."), "Not Submitted", "Submitted")</f>
        <v>Submitted</v>
      </c>
      <c r="J247" t="str">
        <f>IF(LEFT(tblShipments4[[#This Row],[Gateway_Extracted]],2)="IN","Valid","Invalid")</f>
        <v>Valid</v>
      </c>
      <c r="K247" t="s">
        <v>1585</v>
      </c>
      <c r="L247" t="s">
        <v>1586</v>
      </c>
      <c r="M247" t="s">
        <v>13</v>
      </c>
      <c r="N247" t="s">
        <v>1587</v>
      </c>
      <c r="O247" t="str">
        <f>IFERROR("IN" &amp; _xlfn.TEXTBEFORE(_xlfn.TEXTAFTER(UPPER(tblShipments4[[#This Row],[Gateway_clean]]),"IN")," ",1),"")</f>
        <v>INNSA1</v>
      </c>
      <c r="P247" t="str">
        <f>SUBSTITUTE(tblShipments4[[#This Row],[Gateway]], CHAR(10), " ")</f>
        <v xml:space="preserve">AWB No. Gateway Port Gateway EGM No. Gateway EGM Date Gateway Site ID Error Code N.A.  INNSA1  141344  2017-12-26 00:00:00.0  INNSA1  C </v>
      </c>
      <c r="Q247" t="s">
        <v>1588</v>
      </c>
    </row>
    <row r="248" spans="1:17" x14ac:dyDescent="0.35">
      <c r="A248" t="s">
        <v>8</v>
      </c>
      <c r="B248">
        <v>1255601</v>
      </c>
      <c r="C248" s="2" t="s">
        <v>1336</v>
      </c>
      <c r="D248" s="2" t="str">
        <f>LEFT(TRIM(MID(SUBSTITUTE(tblShipments4[[#This Row],[Details]],CHAR(10)," "), FIND(CHAR(10),tblShipments4[[#This Row],[Details]])+1, 50)), 10)</f>
        <v>0513021612</v>
      </c>
      <c r="E248" t="s">
        <v>1369</v>
      </c>
      <c r="F24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8" t="str">
        <f>IF(tblShipments4[[#This Row],[EGM no]]="", "Missing EGM", "EGM Submitted")</f>
        <v>EGM Submitted</v>
      </c>
      <c r="H248" t="str">
        <f>IF(OR(ISNUMBER(SEARCH("Released",tblShipments4[[#This Row],[ROSL]])),
      ISNUMBER(SEARCH("Scroll",tblShipments4[[#This Row],[ROSL]])),
      ISNUMBER(SEARCH("Y",tblShipments4[[#This Row],[ROSL]]))),
   "Released",
   "Not Released")</f>
        <v>Released</v>
      </c>
      <c r="I248" t="str">
        <f>IF(OR(tblShipments4[[#This Row],[EGM no]]="", tblShipments4[[#This Row],[EGM no]]="N.A."), "Not Submitted", "Submitted")</f>
        <v>Submitted</v>
      </c>
      <c r="J248" t="str">
        <f>IF(LEFT(tblShipments4[[#This Row],[Gateway_Extracted]],2)="IN","Valid","Invalid")</f>
        <v>Valid</v>
      </c>
      <c r="K248" t="s">
        <v>1364</v>
      </c>
      <c r="L248" t="s">
        <v>1370</v>
      </c>
      <c r="M248" t="s">
        <v>13</v>
      </c>
      <c r="N248" t="s">
        <v>1371</v>
      </c>
      <c r="O248" t="str">
        <f>IFERROR("IN" &amp; _xlfn.TEXTBEFORE(_xlfn.TEXTAFTER(UPPER(tblShipments4[[#This Row],[Gateway_clean]]),"IN")," ",1),"")</f>
        <v>INNSA1</v>
      </c>
      <c r="P248" t="str">
        <f>SUBSTITUTE(tblShipments4[[#This Row],[Gateway]], CHAR(10), " ")</f>
        <v xml:space="preserve">AWB No. Gateway Port Gateway EGM No. Gateway EGM Date Gateway Site ID Error Code N.A.  INNSA1  139792  2017-11-30 00:00:00.0  INNSA1  S </v>
      </c>
      <c r="Q248" t="s">
        <v>1372</v>
      </c>
    </row>
    <row r="249" spans="1:17" x14ac:dyDescent="0.35">
      <c r="A249" t="s">
        <v>8</v>
      </c>
      <c r="B249">
        <v>8035307</v>
      </c>
      <c r="C249" s="2" t="s">
        <v>295</v>
      </c>
      <c r="D249" s="2" t="str">
        <f>LEFT(TRIM(MID(SUBSTITUTE(tblShipments4[[#This Row],[Details]],CHAR(10)," "), FIND(CHAR(10),tblShipments4[[#This Row],[Details]])+1, 50)), 10)</f>
        <v>0513021612</v>
      </c>
      <c r="E249" t="s">
        <v>301</v>
      </c>
      <c r="F24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49" t="str">
        <f>IF(tblShipments4[[#This Row],[EGM no]]="", "Missing EGM", "EGM Submitted")</f>
        <v>EGM Submitted</v>
      </c>
      <c r="H249" t="str">
        <f>IF(OR(ISNUMBER(SEARCH("Released",tblShipments4[[#This Row],[ROSL]])),
      ISNUMBER(SEARCH("Scroll",tblShipments4[[#This Row],[ROSL]])),
      ISNUMBER(SEARCH("Y",tblShipments4[[#This Row],[ROSL]]))),
   "Released",
   "Not Released")</f>
        <v>Released</v>
      </c>
      <c r="I249" t="str">
        <f>IF(OR(tblShipments4[[#This Row],[EGM no]]="", tblShipments4[[#This Row],[EGM no]]="N.A."), "Not Submitted", "Submitted")</f>
        <v>Submitted</v>
      </c>
      <c r="J249" t="str">
        <f>IF(LEFT(tblShipments4[[#This Row],[Gateway_Extracted]],2)="IN","Valid","Invalid")</f>
        <v>Valid</v>
      </c>
      <c r="K249" t="s">
        <v>302</v>
      </c>
      <c r="L249" t="s">
        <v>303</v>
      </c>
      <c r="M249" t="s">
        <v>13</v>
      </c>
      <c r="N249" t="s">
        <v>304</v>
      </c>
      <c r="O249" t="str">
        <f>IFERROR("IN" &amp; _xlfn.TEXTBEFORE(_xlfn.TEXTAFTER(UPPER(tblShipments4[[#This Row],[Gateway_clean]]),"IN")," ",1),"")</f>
        <v>INNSA1</v>
      </c>
      <c r="P249" t="str">
        <f>SUBSTITUTE(tblShipments4[[#This Row],[Gateway]], CHAR(10), " ")</f>
        <v xml:space="preserve">AWB No. Gateway Port Gateway EGM No. Gateway EGM Date Gateway Site ID Error Code N.A.  INNSA1  133314  2017-08-16 00:00:00.0  INNSA1  S </v>
      </c>
      <c r="Q249" t="s">
        <v>305</v>
      </c>
    </row>
    <row r="250" spans="1:17" x14ac:dyDescent="0.35">
      <c r="A250" t="s">
        <v>8</v>
      </c>
      <c r="B250">
        <v>7646561</v>
      </c>
      <c r="C250" s="2" t="s">
        <v>62</v>
      </c>
      <c r="D250" s="2" t="str">
        <f>LEFT(TRIM(MID(SUBSTITUTE(tblShipments4[[#This Row],[Details]],CHAR(10)," "), FIND(CHAR(10),tblShipments4[[#This Row],[Details]])+1, 50)), 10)</f>
        <v>0513056661</v>
      </c>
      <c r="E250" t="s">
        <v>63</v>
      </c>
      <c r="F25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0" t="str">
        <f>IF(tblShipments4[[#This Row],[EGM no]]="", "Missing EGM", "EGM Submitted")</f>
        <v>EGM Submitted</v>
      </c>
      <c r="H250" t="str">
        <f>IF(OR(ISNUMBER(SEARCH("Released",tblShipments4[[#This Row],[ROSL]])),
      ISNUMBER(SEARCH("Scroll",tblShipments4[[#This Row],[ROSL]])),
      ISNUMBER(SEARCH("Y",tblShipments4[[#This Row],[ROSL]]))),
   "Released",
   "Not Released")</f>
        <v>Released</v>
      </c>
      <c r="I250" t="str">
        <f>IF(OR(tblShipments4[[#This Row],[EGM no]]="", tblShipments4[[#This Row],[EGM no]]="N.A."), "Not Submitted", "Submitted")</f>
        <v>Submitted</v>
      </c>
      <c r="J250" t="str">
        <f>IF(LEFT(tblShipments4[[#This Row],[Gateway_Extracted]],2)="IN","Valid","Invalid")</f>
        <v>Valid</v>
      </c>
      <c r="K250" t="s">
        <v>64</v>
      </c>
      <c r="L250" t="s">
        <v>65</v>
      </c>
      <c r="M250" t="s">
        <v>13</v>
      </c>
      <c r="N250" t="s">
        <v>66</v>
      </c>
      <c r="O250" t="str">
        <f>IFERROR("IN" &amp; _xlfn.TEXTBEFORE(_xlfn.TEXTAFTER(UPPER(tblShipments4[[#This Row],[Gateway_clean]]),"IN")," ",1),"")</f>
        <v>INNSA1</v>
      </c>
      <c r="P250" t="str">
        <f>SUBSTITUTE(tblShipments4[[#This Row],[Gateway]], CHAR(10), " ")</f>
        <v xml:space="preserve">AWB No. Gateway Port Gateway EGM No. Gateway EGM Date Gateway Site ID Error Code N.A.  INNSA1  132025  2017-07-24 00:00:00.0  INNSA1  S </v>
      </c>
      <c r="Q250" t="s">
        <v>37</v>
      </c>
    </row>
    <row r="251" spans="1:17" x14ac:dyDescent="0.35">
      <c r="A251" t="s">
        <v>8</v>
      </c>
      <c r="B251">
        <v>8620347</v>
      </c>
      <c r="C251" s="2" t="s">
        <v>727</v>
      </c>
      <c r="D251" s="2" t="str">
        <f>LEFT(TRIM(MID(SUBSTITUTE(tblShipments4[[#This Row],[Details]],CHAR(10)," "), FIND(CHAR(10),tblShipments4[[#This Row],[Details]])+1, 50)), 10)</f>
        <v>0514025026</v>
      </c>
      <c r="E251" t="s">
        <v>728</v>
      </c>
      <c r="F25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1" t="str">
        <f>IF(tblShipments4[[#This Row],[EGM no]]="", "Missing EGM", "EGM Submitted")</f>
        <v>EGM Submitted</v>
      </c>
      <c r="H251" t="str">
        <f>IF(OR(ISNUMBER(SEARCH("Released",tblShipments4[[#This Row],[ROSL]])),
      ISNUMBER(SEARCH("Scroll",tblShipments4[[#This Row],[ROSL]])),
      ISNUMBER(SEARCH("Y",tblShipments4[[#This Row],[ROSL]]))),
   "Released",
   "Not Released")</f>
        <v>Released</v>
      </c>
      <c r="I251" t="str">
        <f>IF(OR(tblShipments4[[#This Row],[EGM no]]="", tblShipments4[[#This Row],[EGM no]]="N.A."), "Not Submitted", "Submitted")</f>
        <v>Submitted</v>
      </c>
      <c r="J251" t="str">
        <f>IF(LEFT(tblShipments4[[#This Row],[Gateway_Extracted]],2)="IN","Valid","Invalid")</f>
        <v>Valid</v>
      </c>
      <c r="K251" t="s">
        <v>669</v>
      </c>
      <c r="L251" t="s">
        <v>678</v>
      </c>
      <c r="M251" t="s">
        <v>13</v>
      </c>
      <c r="N251" t="s">
        <v>729</v>
      </c>
      <c r="O251" t="str">
        <f>IFERROR("IN" &amp; _xlfn.TEXTBEFORE(_xlfn.TEXTAFTER(UPPER(tblShipments4[[#This Row],[Gateway_clean]]),"IN")," ",1),"")</f>
        <v>INNSA1</v>
      </c>
      <c r="P251" t="str">
        <f>SUBSTITUTE(tblShipments4[[#This Row],[Gateway]], CHAR(10), " ")</f>
        <v xml:space="preserve">AWB No. Gateway Port Gateway EGM No. Gateway EGM Date Gateway Site ID Error Code N.A.  INNSA1  134938  2017-09-12 00:00:00.0  INNSA1  S </v>
      </c>
      <c r="Q251" t="s">
        <v>680</v>
      </c>
    </row>
    <row r="252" spans="1:17" x14ac:dyDescent="0.35">
      <c r="A252" t="s">
        <v>8</v>
      </c>
      <c r="B252">
        <v>1468626</v>
      </c>
      <c r="C252" s="2" t="s">
        <v>1459</v>
      </c>
      <c r="D252" s="2" t="str">
        <f>LEFT(TRIM(MID(SUBSTITUTE(tblShipments4[[#This Row],[Details]],CHAR(10)," "), FIND(CHAR(10),tblShipments4[[#This Row],[Details]])+1, 50)), 10)</f>
        <v>0514025026</v>
      </c>
      <c r="E252" t="s">
        <v>1465</v>
      </c>
      <c r="F25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2" t="str">
        <f>IF(tblShipments4[[#This Row],[EGM no]]="", "Missing EGM", "EGM Submitted")</f>
        <v>EGM Submitted</v>
      </c>
      <c r="H252" t="str">
        <f>IF(OR(ISNUMBER(SEARCH("Released",tblShipments4[[#This Row],[ROSL]])),
      ISNUMBER(SEARCH("Scroll",tblShipments4[[#This Row],[ROSL]])),
      ISNUMBER(SEARCH("Y",tblShipments4[[#This Row],[ROSL]]))),
   "Released",
   "Not Released")</f>
        <v>Released</v>
      </c>
      <c r="I252" t="str">
        <f>IF(OR(tblShipments4[[#This Row],[EGM no]]="", tblShipments4[[#This Row],[EGM no]]="N.A."), "Not Submitted", "Submitted")</f>
        <v>Submitted</v>
      </c>
      <c r="J252" t="str">
        <f>IF(LEFT(tblShipments4[[#This Row],[Gateway_Extracted]],2)="IN","Valid","Invalid")</f>
        <v>Valid</v>
      </c>
      <c r="K252" t="s">
        <v>1466</v>
      </c>
      <c r="L252" t="s">
        <v>1467</v>
      </c>
      <c r="M252" t="s">
        <v>13</v>
      </c>
      <c r="N252" t="s">
        <v>1468</v>
      </c>
      <c r="O252" t="str">
        <f>IFERROR("IN" &amp; _xlfn.TEXTBEFORE(_xlfn.TEXTAFTER(UPPER(tblShipments4[[#This Row],[Gateway_clean]]),"IN")," ",1),"")</f>
        <v>INNSA1</v>
      </c>
      <c r="P252" t="str">
        <f>SUBSTITUTE(tblShipments4[[#This Row],[Gateway]], CHAR(10), " ")</f>
        <v xml:space="preserve">AWB No. Gateway Port Gateway EGM No. Gateway EGM Date Gateway Site ID Error Code N.A.  INNSA1  140365  2017-12-08 00:00:00.0  INNSA1  N </v>
      </c>
      <c r="Q252" t="s">
        <v>1469</v>
      </c>
    </row>
    <row r="253" spans="1:17" x14ac:dyDescent="0.35">
      <c r="A253" t="s">
        <v>8</v>
      </c>
      <c r="B253">
        <v>9089004</v>
      </c>
      <c r="C253" s="2" t="s">
        <v>939</v>
      </c>
      <c r="D253" s="2" t="str">
        <f>LEFT(TRIM(MID(SUBSTITUTE(tblShipments4[[#This Row],[Details]],CHAR(10)," "), FIND(CHAR(10),tblShipments4[[#This Row],[Details]])+1, 50)), 10)</f>
        <v>0514067969</v>
      </c>
      <c r="E253" t="s">
        <v>945</v>
      </c>
      <c r="F25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3" t="str">
        <f>IF(tblShipments4[[#This Row],[EGM no]]="", "Missing EGM", "EGM Submitted")</f>
        <v>EGM Submitted</v>
      </c>
      <c r="H253" t="str">
        <f>IF(OR(ISNUMBER(SEARCH("Released",tblShipments4[[#This Row],[ROSL]])),
      ISNUMBER(SEARCH("Scroll",tblShipments4[[#This Row],[ROSL]])),
      ISNUMBER(SEARCH("Y",tblShipments4[[#This Row],[ROSL]]))),
   "Released",
   "Not Released")</f>
        <v>Released</v>
      </c>
      <c r="I253" t="str">
        <f>IF(OR(tblShipments4[[#This Row],[EGM no]]="", tblShipments4[[#This Row],[EGM no]]="N.A."), "Not Submitted", "Submitted")</f>
        <v>Submitted</v>
      </c>
      <c r="J253" t="str">
        <f>IF(LEFT(tblShipments4[[#This Row],[Gateway_Extracted]],2)="IN","Valid","Invalid")</f>
        <v>Valid</v>
      </c>
      <c r="K253" t="s">
        <v>907</v>
      </c>
      <c r="L253" t="s">
        <v>946</v>
      </c>
      <c r="M253" t="s">
        <v>13</v>
      </c>
      <c r="N253" t="s">
        <v>947</v>
      </c>
      <c r="O253" t="str">
        <f>IFERROR("IN" &amp; _xlfn.TEXTBEFORE(_xlfn.TEXTAFTER(UPPER(tblShipments4[[#This Row],[Gateway_clean]]),"IN")," ",1),"")</f>
        <v>INNSA1</v>
      </c>
      <c r="P253" t="str">
        <f>SUBSTITUTE(tblShipments4[[#This Row],[Gateway]], CHAR(10), " ")</f>
        <v xml:space="preserve">AWB No. Gateway Port Gateway EGM No. Gateway EGM Date Gateway Site ID Error Code N.A.  INNSA1  137096  2017-10-17 00:00:00.0  INNSA1  C </v>
      </c>
      <c r="Q253" t="s">
        <v>948</v>
      </c>
    </row>
    <row r="254" spans="1:17" x14ac:dyDescent="0.35">
      <c r="A254" t="s">
        <v>8</v>
      </c>
      <c r="B254">
        <v>1367821</v>
      </c>
      <c r="C254" s="2" t="s">
        <v>1436</v>
      </c>
      <c r="D254" s="2" t="str">
        <f>LEFT(TRIM(MID(SUBSTITUTE(tblShipments4[[#This Row],[Details]],CHAR(10)," "), FIND(CHAR(10),tblShipments4[[#This Row],[Details]])+1, 50)), 10)</f>
        <v>0514067969</v>
      </c>
      <c r="E254" t="s">
        <v>1442</v>
      </c>
      <c r="F25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4" t="str">
        <f>IF(tblShipments4[[#This Row],[EGM no]]="", "Missing EGM", "EGM Submitted")</f>
        <v>EGM Submitted</v>
      </c>
      <c r="H254" t="str">
        <f>IF(OR(ISNUMBER(SEARCH("Released",tblShipments4[[#This Row],[ROSL]])),
      ISNUMBER(SEARCH("Scroll",tblShipments4[[#This Row],[ROSL]])),
      ISNUMBER(SEARCH("Y",tblShipments4[[#This Row],[ROSL]]))),
   "Released",
   "Not Released")</f>
        <v>Released</v>
      </c>
      <c r="I254" t="str">
        <f>IF(OR(tblShipments4[[#This Row],[EGM no]]="", tblShipments4[[#This Row],[EGM no]]="N.A."), "Not Submitted", "Submitted")</f>
        <v>Submitted</v>
      </c>
      <c r="J254" t="str">
        <f>IF(LEFT(tblShipments4[[#This Row],[Gateway_Extracted]],2)="IN","Valid","Invalid")</f>
        <v>Valid</v>
      </c>
      <c r="K254" t="s">
        <v>1443</v>
      </c>
      <c r="L254" t="s">
        <v>1444</v>
      </c>
      <c r="M254" t="s">
        <v>13</v>
      </c>
      <c r="N254" t="s">
        <v>1445</v>
      </c>
      <c r="O254" t="str">
        <f>IFERROR("IN" &amp; _xlfn.TEXTBEFORE(_xlfn.TEXTAFTER(UPPER(tblShipments4[[#This Row],[Gateway_clean]]),"IN")," ",1),"")</f>
        <v>INNSA1</v>
      </c>
      <c r="P254" t="str">
        <f>SUBSTITUTE(tblShipments4[[#This Row],[Gateway]], CHAR(10), " ")</f>
        <v xml:space="preserve">AWB No. Gateway Port Gateway EGM No. Gateway EGM Date Gateway Site ID Error Code N.A.  INNSA1  140726  2017-12-15 00:00:00.0  INNSA1  C </v>
      </c>
      <c r="Q254" t="s">
        <v>1446</v>
      </c>
    </row>
    <row r="255" spans="1:17" x14ac:dyDescent="0.35">
      <c r="A255" t="s">
        <v>8</v>
      </c>
      <c r="B255">
        <v>1223301</v>
      </c>
      <c r="C255" s="2" t="s">
        <v>1314</v>
      </c>
      <c r="D255" s="2" t="str">
        <f>LEFT(TRIM(MID(SUBSTITUTE(tblShipments4[[#This Row],[Details]],CHAR(10)," "), FIND(CHAR(10),tblShipments4[[#This Row],[Details]])+1, 50)), 10)</f>
        <v>0514078901</v>
      </c>
      <c r="E255" t="s">
        <v>1329</v>
      </c>
      <c r="F25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5" t="str">
        <f>IF(tblShipments4[[#This Row],[EGM no]]="", "Missing EGM", "EGM Submitted")</f>
        <v>EGM Submitted</v>
      </c>
      <c r="H255" t="str">
        <f>IF(OR(ISNUMBER(SEARCH("Released",tblShipments4[[#This Row],[ROSL]])),
      ISNUMBER(SEARCH("Scroll",tblShipments4[[#This Row],[ROSL]])),
      ISNUMBER(SEARCH("Y",tblShipments4[[#This Row],[ROSL]]))),
   "Released",
   "Not Released")</f>
        <v>Released</v>
      </c>
      <c r="I255" t="str">
        <f>IF(OR(tblShipments4[[#This Row],[EGM no]]="", tblShipments4[[#This Row],[EGM no]]="N.A."), "Not Submitted", "Submitted")</f>
        <v>Submitted</v>
      </c>
      <c r="J255" t="str">
        <f>IF(LEFT(tblShipments4[[#This Row],[Gateway_Extracted]],2)="IN","Valid","Invalid")</f>
        <v>Valid</v>
      </c>
      <c r="K255" t="s">
        <v>1326</v>
      </c>
      <c r="L255" t="s">
        <v>1327</v>
      </c>
      <c r="M255" t="s">
        <v>31</v>
      </c>
      <c r="N255" t="s">
        <v>1330</v>
      </c>
      <c r="O255" t="str">
        <f>IFERROR("IN" &amp; _xlfn.TEXTBEFORE(_xlfn.TEXTAFTER(UPPER(tblShipments4[[#This Row],[Gateway_clean]]),"IN")," ",1),"")</f>
        <v>INNSA1</v>
      </c>
      <c r="P255" t="str">
        <f>SUBSTITUTE(tblShipments4[[#This Row],[Gateway]], CHAR(10), " ")</f>
        <v xml:space="preserve">AWB No. Gateway Port Gateway EGM No. Gateway EGM Date Gateway Site ID Error Code N.A.  INNSA1  N.A.  N.A.  N.A.  N.A. </v>
      </c>
      <c r="Q255" t="s">
        <v>26</v>
      </c>
    </row>
    <row r="256" spans="1:17" x14ac:dyDescent="0.35">
      <c r="A256" t="s">
        <v>8</v>
      </c>
      <c r="B256">
        <v>1223298</v>
      </c>
      <c r="C256" s="2" t="s">
        <v>1314</v>
      </c>
      <c r="D256" s="2" t="str">
        <f>LEFT(TRIM(MID(SUBSTITUTE(tblShipments4[[#This Row],[Details]],CHAR(10)," "), FIND(CHAR(10),tblShipments4[[#This Row],[Details]])+1, 50)), 10)</f>
        <v>0514078901</v>
      </c>
      <c r="E256" t="s">
        <v>1325</v>
      </c>
      <c r="F25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6" t="str">
        <f>IF(tblShipments4[[#This Row],[EGM no]]="", "Missing EGM", "EGM Submitted")</f>
        <v>EGM Submitted</v>
      </c>
      <c r="H256" t="str">
        <f>IF(OR(ISNUMBER(SEARCH("Released",tblShipments4[[#This Row],[ROSL]])),
      ISNUMBER(SEARCH("Scroll",tblShipments4[[#This Row],[ROSL]])),
      ISNUMBER(SEARCH("Y",tblShipments4[[#This Row],[ROSL]]))),
   "Released",
   "Not Released")</f>
        <v>Released</v>
      </c>
      <c r="I256" t="str">
        <f>IF(OR(tblShipments4[[#This Row],[EGM no]]="", tblShipments4[[#This Row],[EGM no]]="N.A."), "Not Submitted", "Submitted")</f>
        <v>Submitted</v>
      </c>
      <c r="J256" t="str">
        <f>IF(LEFT(tblShipments4[[#This Row],[Gateway_Extracted]],2)="IN","Valid","Invalid")</f>
        <v>Valid</v>
      </c>
      <c r="K256" t="s">
        <v>1326</v>
      </c>
      <c r="L256" t="s">
        <v>1327</v>
      </c>
      <c r="M256" t="s">
        <v>31</v>
      </c>
      <c r="N256" t="s">
        <v>1328</v>
      </c>
      <c r="O256" t="str">
        <f>IFERROR("IN" &amp; _xlfn.TEXTBEFORE(_xlfn.TEXTAFTER(UPPER(tblShipments4[[#This Row],[Gateway_clean]]),"IN")," ",1),"")</f>
        <v>INNSA1</v>
      </c>
      <c r="P256" t="str">
        <f>SUBSTITUTE(tblShipments4[[#This Row],[Gateway]], CHAR(10), " ")</f>
        <v xml:space="preserve">AWB No. Gateway Port Gateway EGM No. Gateway EGM Date Gateway Site ID Error Code N.A.  INNSA1  N.A.  N.A.  N.A.  N.A. </v>
      </c>
      <c r="Q256" t="s">
        <v>26</v>
      </c>
    </row>
    <row r="257" spans="1:17" x14ac:dyDescent="0.35">
      <c r="A257" t="s">
        <v>8</v>
      </c>
      <c r="B257">
        <v>9086361</v>
      </c>
      <c r="C257" s="2" t="s">
        <v>939</v>
      </c>
      <c r="D257" s="2" t="str">
        <f>LEFT(TRIM(MID(SUBSTITUTE(tblShipments4[[#This Row],[Details]],CHAR(10)," "), FIND(CHAR(10),tblShipments4[[#This Row],[Details]])+1, 50)), 10)</f>
        <v>0514085720</v>
      </c>
      <c r="E257" t="s">
        <v>940</v>
      </c>
      <c r="F25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7" t="str">
        <f>IF(tblShipments4[[#This Row],[EGM no]]="", "Missing EGM", "EGM Submitted")</f>
        <v>EGM Submitted</v>
      </c>
      <c r="H257" t="str">
        <f>IF(OR(ISNUMBER(SEARCH("Released",tblShipments4[[#This Row],[ROSL]])),
      ISNUMBER(SEARCH("Scroll",tblShipments4[[#This Row],[ROSL]])),
      ISNUMBER(SEARCH("Y",tblShipments4[[#This Row],[ROSL]]))),
   "Released",
   "Not Released")</f>
        <v>Released</v>
      </c>
      <c r="I257" t="str">
        <f>IF(OR(tblShipments4[[#This Row],[EGM no]]="", tblShipments4[[#This Row],[EGM no]]="N.A."), "Not Submitted", "Submitted")</f>
        <v>Submitted</v>
      </c>
      <c r="J257" t="str">
        <f>IF(LEFT(tblShipments4[[#This Row],[Gateway_Extracted]],2)="IN","Valid","Invalid")</f>
        <v>Valid</v>
      </c>
      <c r="K257" t="s">
        <v>941</v>
      </c>
      <c r="L257" t="s">
        <v>942</v>
      </c>
      <c r="M257" t="s">
        <v>31</v>
      </c>
      <c r="N257" t="s">
        <v>943</v>
      </c>
      <c r="O257" t="str">
        <f>IFERROR("IN" &amp; _xlfn.TEXTBEFORE(_xlfn.TEXTAFTER(UPPER(tblShipments4[[#This Row],[Gateway_clean]]),"IN")," ",1),"")</f>
        <v>INNSA1</v>
      </c>
      <c r="P257" t="str">
        <f>SUBSTITUTE(tblShipments4[[#This Row],[Gateway]], CHAR(10), " ")</f>
        <v xml:space="preserve">AWB No. Gateway Port Gateway EGM No. Gateway EGM Date Gateway Site ID Error Code N.A.  INNSA1  136252  2017-10-04 00:00:00.0  INNSA1  S </v>
      </c>
      <c r="Q257" t="s">
        <v>944</v>
      </c>
    </row>
    <row r="258" spans="1:17" x14ac:dyDescent="0.35">
      <c r="A258" t="s">
        <v>8</v>
      </c>
      <c r="B258">
        <v>8961510</v>
      </c>
      <c r="C258" s="2" t="s">
        <v>874</v>
      </c>
      <c r="D258" s="2" t="str">
        <f>LEFT(TRIM(MID(SUBSTITUTE(tblShipments4[[#This Row],[Details]],CHAR(10)," "), FIND(CHAR(10),tblShipments4[[#This Row],[Details]])+1, 50)), 10)</f>
        <v>0515036919</v>
      </c>
      <c r="E258" t="s">
        <v>875</v>
      </c>
      <c r="F25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8" t="str">
        <f>IF(tblShipments4[[#This Row],[EGM no]]="", "Missing EGM", "EGM Submitted")</f>
        <v>EGM Submitted</v>
      </c>
      <c r="H258" t="str">
        <f>IF(OR(ISNUMBER(SEARCH("Released",tblShipments4[[#This Row],[ROSL]])),
      ISNUMBER(SEARCH("Scroll",tblShipments4[[#This Row],[ROSL]])),
      ISNUMBER(SEARCH("Y",tblShipments4[[#This Row],[ROSL]]))),
   "Released",
   "Not Released")</f>
        <v>Released</v>
      </c>
      <c r="I258" t="str">
        <f>IF(OR(tblShipments4[[#This Row],[EGM no]]="", tblShipments4[[#This Row],[EGM no]]="N.A."), "Not Submitted", "Submitted")</f>
        <v>Submitted</v>
      </c>
      <c r="J258" t="str">
        <f>IF(LEFT(tblShipments4[[#This Row],[Gateway_Extracted]],2)="IN","Valid","Invalid")</f>
        <v>Valid</v>
      </c>
      <c r="K258" t="s">
        <v>876</v>
      </c>
      <c r="L258" t="s">
        <v>877</v>
      </c>
      <c r="M258" t="s">
        <v>878</v>
      </c>
      <c r="N258" t="s">
        <v>879</v>
      </c>
      <c r="O258" t="str">
        <f>IFERROR("IN" &amp; _xlfn.TEXTBEFORE(_xlfn.TEXTAFTER(UPPER(tblShipments4[[#This Row],[Gateway_clean]]),"IN")," ",1),"")</f>
        <v>INNSA1</v>
      </c>
      <c r="P258" t="str">
        <f>SUBSTITUTE(tblShipments4[[#This Row],[Gateway]], CHAR(10), " ")</f>
        <v xml:space="preserve">AWB No. Gateway Port Gateway EGM No. Gateway EGM Date Gateway Site ID Error Code N.A.  INNSA1  136238  2017-10-04 00:00:00.0  INNSA1  S </v>
      </c>
      <c r="Q258" t="s">
        <v>880</v>
      </c>
    </row>
    <row r="259" spans="1:17" x14ac:dyDescent="0.35">
      <c r="A259" t="s">
        <v>8</v>
      </c>
      <c r="B259">
        <v>8039228</v>
      </c>
      <c r="C259" s="2" t="s">
        <v>295</v>
      </c>
      <c r="D259" s="2" t="str">
        <f>LEFT(TRIM(MID(SUBSTITUTE(tblShipments4[[#This Row],[Details]],CHAR(10)," "), FIND(CHAR(10),tblShipments4[[#This Row],[Details]])+1, 50)), 10)</f>
        <v>0515042064</v>
      </c>
      <c r="E259" t="s">
        <v>306</v>
      </c>
      <c r="F25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59" t="str">
        <f>IF(tblShipments4[[#This Row],[EGM no]]="", "Missing EGM", "EGM Submitted")</f>
        <v>EGM Submitted</v>
      </c>
      <c r="H259" t="str">
        <f>IF(OR(ISNUMBER(SEARCH("Released",tblShipments4[[#This Row],[ROSL]])),
      ISNUMBER(SEARCH("Scroll",tblShipments4[[#This Row],[ROSL]])),
      ISNUMBER(SEARCH("Y",tblShipments4[[#This Row],[ROSL]]))),
   "Released",
   "Not Released")</f>
        <v>Released</v>
      </c>
      <c r="I259" t="str">
        <f>IF(OR(tblShipments4[[#This Row],[EGM no]]="", tblShipments4[[#This Row],[EGM no]]="N.A."), "Not Submitted", "Submitted")</f>
        <v>Submitted</v>
      </c>
      <c r="J259" t="str">
        <f>IF(LEFT(tblShipments4[[#This Row],[Gateway_Extracted]],2)="IN","Valid","Invalid")</f>
        <v>Valid</v>
      </c>
      <c r="K259" t="s">
        <v>307</v>
      </c>
      <c r="L259" t="s">
        <v>308</v>
      </c>
      <c r="M259" t="s">
        <v>13</v>
      </c>
      <c r="N259" t="s">
        <v>309</v>
      </c>
      <c r="O259" t="str">
        <f>IFERROR("IN" &amp; _xlfn.TEXTBEFORE(_xlfn.TEXTAFTER(UPPER(tblShipments4[[#This Row],[Gateway_clean]]),"IN")," ",1),"")</f>
        <v>INNSA1</v>
      </c>
      <c r="P259" t="str">
        <f>SUBSTITUTE(tblShipments4[[#This Row],[Gateway]], CHAR(10), " ")</f>
        <v xml:space="preserve">AWB No. Gateway Port Gateway EGM No. Gateway EGM Date Gateway Site ID Error Code N.A.  INNSA1  N.A.  N.A.  N.A.  N.A. </v>
      </c>
      <c r="Q259" t="s">
        <v>26</v>
      </c>
    </row>
    <row r="260" spans="1:17" x14ac:dyDescent="0.35">
      <c r="A260" t="s">
        <v>8</v>
      </c>
      <c r="B260">
        <v>8061134</v>
      </c>
      <c r="C260" s="2" t="s">
        <v>310</v>
      </c>
      <c r="D260" s="2" t="str">
        <f>LEFT(TRIM(MID(SUBSTITUTE(tblShipments4[[#This Row],[Details]],CHAR(10)," "), FIND(CHAR(10),tblShipments4[[#This Row],[Details]])+1, 50)), 10)</f>
        <v>0515042064</v>
      </c>
      <c r="E260" t="s">
        <v>316</v>
      </c>
      <c r="F26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0" t="str">
        <f>IF(tblShipments4[[#This Row],[EGM no]]="", "Missing EGM", "EGM Submitted")</f>
        <v>EGM Submitted</v>
      </c>
      <c r="H260" t="str">
        <f>IF(OR(ISNUMBER(SEARCH("Released",tblShipments4[[#This Row],[ROSL]])),
      ISNUMBER(SEARCH("Scroll",tblShipments4[[#This Row],[ROSL]])),
      ISNUMBER(SEARCH("Y",tblShipments4[[#This Row],[ROSL]]))),
   "Released",
   "Not Released")</f>
        <v>Released</v>
      </c>
      <c r="I260" t="str">
        <f>IF(OR(tblShipments4[[#This Row],[EGM no]]="", tblShipments4[[#This Row],[EGM no]]="N.A."), "Not Submitted", "Submitted")</f>
        <v>Submitted</v>
      </c>
      <c r="J260" t="str">
        <f>IF(LEFT(tblShipments4[[#This Row],[Gateway_Extracted]],2)="IN","Valid","Invalid")</f>
        <v>Valid</v>
      </c>
      <c r="K260" t="s">
        <v>317</v>
      </c>
      <c r="L260" t="s">
        <v>318</v>
      </c>
      <c r="M260" t="s">
        <v>13</v>
      </c>
      <c r="N260" t="s">
        <v>319</v>
      </c>
      <c r="O260" t="str">
        <f>IFERROR("IN" &amp; _xlfn.TEXTBEFORE(_xlfn.TEXTAFTER(UPPER(tblShipments4[[#This Row],[Gateway_clean]]),"IN")," ",1),"")</f>
        <v>INNSA1</v>
      </c>
      <c r="P260" t="str">
        <f>SUBSTITUTE(tblShipments4[[#This Row],[Gateway]], CHAR(10), " ")</f>
        <v xml:space="preserve">AWB No. Gateway Port Gateway EGM No. Gateway EGM Date Gateway Site ID Error Code N.A.  INNSA1  134474  2017-09-04 00:00:00.0  INNSA1  C </v>
      </c>
      <c r="Q260" t="s">
        <v>320</v>
      </c>
    </row>
    <row r="261" spans="1:17" x14ac:dyDescent="0.35">
      <c r="A261" t="s">
        <v>8</v>
      </c>
      <c r="B261">
        <v>7794172</v>
      </c>
      <c r="C261" s="2" t="s">
        <v>153</v>
      </c>
      <c r="D261" s="2" t="str">
        <f>LEFT(TRIM(MID(SUBSTITUTE(tblShipments4[[#This Row],[Details]],CHAR(10)," "), FIND(CHAR(10),tblShipments4[[#This Row],[Details]])+1, 50)), 10)</f>
        <v>0515042064</v>
      </c>
      <c r="E261" t="s">
        <v>158</v>
      </c>
      <c r="F26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1" t="str">
        <f>IF(tblShipments4[[#This Row],[EGM no]]="", "Missing EGM", "EGM Submitted")</f>
        <v>EGM Submitted</v>
      </c>
      <c r="H261" t="str">
        <f>IF(OR(ISNUMBER(SEARCH("Released",tblShipments4[[#This Row],[ROSL]])),
      ISNUMBER(SEARCH("Scroll",tblShipments4[[#This Row],[ROSL]])),
      ISNUMBER(SEARCH("Y",tblShipments4[[#This Row],[ROSL]]))),
   "Released",
   "Not Released")</f>
        <v>Released</v>
      </c>
      <c r="I261" t="str">
        <f>IF(OR(tblShipments4[[#This Row],[EGM no]]="", tblShipments4[[#This Row],[EGM no]]="N.A."), "Not Submitted", "Submitted")</f>
        <v>Submitted</v>
      </c>
      <c r="J261" t="str">
        <f>IF(LEFT(tblShipments4[[#This Row],[Gateway_Extracted]],2)="IN","Valid","Invalid")</f>
        <v>Valid</v>
      </c>
      <c r="K261" t="s">
        <v>159</v>
      </c>
      <c r="L261" t="s">
        <v>160</v>
      </c>
      <c r="M261" t="s">
        <v>13</v>
      </c>
      <c r="N261" t="s">
        <v>161</v>
      </c>
      <c r="O261" t="str">
        <f>IFERROR("IN" &amp; _xlfn.TEXTBEFORE(_xlfn.TEXTAFTER(UPPER(tblShipments4[[#This Row],[Gateway_clean]]),"IN")," ",1),"")</f>
        <v>INNSA1</v>
      </c>
      <c r="P261" t="str">
        <f>SUBSTITUTE(tblShipments4[[#This Row],[Gateway]], CHAR(10), " ")</f>
        <v xml:space="preserve">AWB No. Gateway Port Gateway EGM No. Gateway EGM Date Gateway Site ID Error Code N.A.  INNSA1  132991  2017-08-09 00:00:00.0  INNSA1  S </v>
      </c>
      <c r="Q261" t="s">
        <v>162</v>
      </c>
    </row>
    <row r="262" spans="1:17" x14ac:dyDescent="0.35">
      <c r="A262" t="s">
        <v>8</v>
      </c>
      <c r="B262">
        <v>8581999</v>
      </c>
      <c r="C262" s="2" t="s">
        <v>657</v>
      </c>
      <c r="D262" s="2" t="str">
        <f>LEFT(TRIM(MID(SUBSTITUTE(tblShipments4[[#This Row],[Details]],CHAR(10)," "), FIND(CHAR(10),tblShipments4[[#This Row],[Details]])+1, 50)), 10)</f>
        <v>0515060291</v>
      </c>
      <c r="E262" t="s">
        <v>668</v>
      </c>
      <c r="F26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2" t="str">
        <f>IF(tblShipments4[[#This Row],[EGM no]]="", "Missing EGM", "EGM Submitted")</f>
        <v>EGM Submitted</v>
      </c>
      <c r="H262" t="str">
        <f>IF(OR(ISNUMBER(SEARCH("Released",tblShipments4[[#This Row],[ROSL]])),
      ISNUMBER(SEARCH("Scroll",tblShipments4[[#This Row],[ROSL]])),
      ISNUMBER(SEARCH("Y",tblShipments4[[#This Row],[ROSL]]))),
   "Released",
   "Not Released")</f>
        <v>Released</v>
      </c>
      <c r="I262" t="str">
        <f>IF(OR(tblShipments4[[#This Row],[EGM no]]="", tblShipments4[[#This Row],[EGM no]]="N.A."), "Not Submitted", "Submitted")</f>
        <v>Submitted</v>
      </c>
      <c r="J262" t="str">
        <f>IF(LEFT(tblShipments4[[#This Row],[Gateway_Extracted]],2)="IN","Valid","Invalid")</f>
        <v>Valid</v>
      </c>
      <c r="K262" t="s">
        <v>669</v>
      </c>
      <c r="L262" t="s">
        <v>670</v>
      </c>
      <c r="M262" t="s">
        <v>13</v>
      </c>
      <c r="N262" t="s">
        <v>671</v>
      </c>
      <c r="O262" t="str">
        <f>IFERROR("IN" &amp; _xlfn.TEXTBEFORE(_xlfn.TEXTAFTER(UPPER(tblShipments4[[#This Row],[Gateway_clean]]),"IN")," ",1),"")</f>
        <v>INNSA1</v>
      </c>
      <c r="P262" t="str">
        <f>SUBSTITUTE(tblShipments4[[#This Row],[Gateway]], CHAR(10), " ")</f>
        <v xml:space="preserve">AWB No. Gateway Port Gateway EGM No. Gateway EGM Date Gateway Site ID Error Code N.A.  INNSA1  135192  2017-09-15 00:00:00.0  INNSA1  S </v>
      </c>
      <c r="Q262" t="s">
        <v>672</v>
      </c>
    </row>
    <row r="263" spans="1:17" x14ac:dyDescent="0.35">
      <c r="A263" t="s">
        <v>8</v>
      </c>
      <c r="B263">
        <v>8751355</v>
      </c>
      <c r="C263" s="2" t="s">
        <v>762</v>
      </c>
      <c r="D263" s="2" t="str">
        <f>LEFT(TRIM(MID(SUBSTITUTE(tblShipments4[[#This Row],[Details]],CHAR(10)," "), FIND(CHAR(10),tblShipments4[[#This Row],[Details]])+1, 50)), 10)</f>
        <v>0515076741</v>
      </c>
      <c r="E263" t="s">
        <v>768</v>
      </c>
      <c r="F26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3" t="str">
        <f>IF(tblShipments4[[#This Row],[EGM no]]="", "Missing EGM", "EGM Submitted")</f>
        <v>EGM Submitted</v>
      </c>
      <c r="H263" t="str">
        <f>IF(OR(ISNUMBER(SEARCH("Released",tblShipments4[[#This Row],[ROSL]])),
      ISNUMBER(SEARCH("Scroll",tblShipments4[[#This Row],[ROSL]])),
      ISNUMBER(SEARCH("Y",tblShipments4[[#This Row],[ROSL]]))),
   "Released",
   "Not Released")</f>
        <v>Released</v>
      </c>
      <c r="I263" t="str">
        <f>IF(OR(tblShipments4[[#This Row],[EGM no]]="", tblShipments4[[#This Row],[EGM no]]="N.A."), "Not Submitted", "Submitted")</f>
        <v>Submitted</v>
      </c>
      <c r="J263" t="str">
        <f>IF(LEFT(tblShipments4[[#This Row],[Gateway_Extracted]],2)="IN","Valid","Invalid")</f>
        <v>Valid</v>
      </c>
      <c r="K263" t="s">
        <v>769</v>
      </c>
      <c r="L263" t="s">
        <v>770</v>
      </c>
      <c r="M263" t="s">
        <v>771</v>
      </c>
      <c r="N263" t="s">
        <v>772</v>
      </c>
      <c r="O263" t="str">
        <f>IFERROR("IN" &amp; _xlfn.TEXTBEFORE(_xlfn.TEXTAFTER(UPPER(tblShipments4[[#This Row],[Gateway_clean]]),"IN")," ",1),"")</f>
        <v>INNSA1</v>
      </c>
      <c r="P263" t="str">
        <f>SUBSTITUTE(tblShipments4[[#This Row],[Gateway]], CHAR(10), " ")</f>
        <v xml:space="preserve">AWB No. Gateway Port Gateway EGM No. Gateway EGM Date Gateway Site ID Error Code N.A.  INNSA1  134741  2017-09-08 00:00:00.0  INNSA1  S </v>
      </c>
      <c r="Q263" t="s">
        <v>773</v>
      </c>
    </row>
    <row r="264" spans="1:17" x14ac:dyDescent="0.35">
      <c r="A264" t="s">
        <v>8</v>
      </c>
      <c r="B264">
        <v>8605254</v>
      </c>
      <c r="C264" s="2" t="s">
        <v>681</v>
      </c>
      <c r="D264" s="2" t="str">
        <f>LEFT(TRIM(MID(SUBSTITUTE(tblShipments4[[#This Row],[Details]],CHAR(10)," "), FIND(CHAR(10),tblShipments4[[#This Row],[Details]])+1, 50)), 10)</f>
        <v>0515920274</v>
      </c>
      <c r="E264" t="s">
        <v>689</v>
      </c>
      <c r="F26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4" t="str">
        <f>IF(tblShipments4[[#This Row],[EGM no]]="", "Missing EGM", "EGM Submitted")</f>
        <v>EGM Submitted</v>
      </c>
      <c r="H264" t="str">
        <f>IF(OR(ISNUMBER(SEARCH("Released",tblShipments4[[#This Row],[ROSL]])),
      ISNUMBER(SEARCH("Scroll",tblShipments4[[#This Row],[ROSL]])),
      ISNUMBER(SEARCH("Y",tblShipments4[[#This Row],[ROSL]]))),
   "Released",
   "Not Released")</f>
        <v>Released</v>
      </c>
      <c r="I264" t="str">
        <f>IF(OR(tblShipments4[[#This Row],[EGM no]]="", tblShipments4[[#This Row],[EGM no]]="N.A."), "Not Submitted", "Submitted")</f>
        <v>Submitted</v>
      </c>
      <c r="J264" t="str">
        <f>IF(LEFT(tblShipments4[[#This Row],[Gateway_Extracted]],2)="IN","Valid","Invalid")</f>
        <v>Valid</v>
      </c>
      <c r="K264" t="s">
        <v>645</v>
      </c>
      <c r="L264" t="s">
        <v>690</v>
      </c>
      <c r="M264" t="s">
        <v>31</v>
      </c>
      <c r="N264" t="s">
        <v>691</v>
      </c>
      <c r="O264" t="str">
        <f>IFERROR("IN" &amp; _xlfn.TEXTBEFORE(_xlfn.TEXTAFTER(UPPER(tblShipments4[[#This Row],[Gateway_clean]]),"IN")," ",1),"")</f>
        <v>INNSA1</v>
      </c>
      <c r="P264" t="str">
        <f>SUBSTITUTE(tblShipments4[[#This Row],[Gateway]], CHAR(10), " ")</f>
        <v xml:space="preserve">AWB No. Gateway Port Gateway EGM No. Gateway EGM Date Gateway Site ID Error Code N.A.  INNSA1  135065  2017-09-14 00:00:00.0  INNSA1  S </v>
      </c>
      <c r="Q264" t="s">
        <v>692</v>
      </c>
    </row>
    <row r="265" spans="1:17" x14ac:dyDescent="0.35">
      <c r="A265" t="s">
        <v>8</v>
      </c>
      <c r="B265">
        <v>9725059</v>
      </c>
      <c r="C265" s="2" t="s">
        <v>1156</v>
      </c>
      <c r="D265" s="2" t="str">
        <f>LEFT(TRIM(MID(SUBSTITUTE(tblShipments4[[#This Row],[Details]],CHAR(10)," "), FIND(CHAR(10),tblShipments4[[#This Row],[Details]])+1, 50)), 10)</f>
        <v>0515933520</v>
      </c>
      <c r="E265" t="s">
        <v>1161</v>
      </c>
      <c r="F26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5" t="str">
        <f>IF(tblShipments4[[#This Row],[EGM no]]="", "Missing EGM", "EGM Submitted")</f>
        <v>EGM Submitted</v>
      </c>
      <c r="H265" t="str">
        <f>IF(OR(ISNUMBER(SEARCH("Released",tblShipments4[[#This Row],[ROSL]])),
      ISNUMBER(SEARCH("Scroll",tblShipments4[[#This Row],[ROSL]])),
      ISNUMBER(SEARCH("Y",tblShipments4[[#This Row],[ROSL]]))),
   "Released",
   "Not Released")</f>
        <v>Released</v>
      </c>
      <c r="I265" t="str">
        <f>IF(OR(tblShipments4[[#This Row],[EGM no]]="", tblShipments4[[#This Row],[EGM no]]="N.A."), "Not Submitted", "Submitted")</f>
        <v>Submitted</v>
      </c>
      <c r="J265" t="str">
        <f>IF(LEFT(tblShipments4[[#This Row],[Gateway_Extracted]],2)="IN","Valid","Invalid")</f>
        <v>Valid</v>
      </c>
      <c r="K265" t="s">
        <v>1099</v>
      </c>
      <c r="L265" t="s">
        <v>1109</v>
      </c>
      <c r="M265" t="s">
        <v>13</v>
      </c>
      <c r="N265" t="s">
        <v>1162</v>
      </c>
      <c r="O265" t="str">
        <f>IFERROR("IN" &amp; _xlfn.TEXTBEFORE(_xlfn.TEXTAFTER(UPPER(tblShipments4[[#This Row],[Gateway_clean]]),"IN")," ",1),"")</f>
        <v>INNSA1</v>
      </c>
      <c r="P265" t="str">
        <f>SUBSTITUTE(tblShipments4[[#This Row],[Gateway]], CHAR(10), " ")</f>
        <v xml:space="preserve">AWB No. Gateway Port Gateway EGM No. Gateway EGM Date Gateway Site ID Error Code N.A.  INNSA1  137353  2017-10-23 00:00:00.0  INNSA1  C </v>
      </c>
      <c r="Q265" t="s">
        <v>1163</v>
      </c>
    </row>
    <row r="266" spans="1:17" x14ac:dyDescent="0.35">
      <c r="A266" t="s">
        <v>8</v>
      </c>
      <c r="B266">
        <v>1220745</v>
      </c>
      <c r="C266" s="2" t="s">
        <v>1314</v>
      </c>
      <c r="D266" s="2" t="str">
        <f>LEFT(TRIM(MID(SUBSTITUTE(tblShipments4[[#This Row],[Details]],CHAR(10)," "), FIND(CHAR(10),tblShipments4[[#This Row],[Details]])+1, 50)), 10)</f>
        <v>0515933520</v>
      </c>
      <c r="E266" t="s">
        <v>1320</v>
      </c>
      <c r="F26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6" t="str">
        <f>IF(tblShipments4[[#This Row],[EGM no]]="", "Missing EGM", "EGM Submitted")</f>
        <v>EGM Submitted</v>
      </c>
      <c r="H266" t="str">
        <f>IF(OR(ISNUMBER(SEARCH("Released",tblShipments4[[#This Row],[ROSL]])),
      ISNUMBER(SEARCH("Scroll",tblShipments4[[#This Row],[ROSL]])),
      ISNUMBER(SEARCH("Y",tblShipments4[[#This Row],[ROSL]]))),
   "Released",
   "Not Released")</f>
        <v>Released</v>
      </c>
      <c r="I266" t="str">
        <f>IF(OR(tblShipments4[[#This Row],[EGM no]]="", tblShipments4[[#This Row],[EGM no]]="N.A."), "Not Submitted", "Submitted")</f>
        <v>Submitted</v>
      </c>
      <c r="J266" t="str">
        <f>IF(LEFT(tblShipments4[[#This Row],[Gateway_Extracted]],2)="IN","Valid","Invalid")</f>
        <v>Valid</v>
      </c>
      <c r="K266" t="s">
        <v>1321</v>
      </c>
      <c r="L266" t="s">
        <v>1322</v>
      </c>
      <c r="M266" t="s">
        <v>13</v>
      </c>
      <c r="N266" t="s">
        <v>1323</v>
      </c>
      <c r="O266" t="str">
        <f>IFERROR("IN" &amp; _xlfn.TEXTBEFORE(_xlfn.TEXTAFTER(UPPER(tblShipments4[[#This Row],[Gateway_clean]]),"IN")," ",1),"")</f>
        <v>INNSA1</v>
      </c>
      <c r="P266" t="str">
        <f>SUBSTITUTE(tblShipments4[[#This Row],[Gateway]], CHAR(10), " ")</f>
        <v xml:space="preserve">AWB No. Gateway Port Gateway EGM No. Gateway EGM Date Gateway Site ID Error Code N.A.  INNSA1  138234  2017-11-06 00:00:00.0  INNSA1  S </v>
      </c>
      <c r="Q266" t="s">
        <v>1324</v>
      </c>
    </row>
    <row r="267" spans="1:17" x14ac:dyDescent="0.35">
      <c r="A267" t="s">
        <v>8</v>
      </c>
      <c r="B267">
        <v>8488643</v>
      </c>
      <c r="C267" s="2" t="s">
        <v>615</v>
      </c>
      <c r="D267" s="2" t="str">
        <f>LEFT(TRIM(MID(SUBSTITUTE(tblShipments4[[#This Row],[Details]],CHAR(10)," "), FIND(CHAR(10),tblShipments4[[#This Row],[Details]])+1, 50)), 10)</f>
        <v>0516502832</v>
      </c>
      <c r="E267" t="s">
        <v>623</v>
      </c>
      <c r="F26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7" t="str">
        <f>IF(tblShipments4[[#This Row],[EGM no]]="", "Missing EGM", "EGM Submitted")</f>
        <v>EGM Submitted</v>
      </c>
      <c r="H267" t="str">
        <f>IF(OR(ISNUMBER(SEARCH("Released",tblShipments4[[#This Row],[ROSL]])),
      ISNUMBER(SEARCH("Scroll",tblShipments4[[#This Row],[ROSL]])),
      ISNUMBER(SEARCH("Y",tblShipments4[[#This Row],[ROSL]]))),
   "Released",
   "Not Released")</f>
        <v>Released</v>
      </c>
      <c r="I267" t="str">
        <f>IF(OR(tblShipments4[[#This Row],[EGM no]]="", tblShipments4[[#This Row],[EGM no]]="N.A."), "Not Submitted", "Submitted")</f>
        <v>Submitted</v>
      </c>
      <c r="J267" t="str">
        <f>IF(LEFT(tblShipments4[[#This Row],[Gateway_Extracted]],2)="IN","Valid","Invalid")</f>
        <v>Valid</v>
      </c>
      <c r="K267" t="s">
        <v>624</v>
      </c>
      <c r="L267" t="s">
        <v>625</v>
      </c>
      <c r="M267" t="s">
        <v>626</v>
      </c>
      <c r="N267" t="s">
        <v>627</v>
      </c>
      <c r="O267" t="str">
        <f>IFERROR("IN" &amp; _xlfn.TEXTBEFORE(_xlfn.TEXTAFTER(UPPER(tblShipments4[[#This Row],[Gateway_clean]]),"IN")," ",1),"")</f>
        <v>INNSA1</v>
      </c>
      <c r="P267" t="str">
        <f>SUBSTITUTE(tblShipments4[[#This Row],[Gateway]], CHAR(10), " ")</f>
        <v xml:space="preserve">AWB No. Gateway Port Gateway EGM No. Gateway EGM Date Gateway Site ID Error Code N.A.  INNSA1  134549  2017-09-05 00:00:00.0  INNSA1  S </v>
      </c>
      <c r="Q267" t="s">
        <v>628</v>
      </c>
    </row>
    <row r="268" spans="1:17" x14ac:dyDescent="0.35">
      <c r="A268" t="s">
        <v>8</v>
      </c>
      <c r="B268">
        <v>8122393</v>
      </c>
      <c r="C268" s="2" t="s">
        <v>350</v>
      </c>
      <c r="D268" s="2" t="str">
        <f>LEFT(TRIM(MID(SUBSTITUTE(tblShipments4[[#This Row],[Details]],CHAR(10)," "), FIND(CHAR(10),tblShipments4[[#This Row],[Details]])+1, 50)), 10)</f>
        <v>0516515403</v>
      </c>
      <c r="E268" t="s">
        <v>351</v>
      </c>
      <c r="F26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8" t="str">
        <f>IF(tblShipments4[[#This Row],[EGM no]]="", "Missing EGM", "EGM Submitted")</f>
        <v>EGM Submitted</v>
      </c>
      <c r="H268" t="str">
        <f>IF(OR(ISNUMBER(SEARCH("Released",tblShipments4[[#This Row],[ROSL]])),
      ISNUMBER(SEARCH("Scroll",tblShipments4[[#This Row],[ROSL]])),
      ISNUMBER(SEARCH("Y",tblShipments4[[#This Row],[ROSL]]))),
   "Released",
   "Not Released")</f>
        <v>Released</v>
      </c>
      <c r="I268" t="str">
        <f>IF(OR(tblShipments4[[#This Row],[EGM no]]="", tblShipments4[[#This Row],[EGM no]]="N.A."), "Not Submitted", "Submitted")</f>
        <v>Submitted</v>
      </c>
      <c r="J268" t="str">
        <f>IF(LEFT(tblShipments4[[#This Row],[Gateway_Extracted]],2)="IN","Valid","Invalid")</f>
        <v>Valid</v>
      </c>
      <c r="K268" t="s">
        <v>352</v>
      </c>
      <c r="L268" t="s">
        <v>353</v>
      </c>
      <c r="M268" t="s">
        <v>13</v>
      </c>
      <c r="N268" t="s">
        <v>354</v>
      </c>
      <c r="O268" t="str">
        <f>IFERROR("IN" &amp; _xlfn.TEXTBEFORE(_xlfn.TEXTAFTER(UPPER(tblShipments4[[#This Row],[Gateway_clean]]),"IN")," ",1),"")</f>
        <v>INNSA1</v>
      </c>
      <c r="P268" t="str">
        <f>SUBSTITUTE(tblShipments4[[#This Row],[Gateway]], CHAR(10), " ")</f>
        <v xml:space="preserve">AWB No. Gateway Port Gateway EGM No. Gateway EGM Date Gateway Site ID Error Code N.A.  INNSA1  133611  2017-08-21 00:00:00.0  INNSA1  S </v>
      </c>
      <c r="Q268" t="s">
        <v>355</v>
      </c>
    </row>
    <row r="269" spans="1:17" x14ac:dyDescent="0.35">
      <c r="A269" t="s">
        <v>8</v>
      </c>
      <c r="B269">
        <v>8457825</v>
      </c>
      <c r="C269" s="2" t="s">
        <v>590</v>
      </c>
      <c r="D269" s="2" t="str">
        <f>LEFT(TRIM(MID(SUBSTITUTE(tblShipments4[[#This Row],[Details]],CHAR(10)," "), FIND(CHAR(10),tblShipments4[[#This Row],[Details]])+1, 50)), 10)</f>
        <v>0516517431</v>
      </c>
      <c r="E269" t="s">
        <v>596</v>
      </c>
      <c r="F26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69" t="str">
        <f>IF(tblShipments4[[#This Row],[EGM no]]="", "Missing EGM", "EGM Submitted")</f>
        <v>EGM Submitted</v>
      </c>
      <c r="H269" t="str">
        <f>IF(OR(ISNUMBER(SEARCH("Released",tblShipments4[[#This Row],[ROSL]])),
      ISNUMBER(SEARCH("Scroll",tblShipments4[[#This Row],[ROSL]])),
      ISNUMBER(SEARCH("Y",tblShipments4[[#This Row],[ROSL]]))),
   "Released",
   "Not Released")</f>
        <v>Released</v>
      </c>
      <c r="I269" t="str">
        <f>IF(OR(tblShipments4[[#This Row],[EGM no]]="", tblShipments4[[#This Row],[EGM no]]="N.A."), "Not Submitted", "Submitted")</f>
        <v>Submitted</v>
      </c>
      <c r="J269" t="str">
        <f>IF(LEFT(tblShipments4[[#This Row],[Gateway_Extracted]],2)="IN","Valid","Invalid")</f>
        <v>Valid</v>
      </c>
      <c r="K269" t="s">
        <v>534</v>
      </c>
      <c r="L269" t="s">
        <v>597</v>
      </c>
      <c r="M269" t="s">
        <v>13</v>
      </c>
      <c r="N269" t="s">
        <v>598</v>
      </c>
      <c r="O269" t="str">
        <f>IFERROR("IN" &amp; _xlfn.TEXTBEFORE(_xlfn.TEXTAFTER(UPPER(tblShipments4[[#This Row],[Gateway_clean]]),"IN")," ",1),"")</f>
        <v>INNSA1</v>
      </c>
      <c r="P269" t="str">
        <f>SUBSTITUTE(tblShipments4[[#This Row],[Gateway]], CHAR(10), " ")</f>
        <v xml:space="preserve">AWB No. Gateway Port Gateway EGM No. Gateway EGM Date Gateway Site ID Error Code N.A.  INNSA1  N.A.  N.A.  N.A.  N.A. </v>
      </c>
      <c r="Q269" t="s">
        <v>26</v>
      </c>
    </row>
    <row r="270" spans="1:17" x14ac:dyDescent="0.35">
      <c r="A270" t="s">
        <v>8</v>
      </c>
      <c r="B270">
        <v>1579668</v>
      </c>
      <c r="C270" s="2" t="s">
        <v>1528</v>
      </c>
      <c r="D270" s="2" t="str">
        <f>LEFT(TRIM(MID(SUBSTITUTE(tblShipments4[[#This Row],[Details]],CHAR(10)," "), FIND(CHAR(10),tblShipments4[[#This Row],[Details]])+1, 50)), 10)</f>
        <v>0516526065</v>
      </c>
      <c r="E270" t="s">
        <v>1537</v>
      </c>
      <c r="F27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0" t="str">
        <f>IF(tblShipments4[[#This Row],[EGM no]]="", "Missing EGM", "EGM Submitted")</f>
        <v>EGM Submitted</v>
      </c>
      <c r="H270" t="str">
        <f>IF(OR(ISNUMBER(SEARCH("Released",tblShipments4[[#This Row],[ROSL]])),
      ISNUMBER(SEARCH("Scroll",tblShipments4[[#This Row],[ROSL]])),
      ISNUMBER(SEARCH("Y",tblShipments4[[#This Row],[ROSL]]))),
   "Released",
   "Not Released")</f>
        <v>Released</v>
      </c>
      <c r="I270" t="str">
        <f>IF(OR(tblShipments4[[#This Row],[EGM no]]="", tblShipments4[[#This Row],[EGM no]]="N.A."), "Not Submitted", "Submitted")</f>
        <v>Submitted</v>
      </c>
      <c r="J270" t="str">
        <f>IF(LEFT(tblShipments4[[#This Row],[Gateway_Extracted]],2)="IN","Valid","Invalid")</f>
        <v>Valid</v>
      </c>
      <c r="K270" t="s">
        <v>1538</v>
      </c>
      <c r="L270" t="s">
        <v>1539</v>
      </c>
      <c r="M270" t="s">
        <v>13</v>
      </c>
      <c r="N270" t="s">
        <v>1540</v>
      </c>
      <c r="O270" t="str">
        <f>IFERROR("IN" &amp; _xlfn.TEXTBEFORE(_xlfn.TEXTAFTER(UPPER(tblShipments4[[#This Row],[Gateway_clean]]),"IN")," ",1),"")</f>
        <v>INNSA1</v>
      </c>
      <c r="P270" t="str">
        <f>SUBSTITUTE(tblShipments4[[#This Row],[Gateway]], CHAR(10), " ")</f>
        <v xml:space="preserve">AWB No. Gateway Port Gateway EGM No. Gateway EGM Date Gateway Site ID Error Code N.A.  INNSA1  140586  2017-12-12 00:00:00.0  INNSA1  S </v>
      </c>
      <c r="Q270" t="s">
        <v>1541</v>
      </c>
    </row>
    <row r="271" spans="1:17" x14ac:dyDescent="0.35">
      <c r="A271" t="s">
        <v>8</v>
      </c>
      <c r="B271">
        <v>7662086</v>
      </c>
      <c r="C271" s="2" t="s">
        <v>62</v>
      </c>
      <c r="D271" s="2" t="str">
        <f>LEFT(TRIM(MID(SUBSTITUTE(tblShipments4[[#This Row],[Details]],CHAR(10)," "), FIND(CHAR(10),tblShipments4[[#This Row],[Details]])+1, 50)), 10)</f>
        <v>0516929674</v>
      </c>
      <c r="E271" t="s">
        <v>71</v>
      </c>
      <c r="F27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1" t="str">
        <f>IF(tblShipments4[[#This Row],[EGM no]]="", "Missing EGM", "EGM Submitted")</f>
        <v>EGM Submitted</v>
      </c>
      <c r="H271" t="str">
        <f>IF(OR(ISNUMBER(SEARCH("Released",tblShipments4[[#This Row],[ROSL]])),
      ISNUMBER(SEARCH("Scroll",tblShipments4[[#This Row],[ROSL]])),
      ISNUMBER(SEARCH("Y",tblShipments4[[#This Row],[ROSL]]))),
   "Released",
   "Not Released")</f>
        <v>Released</v>
      </c>
      <c r="I271" t="str">
        <f>IF(OR(tblShipments4[[#This Row],[EGM no]]="", tblShipments4[[#This Row],[EGM no]]="N.A."), "Not Submitted", "Submitted")</f>
        <v>Submitted</v>
      </c>
      <c r="J271" t="str">
        <f>IF(LEFT(tblShipments4[[#This Row],[Gateway_Extracted]],2)="IN","Valid","Invalid")</f>
        <v>Valid</v>
      </c>
      <c r="K271" t="s">
        <v>72</v>
      </c>
      <c r="L271" t="s">
        <v>73</v>
      </c>
      <c r="M271" t="s">
        <v>13</v>
      </c>
      <c r="N271" t="s">
        <v>74</v>
      </c>
      <c r="O271" t="str">
        <f>IFERROR("IN" &amp; _xlfn.TEXTBEFORE(_xlfn.TEXTAFTER(UPPER(tblShipments4[[#This Row],[Gateway_clean]]),"IN")," ",1),"")</f>
        <v>INNSA1</v>
      </c>
      <c r="P271" t="str">
        <f>SUBSTITUTE(tblShipments4[[#This Row],[Gateway]], CHAR(10), " ")</f>
        <v xml:space="preserve">AWB No. Gateway Port Gateway EGM No. Gateway EGM Date Gateway Site ID Error Code N.A.  INNSA1  132629  2017-08-03 00:00:00.0  INNSA1  S </v>
      </c>
      <c r="Q271" t="s">
        <v>75</v>
      </c>
    </row>
    <row r="272" spans="1:17" x14ac:dyDescent="0.35">
      <c r="A272" t="s">
        <v>8</v>
      </c>
      <c r="B272">
        <v>1310855</v>
      </c>
      <c r="C272" s="2" t="s">
        <v>1393</v>
      </c>
      <c r="D272" s="2" t="str">
        <f>LEFT(TRIM(MID(SUBSTITUTE(tblShipments4[[#This Row],[Details]],CHAR(10)," "), FIND(CHAR(10),tblShipments4[[#This Row],[Details]])+1, 50)), 10)</f>
        <v>0516954725</v>
      </c>
      <c r="E272" t="s">
        <v>1394</v>
      </c>
      <c r="F27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2" t="str">
        <f>IF(tblShipments4[[#This Row],[EGM no]]="", "Missing EGM", "EGM Submitted")</f>
        <v>EGM Submitted</v>
      </c>
      <c r="H272" t="str">
        <f>IF(OR(ISNUMBER(SEARCH("Released",tblShipments4[[#This Row],[ROSL]])),
      ISNUMBER(SEARCH("Scroll",tblShipments4[[#This Row],[ROSL]])),
      ISNUMBER(SEARCH("Y",tblShipments4[[#This Row],[ROSL]]))),
   "Released",
   "Not Released")</f>
        <v>Released</v>
      </c>
      <c r="I272" t="str">
        <f>IF(OR(tblShipments4[[#This Row],[EGM no]]="", tblShipments4[[#This Row],[EGM no]]="N.A."), "Not Submitted", "Submitted")</f>
        <v>Submitted</v>
      </c>
      <c r="J272" t="str">
        <f>IF(LEFT(tblShipments4[[#This Row],[Gateway_Extracted]],2)="IN","Valid","Invalid")</f>
        <v>Valid</v>
      </c>
      <c r="K272" t="s">
        <v>1395</v>
      </c>
      <c r="L272" t="s">
        <v>1396</v>
      </c>
      <c r="M272" t="s">
        <v>31</v>
      </c>
      <c r="N272" t="s">
        <v>1397</v>
      </c>
      <c r="O272" t="str">
        <f>IFERROR("IN" &amp; _xlfn.TEXTBEFORE(_xlfn.TEXTAFTER(UPPER(tblShipments4[[#This Row],[Gateway_clean]]),"IN")," ",1),"")</f>
        <v>INNSA1</v>
      </c>
      <c r="P272" t="str">
        <f>SUBSTITUTE(tblShipments4[[#This Row],[Gateway]], CHAR(10), " ")</f>
        <v xml:space="preserve">AWB No. Gateway Port Gateway EGM No. Gateway EGM Date Gateway Site ID Error Code N.A.  INNSA1  140041  2017-12-05 00:00:00.0  INNSA1  S </v>
      </c>
      <c r="Q272" t="s">
        <v>1398</v>
      </c>
    </row>
    <row r="273" spans="1:17" x14ac:dyDescent="0.35">
      <c r="A273" t="s">
        <v>8</v>
      </c>
      <c r="B273">
        <v>7742310</v>
      </c>
      <c r="C273" s="2" t="s">
        <v>106</v>
      </c>
      <c r="D273" s="2" t="str">
        <f>LEFT(TRIM(MID(SUBSTITUTE(tblShipments4[[#This Row],[Details]],CHAR(10)," "), FIND(CHAR(10),tblShipments4[[#This Row],[Details]])+1, 50)), 10)</f>
        <v>0517528762</v>
      </c>
      <c r="E273" t="s">
        <v>107</v>
      </c>
      <c r="F27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3" t="str">
        <f>IF(tblShipments4[[#This Row],[EGM no]]="", "Missing EGM", "EGM Submitted")</f>
        <v>EGM Submitted</v>
      </c>
      <c r="H273" t="str">
        <f>IF(OR(ISNUMBER(SEARCH("Released",tblShipments4[[#This Row],[ROSL]])),
      ISNUMBER(SEARCH("Scroll",tblShipments4[[#This Row],[ROSL]])),
      ISNUMBER(SEARCH("Y",tblShipments4[[#This Row],[ROSL]]))),
   "Released",
   "Not Released")</f>
        <v>Released</v>
      </c>
      <c r="I273" t="str">
        <f>IF(OR(tblShipments4[[#This Row],[EGM no]]="", tblShipments4[[#This Row],[EGM no]]="N.A."), "Not Submitted", "Submitted")</f>
        <v>Submitted</v>
      </c>
      <c r="J273" t="str">
        <f>IF(LEFT(tblShipments4[[#This Row],[Gateway_Extracted]],2)="IN","Valid","Invalid")</f>
        <v>Valid</v>
      </c>
      <c r="K273" t="s">
        <v>108</v>
      </c>
      <c r="L273" t="s">
        <v>109</v>
      </c>
      <c r="M273" t="s">
        <v>110</v>
      </c>
      <c r="N273" t="s">
        <v>111</v>
      </c>
      <c r="O273" t="str">
        <f>IFERROR("IN" &amp; _xlfn.TEXTBEFORE(_xlfn.TEXTAFTER(UPPER(tblShipments4[[#This Row],[Gateway_clean]]),"IN")," ",1),"")</f>
        <v>INNSA1</v>
      </c>
      <c r="P273" t="str">
        <f>SUBSTITUTE(tblShipments4[[#This Row],[Gateway]], CHAR(10), " ")</f>
        <v xml:space="preserve">AWB No. Gateway Port Gateway EGM No. Gateway EGM Date Gateway Site ID Error Code N.A.  INNSA1  169501  2019-03-29 00:00:00.0  INNSA1  S </v>
      </c>
      <c r="Q273" t="s">
        <v>112</v>
      </c>
    </row>
    <row r="274" spans="1:17" x14ac:dyDescent="0.35">
      <c r="A274" t="s">
        <v>8</v>
      </c>
      <c r="B274">
        <v>9073097</v>
      </c>
      <c r="C274" s="2" t="s">
        <v>928</v>
      </c>
      <c r="D274" s="2" t="str">
        <f>LEFT(TRIM(MID(SUBSTITUTE(tblShipments4[[#This Row],[Details]],CHAR(10)," "), FIND(CHAR(10),tblShipments4[[#This Row],[Details]])+1, 50)), 10)</f>
        <v>0588024317</v>
      </c>
      <c r="E274" t="s">
        <v>934</v>
      </c>
      <c r="F27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4" t="str">
        <f>IF(tblShipments4[[#This Row],[EGM no]]="", "Missing EGM", "EGM Submitted")</f>
        <v>EGM Submitted</v>
      </c>
      <c r="H274" t="str">
        <f>IF(OR(ISNUMBER(SEARCH("Released",tblShipments4[[#This Row],[ROSL]])),
      ISNUMBER(SEARCH("Scroll",tblShipments4[[#This Row],[ROSL]])),
      ISNUMBER(SEARCH("Y",tblShipments4[[#This Row],[ROSL]]))),
   "Released",
   "Not Released")</f>
        <v>Released</v>
      </c>
      <c r="I274" t="str">
        <f>IF(OR(tblShipments4[[#This Row],[EGM no]]="", tblShipments4[[#This Row],[EGM no]]="N.A."), "Not Submitted", "Submitted")</f>
        <v>Submitted</v>
      </c>
      <c r="J274" t="str">
        <f>IF(LEFT(tblShipments4[[#This Row],[Gateway_Extracted]],2)="IN","Valid","Invalid")</f>
        <v>Valid</v>
      </c>
      <c r="K274" t="s">
        <v>935</v>
      </c>
      <c r="L274" t="s">
        <v>936</v>
      </c>
      <c r="M274" t="s">
        <v>31</v>
      </c>
      <c r="N274" t="s">
        <v>937</v>
      </c>
      <c r="O274" t="str">
        <f>IFERROR("IN" &amp; _xlfn.TEXTBEFORE(_xlfn.TEXTAFTER(UPPER(tblShipments4[[#This Row],[Gateway_clean]]),"IN")," ",1),"")</f>
        <v>INNSA1</v>
      </c>
      <c r="P274" t="str">
        <f>SUBSTITUTE(tblShipments4[[#This Row],[Gateway]], CHAR(10), " ")</f>
        <v xml:space="preserve">AWB No. Gateway Port Gateway EGM No. Gateway EGM Date Gateway Site ID Error Code N.A.  INNSA1  135126  2017-09-14 00:00:00.0  INNSA1  S </v>
      </c>
      <c r="Q274" t="s">
        <v>938</v>
      </c>
    </row>
    <row r="275" spans="1:17" x14ac:dyDescent="0.35">
      <c r="A275" t="s">
        <v>8</v>
      </c>
      <c r="B275">
        <v>9962305</v>
      </c>
      <c r="C275" s="2" t="s">
        <v>1219</v>
      </c>
      <c r="D275" s="2" t="str">
        <f>LEFT(TRIM(MID(SUBSTITUTE(tblShipments4[[#This Row],[Details]],CHAR(10)," "), FIND(CHAR(10),tblShipments4[[#This Row],[Details]])+1, 50)), 10)</f>
        <v>0588044440</v>
      </c>
      <c r="E275" t="s">
        <v>1224</v>
      </c>
      <c r="F27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5" t="str">
        <f>IF(tblShipments4[[#This Row],[EGM no]]="", "Missing EGM", "EGM Submitted")</f>
        <v>EGM Submitted</v>
      </c>
      <c r="H275" t="str">
        <f>IF(OR(ISNUMBER(SEARCH("Released",tblShipments4[[#This Row],[ROSL]])),
      ISNUMBER(SEARCH("Scroll",tblShipments4[[#This Row],[ROSL]])),
      ISNUMBER(SEARCH("Y",tblShipments4[[#This Row],[ROSL]]))),
   "Released",
   "Not Released")</f>
        <v>Released</v>
      </c>
      <c r="I275" t="str">
        <f>IF(OR(tblShipments4[[#This Row],[EGM no]]="", tblShipments4[[#This Row],[EGM no]]="N.A."), "Not Submitted", "Submitted")</f>
        <v>Submitted</v>
      </c>
      <c r="J275" t="str">
        <f>IF(LEFT(tblShipments4[[#This Row],[Gateway_Extracted]],2)="IN","Valid","Invalid")</f>
        <v>Valid</v>
      </c>
      <c r="K275" t="s">
        <v>1225</v>
      </c>
      <c r="L275" t="s">
        <v>1226</v>
      </c>
      <c r="M275" t="s">
        <v>13</v>
      </c>
      <c r="N275" t="s">
        <v>1227</v>
      </c>
      <c r="O275" t="str">
        <f>IFERROR("IN" &amp; _xlfn.TEXTBEFORE(_xlfn.TEXTAFTER(UPPER(tblShipments4[[#This Row],[Gateway_clean]]),"IN")," ",1),"")</f>
        <v>INNSA1</v>
      </c>
      <c r="P275" t="str">
        <f>SUBSTITUTE(tblShipments4[[#This Row],[Gateway]], CHAR(10), " ")</f>
        <v xml:space="preserve">AWB No. Gateway Port Gateway EGM No. Gateway EGM Date Gateway Site ID Error Code N.A.  INNSA1  N.A.  N.A.  N.A.  N.A. </v>
      </c>
      <c r="Q275" t="s">
        <v>26</v>
      </c>
    </row>
    <row r="276" spans="1:17" x14ac:dyDescent="0.35">
      <c r="A276" t="s">
        <v>8</v>
      </c>
      <c r="B276">
        <v>9962200</v>
      </c>
      <c r="C276" s="2" t="s">
        <v>1219</v>
      </c>
      <c r="D276" s="2" t="str">
        <f>LEFT(TRIM(MID(SUBSTITUTE(tblShipments4[[#This Row],[Details]],CHAR(10)," "), FIND(CHAR(10),tblShipments4[[#This Row],[Details]])+1, 50)), 10)</f>
        <v>0588044440</v>
      </c>
      <c r="E276" t="s">
        <v>1220</v>
      </c>
      <c r="F27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6" t="str">
        <f>IF(tblShipments4[[#This Row],[EGM no]]="", "Missing EGM", "EGM Submitted")</f>
        <v>EGM Submitted</v>
      </c>
      <c r="H276" t="str">
        <f>IF(OR(ISNUMBER(SEARCH("Released",tblShipments4[[#This Row],[ROSL]])),
      ISNUMBER(SEARCH("Scroll",tblShipments4[[#This Row],[ROSL]])),
      ISNUMBER(SEARCH("Y",tblShipments4[[#This Row],[ROSL]]))),
   "Released",
   "Not Released")</f>
        <v>Released</v>
      </c>
      <c r="I276" t="str">
        <f>IF(OR(tblShipments4[[#This Row],[EGM no]]="", tblShipments4[[#This Row],[EGM no]]="N.A."), "Not Submitted", "Submitted")</f>
        <v>Submitted</v>
      </c>
      <c r="J276" t="str">
        <f>IF(LEFT(tblShipments4[[#This Row],[Gateway_Extracted]],2)="IN","Valid","Invalid")</f>
        <v>Valid</v>
      </c>
      <c r="K276" t="s">
        <v>1221</v>
      </c>
      <c r="L276" t="s">
        <v>1222</v>
      </c>
      <c r="M276" t="s">
        <v>13</v>
      </c>
      <c r="N276" t="s">
        <v>1223</v>
      </c>
      <c r="O276" t="str">
        <f>IFERROR("IN" &amp; _xlfn.TEXTBEFORE(_xlfn.TEXTAFTER(UPPER(tblShipments4[[#This Row],[Gateway_clean]]),"IN")," ",1),"")</f>
        <v>INNSA1</v>
      </c>
      <c r="P276" t="str">
        <f>SUBSTITUTE(tblShipments4[[#This Row],[Gateway]], CHAR(10), " ")</f>
        <v xml:space="preserve">AWB No. Gateway Port Gateway EGM No. Gateway EGM Date Gateway Site ID Error Code N.A.  INNSA1  N.A.  N.A.  N.A.  N.A. </v>
      </c>
      <c r="Q276" t="s">
        <v>26</v>
      </c>
    </row>
    <row r="277" spans="1:17" x14ac:dyDescent="0.35">
      <c r="A277" t="s">
        <v>8</v>
      </c>
      <c r="B277">
        <v>7862536</v>
      </c>
      <c r="C277" s="2" t="s">
        <v>204</v>
      </c>
      <c r="D277" s="2" t="str">
        <f>LEFT(TRIM(MID(SUBSTITUTE(tblShipments4[[#This Row],[Details]],CHAR(10)," "), FIND(CHAR(10),tblShipments4[[#This Row],[Details]])+1, 50)), 10)</f>
        <v>0588050814</v>
      </c>
      <c r="E277" t="s">
        <v>205</v>
      </c>
      <c r="F27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7" t="str">
        <f>IF(tblShipments4[[#This Row],[EGM no]]="", "Missing EGM", "EGM Submitted")</f>
        <v>EGM Submitted</v>
      </c>
      <c r="H277" t="str">
        <f>IF(OR(ISNUMBER(SEARCH("Released",tblShipments4[[#This Row],[ROSL]])),
      ISNUMBER(SEARCH("Scroll",tblShipments4[[#This Row],[ROSL]])),
      ISNUMBER(SEARCH("Y",tblShipments4[[#This Row],[ROSL]]))),
   "Released",
   "Not Released")</f>
        <v>Released</v>
      </c>
      <c r="I277" t="str">
        <f>IF(OR(tblShipments4[[#This Row],[EGM no]]="", tblShipments4[[#This Row],[EGM no]]="N.A."), "Not Submitted", "Submitted")</f>
        <v>Submitted</v>
      </c>
      <c r="J277" t="str">
        <f>IF(LEFT(tblShipments4[[#This Row],[Gateway_Extracted]],2)="IN","Valid","Invalid")</f>
        <v>Valid</v>
      </c>
      <c r="K277" t="s">
        <v>141</v>
      </c>
      <c r="L277" t="s">
        <v>206</v>
      </c>
      <c r="M277" t="s">
        <v>31</v>
      </c>
      <c r="N277" t="s">
        <v>207</v>
      </c>
      <c r="O277" t="str">
        <f>IFERROR("IN" &amp; _xlfn.TEXTBEFORE(_xlfn.TEXTAFTER(UPPER(tblShipments4[[#This Row],[Gateway_clean]]),"IN")," ",1),"")</f>
        <v>INNSA1</v>
      </c>
      <c r="P277" t="str">
        <f>SUBSTITUTE(tblShipments4[[#This Row],[Gateway]], CHAR(10), " ")</f>
        <v xml:space="preserve">AWB No. Gateway Port Gateway EGM No. Gateway EGM Date Gateway Site ID Error Code N.A.  INNSA1  N.A.  N.A.  N.A.  N.A. </v>
      </c>
      <c r="Q277" t="s">
        <v>26</v>
      </c>
    </row>
    <row r="278" spans="1:17" x14ac:dyDescent="0.35">
      <c r="A278" t="s">
        <v>8</v>
      </c>
      <c r="B278">
        <v>7718281</v>
      </c>
      <c r="C278" s="2" t="s">
        <v>87</v>
      </c>
      <c r="D278" s="2" t="str">
        <f>LEFT(TRIM(MID(SUBSTITUTE(tblShipments4[[#This Row],[Details]],CHAR(10)," "), FIND(CHAR(10),tblShipments4[[#This Row],[Details]])+1, 50)), 10)</f>
        <v>0588055964</v>
      </c>
      <c r="E278" t="s">
        <v>96</v>
      </c>
      <c r="F27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8" t="str">
        <f>IF(tblShipments4[[#This Row],[EGM no]]="", "Missing EGM", "EGM Submitted")</f>
        <v>EGM Submitted</v>
      </c>
      <c r="H278" t="str">
        <f>IF(OR(ISNUMBER(SEARCH("Released",tblShipments4[[#This Row],[ROSL]])),
      ISNUMBER(SEARCH("Scroll",tblShipments4[[#This Row],[ROSL]])),
      ISNUMBER(SEARCH("Y",tblShipments4[[#This Row],[ROSL]]))),
   "Released",
   "Not Released")</f>
        <v>Released</v>
      </c>
      <c r="I278" t="str">
        <f>IF(OR(tblShipments4[[#This Row],[EGM no]]="", tblShipments4[[#This Row],[EGM no]]="N.A."), "Not Submitted", "Submitted")</f>
        <v>Submitted</v>
      </c>
      <c r="J278" t="str">
        <f>IF(LEFT(tblShipments4[[#This Row],[Gateway_Extracted]],2)="IN","Valid","Invalid")</f>
        <v>Valid</v>
      </c>
      <c r="K278" t="s">
        <v>97</v>
      </c>
      <c r="L278" t="s">
        <v>98</v>
      </c>
      <c r="M278" t="s">
        <v>13</v>
      </c>
      <c r="N278" t="s">
        <v>99</v>
      </c>
      <c r="O278" t="str">
        <f>IFERROR("IN" &amp; _xlfn.TEXTBEFORE(_xlfn.TEXTAFTER(UPPER(tblShipments4[[#This Row],[Gateway_clean]]),"IN")," ",1),"")</f>
        <v>INNSA1</v>
      </c>
      <c r="P278" t="str">
        <f>SUBSTITUTE(tblShipments4[[#This Row],[Gateway]], CHAR(10), " ")</f>
        <v xml:space="preserve">AWB No. Gateway Port Gateway EGM No. Gateway EGM Date Gateway Site ID Error Code N.A.  INNSA1  133033  2017-08-10 00:00:00.0  INNSA1  C </v>
      </c>
      <c r="Q278" t="s">
        <v>100</v>
      </c>
    </row>
    <row r="279" spans="1:17" x14ac:dyDescent="0.35">
      <c r="A279" t="s">
        <v>8</v>
      </c>
      <c r="B279">
        <v>1277880</v>
      </c>
      <c r="C279" s="2" t="s">
        <v>1373</v>
      </c>
      <c r="D279" s="2" t="str">
        <f>LEFT(TRIM(MID(SUBSTITUTE(tblShipments4[[#This Row],[Details]],CHAR(10)," "), FIND(CHAR(10),tblShipments4[[#This Row],[Details]])+1, 50)), 10)</f>
        <v>0588062359</v>
      </c>
      <c r="E279" t="s">
        <v>1388</v>
      </c>
      <c r="F27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79" t="str">
        <f>IF(tblShipments4[[#This Row],[EGM no]]="", "Missing EGM", "EGM Submitted")</f>
        <v>EGM Submitted</v>
      </c>
      <c r="H279" t="str">
        <f>IF(OR(ISNUMBER(SEARCH("Released",tblShipments4[[#This Row],[ROSL]])),
      ISNUMBER(SEARCH("Scroll",tblShipments4[[#This Row],[ROSL]])),
      ISNUMBER(SEARCH("Y",tblShipments4[[#This Row],[ROSL]]))),
   "Released",
   "Not Released")</f>
        <v>Released</v>
      </c>
      <c r="I279" t="str">
        <f>IF(OR(tblShipments4[[#This Row],[EGM no]]="", tblShipments4[[#This Row],[EGM no]]="N.A."), "Not Submitted", "Submitted")</f>
        <v>Submitted</v>
      </c>
      <c r="J279" t="str">
        <f>IF(LEFT(tblShipments4[[#This Row],[Gateway_Extracted]],2)="IN","Valid","Invalid")</f>
        <v>Valid</v>
      </c>
      <c r="K279" t="s">
        <v>1389</v>
      </c>
      <c r="L279" t="s">
        <v>1384</v>
      </c>
      <c r="M279" t="s">
        <v>1390</v>
      </c>
      <c r="N279" t="s">
        <v>1391</v>
      </c>
      <c r="O279" t="str">
        <f>IFERROR("IN" &amp; _xlfn.TEXTBEFORE(_xlfn.TEXTAFTER(UPPER(tblShipments4[[#This Row],[Gateway_clean]]),"IN")," ",1),"")</f>
        <v>INNSA1</v>
      </c>
      <c r="P279" t="str">
        <f>SUBSTITUTE(tblShipments4[[#This Row],[Gateway]], CHAR(10), " ")</f>
        <v xml:space="preserve">AWB No. Gateway Port Gateway EGM No. Gateway EGM Date Gateway Site ID Error Code N.A.  INNSA1  140047  2017-12-05 00:00:00.0  INNSA1  S </v>
      </c>
      <c r="Q279" t="s">
        <v>1387</v>
      </c>
    </row>
    <row r="280" spans="1:17" x14ac:dyDescent="0.35">
      <c r="A280" t="s">
        <v>8</v>
      </c>
      <c r="B280">
        <v>1277951</v>
      </c>
      <c r="C280" s="2" t="s">
        <v>1373</v>
      </c>
      <c r="D280" s="2" t="str">
        <f>LEFT(TRIM(MID(SUBSTITUTE(tblShipments4[[#This Row],[Details]],CHAR(10)," "), FIND(CHAR(10),tblShipments4[[#This Row],[Details]])+1, 50)), 10)</f>
        <v>0588062359</v>
      </c>
      <c r="E280" t="s">
        <v>1392</v>
      </c>
      <c r="F28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0" t="str">
        <f>IF(tblShipments4[[#This Row],[EGM no]]="", "Missing EGM", "EGM Submitted")</f>
        <v>EGM Submitted</v>
      </c>
      <c r="H280" t="str">
        <f>IF(OR(ISNUMBER(SEARCH("Released",tblShipments4[[#This Row],[ROSL]])),
      ISNUMBER(SEARCH("Scroll",tblShipments4[[#This Row],[ROSL]])),
      ISNUMBER(SEARCH("Y",tblShipments4[[#This Row],[ROSL]]))),
   "Released",
   "Not Released")</f>
        <v>Released</v>
      </c>
      <c r="I280" t="str">
        <f>IF(OR(tblShipments4[[#This Row],[EGM no]]="", tblShipments4[[#This Row],[EGM no]]="N.A."), "Not Submitted", "Submitted")</f>
        <v>Submitted</v>
      </c>
      <c r="J280" t="str">
        <f>IF(LEFT(tblShipments4[[#This Row],[Gateway_Extracted]],2)="IN","Valid","Invalid")</f>
        <v>Valid</v>
      </c>
      <c r="K280" t="s">
        <v>1389</v>
      </c>
      <c r="L280" t="s">
        <v>1384</v>
      </c>
      <c r="M280" t="s">
        <v>1390</v>
      </c>
      <c r="N280" t="s">
        <v>1391</v>
      </c>
      <c r="O280" t="str">
        <f>IFERROR("IN" &amp; _xlfn.TEXTBEFORE(_xlfn.TEXTAFTER(UPPER(tblShipments4[[#This Row],[Gateway_clean]]),"IN")," ",1),"")</f>
        <v>INNSA1</v>
      </c>
      <c r="P280" t="str">
        <f>SUBSTITUTE(tblShipments4[[#This Row],[Gateway]], CHAR(10), " ")</f>
        <v xml:space="preserve">AWB No. Gateway Port Gateway EGM No. Gateway EGM Date Gateway Site ID Error Code N.A.  INNSA1  140047  2017-12-05 00:00:00.0  INNSA1  S </v>
      </c>
      <c r="Q280" t="s">
        <v>1387</v>
      </c>
    </row>
    <row r="281" spans="1:17" x14ac:dyDescent="0.35">
      <c r="A281" t="s">
        <v>8</v>
      </c>
      <c r="B281">
        <v>1277877</v>
      </c>
      <c r="C281" s="2" t="s">
        <v>1373</v>
      </c>
      <c r="D281" s="2" t="str">
        <f>LEFT(TRIM(MID(SUBSTITUTE(tblShipments4[[#This Row],[Details]],CHAR(10)," "), FIND(CHAR(10),tblShipments4[[#This Row],[Details]])+1, 50)), 10)</f>
        <v>0588062359</v>
      </c>
      <c r="E281" t="s">
        <v>1383</v>
      </c>
      <c r="F28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1" t="str">
        <f>IF(tblShipments4[[#This Row],[EGM no]]="", "Missing EGM", "EGM Submitted")</f>
        <v>EGM Submitted</v>
      </c>
      <c r="H281" t="str">
        <f>IF(OR(ISNUMBER(SEARCH("Released",tblShipments4[[#This Row],[ROSL]])),
      ISNUMBER(SEARCH("Scroll",tblShipments4[[#This Row],[ROSL]])),
      ISNUMBER(SEARCH("Y",tblShipments4[[#This Row],[ROSL]]))),
   "Released",
   "Not Released")</f>
        <v>Released</v>
      </c>
      <c r="I281" t="str">
        <f>IF(OR(tblShipments4[[#This Row],[EGM no]]="", tblShipments4[[#This Row],[EGM no]]="N.A."), "Not Submitted", "Submitted")</f>
        <v>Submitted</v>
      </c>
      <c r="J281" t="str">
        <f>IF(LEFT(tblShipments4[[#This Row],[Gateway_Extracted]],2)="IN","Valid","Invalid")</f>
        <v>Valid</v>
      </c>
      <c r="K281" t="s">
        <v>1379</v>
      </c>
      <c r="L281" t="s">
        <v>1384</v>
      </c>
      <c r="M281" t="s">
        <v>1385</v>
      </c>
      <c r="N281" t="s">
        <v>1386</v>
      </c>
      <c r="O281" t="str">
        <f>IFERROR("IN" &amp; _xlfn.TEXTBEFORE(_xlfn.TEXTAFTER(UPPER(tblShipments4[[#This Row],[Gateway_clean]]),"IN")," ",1),"")</f>
        <v>INNSA1</v>
      </c>
      <c r="P281" t="str">
        <f>SUBSTITUTE(tblShipments4[[#This Row],[Gateway]], CHAR(10), " ")</f>
        <v xml:space="preserve">AWB No. Gateway Port Gateway EGM No. Gateway EGM Date Gateway Site ID Error Code N.A.  INNSA1  140047  2017-12-05 00:00:00.0  INNSA1  S </v>
      </c>
      <c r="Q281" t="s">
        <v>1387</v>
      </c>
    </row>
    <row r="282" spans="1:17" x14ac:dyDescent="0.35">
      <c r="A282" t="s">
        <v>8</v>
      </c>
      <c r="B282">
        <v>1317115</v>
      </c>
      <c r="C282" s="2" t="s">
        <v>1393</v>
      </c>
      <c r="D282" s="2" t="str">
        <f>LEFT(TRIM(MID(SUBSTITUTE(tblShipments4[[#This Row],[Details]],CHAR(10)," "), FIND(CHAR(10),tblShipments4[[#This Row],[Details]])+1, 50)), 10)</f>
        <v>0588062359</v>
      </c>
      <c r="E282" t="s">
        <v>1399</v>
      </c>
      <c r="F28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2" t="str">
        <f>IF(tblShipments4[[#This Row],[EGM no]]="", "Missing EGM", "EGM Submitted")</f>
        <v>EGM Submitted</v>
      </c>
      <c r="H282" t="str">
        <f>IF(OR(ISNUMBER(SEARCH("Released",tblShipments4[[#This Row],[ROSL]])),
      ISNUMBER(SEARCH("Scroll",tblShipments4[[#This Row],[ROSL]])),
      ISNUMBER(SEARCH("Y",tblShipments4[[#This Row],[ROSL]]))),
   "Released",
   "Not Released")</f>
        <v>Released</v>
      </c>
      <c r="I282" t="str">
        <f>IF(OR(tblShipments4[[#This Row],[EGM no]]="", tblShipments4[[#This Row],[EGM no]]="N.A."), "Not Submitted", "Submitted")</f>
        <v>Submitted</v>
      </c>
      <c r="J282" t="str">
        <f>IF(LEFT(tblShipments4[[#This Row],[Gateway_Extracted]],2)="IN","Valid","Invalid")</f>
        <v>Valid</v>
      </c>
      <c r="K282" t="s">
        <v>1379</v>
      </c>
      <c r="L282" t="s">
        <v>1384</v>
      </c>
      <c r="M282" t="s">
        <v>1400</v>
      </c>
      <c r="N282" t="s">
        <v>1401</v>
      </c>
      <c r="O282" t="str">
        <f>IFERROR("IN" &amp; _xlfn.TEXTBEFORE(_xlfn.TEXTAFTER(UPPER(tblShipments4[[#This Row],[Gateway_clean]]),"IN")," ",1),"")</f>
        <v>INNSA1</v>
      </c>
      <c r="P282" t="str">
        <f>SUBSTITUTE(tblShipments4[[#This Row],[Gateway]], CHAR(10), " ")</f>
        <v xml:space="preserve">AWB No. Gateway Port Gateway EGM No. Gateway EGM Date Gateway Site ID Error Code N.A.  INNSA1  140047  2017-12-05 00:00:00.0  INNSA1  S </v>
      </c>
      <c r="Q282" t="s">
        <v>1387</v>
      </c>
    </row>
    <row r="283" spans="1:17" x14ac:dyDescent="0.35">
      <c r="A283" t="s">
        <v>8</v>
      </c>
      <c r="B283">
        <v>1318155</v>
      </c>
      <c r="C283" s="2" t="s">
        <v>1393</v>
      </c>
      <c r="D283" s="2" t="str">
        <f>LEFT(TRIM(MID(SUBSTITUTE(tblShipments4[[#This Row],[Details]],CHAR(10)," "), FIND(CHAR(10),tblShipments4[[#This Row],[Details]])+1, 50)), 10)</f>
        <v>0588062359</v>
      </c>
      <c r="E283" t="s">
        <v>1402</v>
      </c>
      <c r="F28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3" t="str">
        <f>IF(tblShipments4[[#This Row],[EGM no]]="", "Missing EGM", "EGM Submitted")</f>
        <v>EGM Submitted</v>
      </c>
      <c r="H283" t="str">
        <f>IF(OR(ISNUMBER(SEARCH("Released",tblShipments4[[#This Row],[ROSL]])),
      ISNUMBER(SEARCH("Scroll",tblShipments4[[#This Row],[ROSL]])),
      ISNUMBER(SEARCH("Y",tblShipments4[[#This Row],[ROSL]]))),
   "Released",
   "Not Released")</f>
        <v>Released</v>
      </c>
      <c r="I283" t="str">
        <f>IF(OR(tblShipments4[[#This Row],[EGM no]]="", tblShipments4[[#This Row],[EGM no]]="N.A."), "Not Submitted", "Submitted")</f>
        <v>Submitted</v>
      </c>
      <c r="J283" t="str">
        <f>IF(LEFT(tblShipments4[[#This Row],[Gateway_Extracted]],2)="IN","Valid","Invalid")</f>
        <v>Valid</v>
      </c>
      <c r="K283" t="s">
        <v>1379</v>
      </c>
      <c r="L283" t="s">
        <v>1403</v>
      </c>
      <c r="M283" t="s">
        <v>1404</v>
      </c>
      <c r="N283" t="s">
        <v>1405</v>
      </c>
      <c r="O283" t="str">
        <f>IFERROR("IN" &amp; _xlfn.TEXTBEFORE(_xlfn.TEXTAFTER(UPPER(tblShipments4[[#This Row],[Gateway_clean]]),"IN")," ",1),"")</f>
        <v>INNSA1</v>
      </c>
      <c r="P283" t="str">
        <f>SUBSTITUTE(tblShipments4[[#This Row],[Gateway]], CHAR(10), " ")</f>
        <v xml:space="preserve">AWB No. Gateway Port Gateway EGM No. Gateway EGM Date Gateway Site ID Error Code N.A.  INNSA1  140047  2017-12-05 00:00:00.0  INNSA1  S </v>
      </c>
      <c r="Q283" t="s">
        <v>1387</v>
      </c>
    </row>
    <row r="284" spans="1:17" x14ac:dyDescent="0.35">
      <c r="A284" t="s">
        <v>8</v>
      </c>
      <c r="B284">
        <v>8964619</v>
      </c>
      <c r="C284" s="2" t="s">
        <v>874</v>
      </c>
      <c r="D284" s="2" t="str">
        <f>LEFT(TRIM(MID(SUBSTITUTE(tblShipments4[[#This Row],[Details]],CHAR(10)," "), FIND(CHAR(10),tblShipments4[[#This Row],[Details]])+1, 50)), 10)</f>
        <v>0588079359</v>
      </c>
      <c r="E284" t="s">
        <v>886</v>
      </c>
      <c r="F28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4" t="str">
        <f>IF(tblShipments4[[#This Row],[EGM no]]="", "Missing EGM", "EGM Submitted")</f>
        <v>EGM Submitted</v>
      </c>
      <c r="H284" t="str">
        <f>IF(OR(ISNUMBER(SEARCH("Released",tblShipments4[[#This Row],[ROSL]])),
      ISNUMBER(SEARCH("Scroll",tblShipments4[[#This Row],[ROSL]])),
      ISNUMBER(SEARCH("Y",tblShipments4[[#This Row],[ROSL]]))),
   "Released",
   "Not Released")</f>
        <v>Released</v>
      </c>
      <c r="I284" t="str">
        <f>IF(OR(tblShipments4[[#This Row],[EGM no]]="", tblShipments4[[#This Row],[EGM no]]="N.A."), "Not Submitted", "Submitted")</f>
        <v>Submitted</v>
      </c>
      <c r="J284" t="str">
        <f>IF(LEFT(tblShipments4[[#This Row],[Gateway_Extracted]],2)="IN","Valid","Invalid")</f>
        <v>Valid</v>
      </c>
      <c r="K284" t="s">
        <v>887</v>
      </c>
      <c r="L284" t="s">
        <v>888</v>
      </c>
      <c r="M284" t="s">
        <v>13</v>
      </c>
      <c r="N284" t="s">
        <v>889</v>
      </c>
      <c r="O284" t="str">
        <f>IFERROR("IN" &amp; _xlfn.TEXTBEFORE(_xlfn.TEXTAFTER(UPPER(tblShipments4[[#This Row],[Gateway_clean]]),"IN")," ",1),"")</f>
        <v>INNSA1</v>
      </c>
      <c r="P284" t="str">
        <f>SUBSTITUTE(tblShipments4[[#This Row],[Gateway]], CHAR(10), " ")</f>
        <v xml:space="preserve">AWB No. Gateway Port Gateway EGM No. Gateway EGM Date Gateway Site ID Error Code N.A.  INNSA1  N.A.  N.A.  N.A.  N.A. </v>
      </c>
      <c r="Q284" t="s">
        <v>26</v>
      </c>
    </row>
    <row r="285" spans="1:17" x14ac:dyDescent="0.35">
      <c r="A285" t="s">
        <v>8</v>
      </c>
      <c r="B285">
        <v>1630870</v>
      </c>
      <c r="C285" s="2" t="s">
        <v>1547</v>
      </c>
      <c r="D285" s="2" t="str">
        <f>LEFT(TRIM(MID(SUBSTITUTE(tblShipments4[[#This Row],[Details]],CHAR(10)," "), FIND(CHAR(10),tblShipments4[[#This Row],[Details]])+1, 50)), 10)</f>
        <v>0589036734</v>
      </c>
      <c r="E285" t="s">
        <v>1569</v>
      </c>
      <c r="F28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5" t="str">
        <f>IF(tblShipments4[[#This Row],[EGM no]]="", "Missing EGM", "EGM Submitted")</f>
        <v>EGM Submitted</v>
      </c>
      <c r="H285" t="str">
        <f>IF(OR(ISNUMBER(SEARCH("Released",tblShipments4[[#This Row],[ROSL]])),
      ISNUMBER(SEARCH("Scroll",tblShipments4[[#This Row],[ROSL]])),
      ISNUMBER(SEARCH("Y",tblShipments4[[#This Row],[ROSL]]))),
   "Released",
   "Not Released")</f>
        <v>Released</v>
      </c>
      <c r="I285" t="str">
        <f>IF(OR(tblShipments4[[#This Row],[EGM no]]="", tblShipments4[[#This Row],[EGM no]]="N.A."), "Not Submitted", "Submitted")</f>
        <v>Submitted</v>
      </c>
      <c r="J285" t="str">
        <f>IF(LEFT(tblShipments4[[#This Row],[Gateway_Extracted]],2)="IN","Valid","Invalid")</f>
        <v>Valid</v>
      </c>
      <c r="K285" t="s">
        <v>1543</v>
      </c>
      <c r="L285" t="s">
        <v>1570</v>
      </c>
      <c r="M285" t="s">
        <v>13</v>
      </c>
      <c r="N285" t="s">
        <v>1571</v>
      </c>
      <c r="O285" t="str">
        <f>IFERROR("IN" &amp; _xlfn.TEXTBEFORE(_xlfn.TEXTAFTER(UPPER(tblShipments4[[#This Row],[Gateway_clean]]),"IN")," ",1),"")</f>
        <v>INNSA1</v>
      </c>
      <c r="P285" t="str">
        <f>SUBSTITUTE(tblShipments4[[#This Row],[Gateway]], CHAR(10), " ")</f>
        <v xml:space="preserve">AWB No. Gateway Port Gateway EGM No. Gateway EGM Date Gateway Site ID Error Code N.A.  INNSA1  141083  2017-12-21 00:00:00.0  INNSA1  C </v>
      </c>
      <c r="Q285" t="s">
        <v>1572</v>
      </c>
    </row>
    <row r="286" spans="1:17" x14ac:dyDescent="0.35">
      <c r="A286" t="s">
        <v>8</v>
      </c>
      <c r="B286">
        <v>1181054</v>
      </c>
      <c r="C286" s="2" t="s">
        <v>1298</v>
      </c>
      <c r="D286" s="2" t="str">
        <f>LEFT(TRIM(MID(SUBSTITUTE(tblShipments4[[#This Row],[Details]],CHAR(10)," "), FIND(CHAR(10),tblShipments4[[#This Row],[Details]])+1, 50)), 10)</f>
        <v>0589043838</v>
      </c>
      <c r="E286" t="s">
        <v>1299</v>
      </c>
      <c r="F28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6" t="str">
        <f>IF(tblShipments4[[#This Row],[EGM no]]="", "Missing EGM", "EGM Submitted")</f>
        <v>EGM Submitted</v>
      </c>
      <c r="H286" t="str">
        <f>IF(OR(ISNUMBER(SEARCH("Released",tblShipments4[[#This Row],[ROSL]])),
      ISNUMBER(SEARCH("Scroll",tblShipments4[[#This Row],[ROSL]])),
      ISNUMBER(SEARCH("Y",tblShipments4[[#This Row],[ROSL]]))),
   "Released",
   "Not Released")</f>
        <v>Released</v>
      </c>
      <c r="I286" t="str">
        <f>IF(OR(tblShipments4[[#This Row],[EGM no]]="", tblShipments4[[#This Row],[EGM no]]="N.A."), "Not Submitted", "Submitted")</f>
        <v>Submitted</v>
      </c>
      <c r="J286" t="str">
        <f>IF(LEFT(tblShipments4[[#This Row],[Gateway_Extracted]],2)="IN","Valid","Invalid")</f>
        <v>Valid</v>
      </c>
      <c r="K286" t="s">
        <v>1300</v>
      </c>
      <c r="L286" t="s">
        <v>1301</v>
      </c>
      <c r="M286" t="s">
        <v>13</v>
      </c>
      <c r="N286" t="s">
        <v>1302</v>
      </c>
      <c r="O286" t="str">
        <f>IFERROR("IN" &amp; _xlfn.TEXTBEFORE(_xlfn.TEXTAFTER(UPPER(tblShipments4[[#This Row],[Gateway_clean]]),"IN")," ",1),"")</f>
        <v>INNSA1</v>
      </c>
      <c r="P286" t="str">
        <f>SUBSTITUTE(tblShipments4[[#This Row],[Gateway]], CHAR(10), " ")</f>
        <v xml:space="preserve">AWB No. Gateway Port Gateway EGM No. Gateway EGM Date Gateway Site ID Error Code N.A.  INNSA1  139557  2017-11-27 00:00:00.0  INNSA1  S </v>
      </c>
      <c r="Q286" t="s">
        <v>1303</v>
      </c>
    </row>
    <row r="287" spans="1:17" x14ac:dyDescent="0.35">
      <c r="A287" t="s">
        <v>8</v>
      </c>
      <c r="B287">
        <v>8579468</v>
      </c>
      <c r="C287" s="2" t="s">
        <v>657</v>
      </c>
      <c r="D287" s="2" t="str">
        <f>LEFT(TRIM(MID(SUBSTITUTE(tblShipments4[[#This Row],[Details]],CHAR(10)," "), FIND(CHAR(10),tblShipments4[[#This Row],[Details]])+1, 50)), 10)</f>
        <v>0589053850</v>
      </c>
      <c r="E287" t="s">
        <v>663</v>
      </c>
      <c r="F28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7" t="str">
        <f>IF(tblShipments4[[#This Row],[EGM no]]="", "Missing EGM", "EGM Submitted")</f>
        <v>EGM Submitted</v>
      </c>
      <c r="H287" t="str">
        <f>IF(OR(ISNUMBER(SEARCH("Released",tblShipments4[[#This Row],[ROSL]])),
      ISNUMBER(SEARCH("Scroll",tblShipments4[[#This Row],[ROSL]])),
      ISNUMBER(SEARCH("Y",tblShipments4[[#This Row],[ROSL]]))),
   "Released",
   "Not Released")</f>
        <v>Released</v>
      </c>
      <c r="I287" t="str">
        <f>IF(OR(tblShipments4[[#This Row],[EGM no]]="", tblShipments4[[#This Row],[EGM no]]="N.A."), "Not Submitted", "Submitted")</f>
        <v>Submitted</v>
      </c>
      <c r="J287" t="str">
        <f>IF(LEFT(tblShipments4[[#This Row],[Gateway_Extracted]],2)="IN","Valid","Invalid")</f>
        <v>Valid</v>
      </c>
      <c r="K287" t="s">
        <v>664</v>
      </c>
      <c r="L287" t="s">
        <v>665</v>
      </c>
      <c r="M287" t="s">
        <v>13</v>
      </c>
      <c r="N287" t="s">
        <v>666</v>
      </c>
      <c r="O287" t="str">
        <f>IFERROR("IN" &amp; _xlfn.TEXTBEFORE(_xlfn.TEXTAFTER(UPPER(tblShipments4[[#This Row],[Gateway_clean]]),"IN")," ",1),"")</f>
        <v>INNSA1</v>
      </c>
      <c r="P287" t="str">
        <f>SUBSTITUTE(tblShipments4[[#This Row],[Gateway]], CHAR(10), " ")</f>
        <v xml:space="preserve">AWB No. Gateway Port Gateway EGM No. Gateway EGM Date Gateway Site ID Error Code N.A.  INNSA1  134711  2017-09-07 00:00:00.0  INNSA1  ST </v>
      </c>
      <c r="Q287" t="s">
        <v>667</v>
      </c>
    </row>
    <row r="288" spans="1:17" x14ac:dyDescent="0.35">
      <c r="A288" t="s">
        <v>8</v>
      </c>
      <c r="B288">
        <v>8999430</v>
      </c>
      <c r="C288" s="2" t="s">
        <v>900</v>
      </c>
      <c r="D288" s="2" t="str">
        <f>LEFT(TRIM(MID(SUBSTITUTE(tblShipments4[[#This Row],[Details]],CHAR(10)," "), FIND(CHAR(10),tblShipments4[[#This Row],[Details]])+1, 50)), 10)</f>
        <v>0589053850</v>
      </c>
      <c r="E288" t="s">
        <v>901</v>
      </c>
      <c r="F28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8" t="str">
        <f>IF(tblShipments4[[#This Row],[EGM no]]="", "Missing EGM", "EGM Submitted")</f>
        <v>EGM Submitted</v>
      </c>
      <c r="H288" t="str">
        <f>IF(OR(ISNUMBER(SEARCH("Released",tblShipments4[[#This Row],[ROSL]])),
      ISNUMBER(SEARCH("Scroll",tblShipments4[[#This Row],[ROSL]])),
      ISNUMBER(SEARCH("Y",tblShipments4[[#This Row],[ROSL]]))),
   "Released",
   "Not Released")</f>
        <v>Released</v>
      </c>
      <c r="I288" t="str">
        <f>IF(OR(tblShipments4[[#This Row],[EGM no]]="", tblShipments4[[#This Row],[EGM no]]="N.A."), "Not Submitted", "Submitted")</f>
        <v>Submitted</v>
      </c>
      <c r="J288" t="str">
        <f>IF(LEFT(tblShipments4[[#This Row],[Gateway_Extracted]],2)="IN","Valid","Invalid")</f>
        <v>Valid</v>
      </c>
      <c r="K288" t="s">
        <v>902</v>
      </c>
      <c r="L288" t="s">
        <v>903</v>
      </c>
      <c r="M288" t="s">
        <v>13</v>
      </c>
      <c r="N288" t="s">
        <v>904</v>
      </c>
      <c r="O288" t="str">
        <f>IFERROR("IN" &amp; _xlfn.TEXTBEFORE(_xlfn.TEXTAFTER(UPPER(tblShipments4[[#This Row],[Gateway_clean]]),"IN")," ",1),"")</f>
        <v>INNSA1</v>
      </c>
      <c r="P288" t="str">
        <f>SUBSTITUTE(tblShipments4[[#This Row],[Gateway]], CHAR(10), " ")</f>
        <v xml:space="preserve">AWB No. Gateway Port Gateway EGM No. Gateway EGM Date Gateway Site ID Error Code N.A.  INNSA1  135755  2017-09-25 00:00:00.0  INNSA1  NC </v>
      </c>
      <c r="Q288" t="s">
        <v>905</v>
      </c>
    </row>
    <row r="289" spans="1:17" x14ac:dyDescent="0.35">
      <c r="A289" t="s">
        <v>8</v>
      </c>
      <c r="B289">
        <v>1568268</v>
      </c>
      <c r="C289" s="2" t="s">
        <v>1528</v>
      </c>
      <c r="D289" s="2" t="str">
        <f>LEFT(TRIM(MID(SUBSTITUTE(tblShipments4[[#This Row],[Details]],CHAR(10)," "), FIND(CHAR(10),tblShipments4[[#This Row],[Details]])+1, 50)), 10)</f>
        <v>0589053850</v>
      </c>
      <c r="E289" t="s">
        <v>1533</v>
      </c>
      <c r="F28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89" t="str">
        <f>IF(tblShipments4[[#This Row],[EGM no]]="", "Missing EGM", "EGM Submitted")</f>
        <v>EGM Submitted</v>
      </c>
      <c r="H289" t="str">
        <f>IF(OR(ISNUMBER(SEARCH("Released",tblShipments4[[#This Row],[ROSL]])),
      ISNUMBER(SEARCH("Scroll",tblShipments4[[#This Row],[ROSL]])),
      ISNUMBER(SEARCH("Y",tblShipments4[[#This Row],[ROSL]]))),
   "Released",
   "Not Released")</f>
        <v>Released</v>
      </c>
      <c r="I289" t="str">
        <f>IF(OR(tblShipments4[[#This Row],[EGM no]]="", tblShipments4[[#This Row],[EGM no]]="N.A."), "Not Submitted", "Submitted")</f>
        <v>Submitted</v>
      </c>
      <c r="J289" t="str">
        <f>IF(LEFT(tblShipments4[[#This Row],[Gateway_Extracted]],2)="IN","Valid","Invalid")</f>
        <v>Valid</v>
      </c>
      <c r="K289" t="s">
        <v>1461</v>
      </c>
      <c r="L289" t="s">
        <v>1534</v>
      </c>
      <c r="M289" t="s">
        <v>13</v>
      </c>
      <c r="N289" t="s">
        <v>1535</v>
      </c>
      <c r="O289" t="str">
        <f>IFERROR("IN" &amp; _xlfn.TEXTBEFORE(_xlfn.TEXTAFTER(UPPER(tblShipments4[[#This Row],[Gateway_clean]]),"IN")," ",1),"")</f>
        <v>INNSA1</v>
      </c>
      <c r="P289" t="str">
        <f>SUBSTITUTE(tblShipments4[[#This Row],[Gateway]], CHAR(10), " ")</f>
        <v xml:space="preserve">AWB No. Gateway Port Gateway EGM No. Gateway EGM Date Gateway Site ID Error Code N.A.  INNSA1  140487  2017-12-12 00:00:00.0  INNSA1  S </v>
      </c>
      <c r="Q289" t="s">
        <v>1536</v>
      </c>
    </row>
    <row r="290" spans="1:17" x14ac:dyDescent="0.35">
      <c r="A290" t="s">
        <v>8</v>
      </c>
      <c r="B290">
        <v>7692707</v>
      </c>
      <c r="C290" s="2" t="s">
        <v>76</v>
      </c>
      <c r="D290" s="2" t="str">
        <f>LEFT(TRIM(MID(SUBSTITUTE(tblShipments4[[#This Row],[Details]],CHAR(10)," "), FIND(CHAR(10),tblShipments4[[#This Row],[Details]])+1, 50)), 10)</f>
        <v>0591026007</v>
      </c>
      <c r="E290" t="s">
        <v>82</v>
      </c>
      <c r="F29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0" t="str">
        <f>IF(tblShipments4[[#This Row],[EGM no]]="", "Missing EGM", "EGM Submitted")</f>
        <v>EGM Submitted</v>
      </c>
      <c r="H290" t="str">
        <f>IF(OR(ISNUMBER(SEARCH("Released",tblShipments4[[#This Row],[ROSL]])),
      ISNUMBER(SEARCH("Scroll",tblShipments4[[#This Row],[ROSL]])),
      ISNUMBER(SEARCH("Y",tblShipments4[[#This Row],[ROSL]]))),
   "Released",
   "Not Released")</f>
        <v>Released</v>
      </c>
      <c r="I290" t="str">
        <f>IF(OR(tblShipments4[[#This Row],[EGM no]]="", tblShipments4[[#This Row],[EGM no]]="N.A."), "Not Submitted", "Submitted")</f>
        <v>Submitted</v>
      </c>
      <c r="J290" t="str">
        <f>IF(LEFT(tblShipments4[[#This Row],[Gateway_Extracted]],2)="IN","Valid","Invalid")</f>
        <v>Valid</v>
      </c>
      <c r="K290" t="s">
        <v>83</v>
      </c>
      <c r="L290" t="s">
        <v>84</v>
      </c>
      <c r="M290" t="s">
        <v>13</v>
      </c>
      <c r="N290" t="s">
        <v>85</v>
      </c>
      <c r="O290" t="str">
        <f>IFERROR("IN" &amp; _xlfn.TEXTBEFORE(_xlfn.TEXTAFTER(UPPER(tblShipments4[[#This Row],[Gateway_clean]]),"IN")," ",1),"")</f>
        <v>INNSA1</v>
      </c>
      <c r="P290" t="str">
        <f>SUBSTITUTE(tblShipments4[[#This Row],[Gateway]], CHAR(10), " ")</f>
        <v xml:space="preserve">AWB No. Gateway Port Gateway EGM No. Gateway EGM Date Gateway Site ID Error Code N.A.  INNSA1  132431  2017-07-31 00:00:00.0  INNSA1  S </v>
      </c>
      <c r="Q290" t="s">
        <v>86</v>
      </c>
    </row>
    <row r="291" spans="1:17" x14ac:dyDescent="0.35">
      <c r="A291" t="s">
        <v>8</v>
      </c>
      <c r="B291">
        <v>8169500</v>
      </c>
      <c r="C291" s="2" t="s">
        <v>380</v>
      </c>
      <c r="D291" s="2" t="str">
        <f>LEFT(TRIM(MID(SUBSTITUTE(tblShipments4[[#This Row],[Details]],CHAR(10)," "), FIND(CHAR(10),tblShipments4[[#This Row],[Details]])+1, 50)), 10)</f>
        <v>0591028549</v>
      </c>
      <c r="E291" t="s">
        <v>388</v>
      </c>
      <c r="F29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1" t="str">
        <f>IF(tblShipments4[[#This Row],[EGM no]]="", "Missing EGM", "EGM Submitted")</f>
        <v>EGM Submitted</v>
      </c>
      <c r="H291" t="str">
        <f>IF(OR(ISNUMBER(SEARCH("Released",tblShipments4[[#This Row],[ROSL]])),
      ISNUMBER(SEARCH("Scroll",tblShipments4[[#This Row],[ROSL]])),
      ISNUMBER(SEARCH("Y",tblShipments4[[#This Row],[ROSL]]))),
   "Released",
   "Not Released")</f>
        <v>Released</v>
      </c>
      <c r="I291" t="str">
        <f>IF(OR(tblShipments4[[#This Row],[EGM no]]="", tblShipments4[[#This Row],[EGM no]]="N.A."), "Not Submitted", "Submitted")</f>
        <v>Submitted</v>
      </c>
      <c r="J291" t="str">
        <f>IF(LEFT(tblShipments4[[#This Row],[Gateway_Extracted]],2)="IN","Valid","Invalid")</f>
        <v>Valid</v>
      </c>
      <c r="K291" t="s">
        <v>389</v>
      </c>
      <c r="L291" t="s">
        <v>390</v>
      </c>
      <c r="M291" t="s">
        <v>31</v>
      </c>
      <c r="N291" t="s">
        <v>391</v>
      </c>
      <c r="O291" t="str">
        <f>IFERROR("IN" &amp; _xlfn.TEXTBEFORE(_xlfn.TEXTAFTER(UPPER(tblShipments4[[#This Row],[Gateway_clean]]),"IN")," ",1),"")</f>
        <v>INNSA1</v>
      </c>
      <c r="P291" t="str">
        <f>SUBSTITUTE(tblShipments4[[#This Row],[Gateway]], CHAR(10), " ")</f>
        <v xml:space="preserve">AWB No. Gateway Port Gateway EGM No. Gateway EGM Date Gateway Site ID Error Code N.A.  INNSA1  133453  2017-08-17 00:00:00.0  INNSA1  S </v>
      </c>
      <c r="Q291" t="s">
        <v>392</v>
      </c>
    </row>
    <row r="292" spans="1:17" x14ac:dyDescent="0.35">
      <c r="A292" t="s">
        <v>8</v>
      </c>
      <c r="B292">
        <v>9575454</v>
      </c>
      <c r="C292" s="2" t="s">
        <v>1092</v>
      </c>
      <c r="D292" s="2" t="str">
        <f>LEFT(TRIM(MID(SUBSTITUTE(tblShipments4[[#This Row],[Details]],CHAR(10)," "), FIND(CHAR(10),tblShipments4[[#This Row],[Details]])+1, 50)), 10)</f>
        <v>0591028549</v>
      </c>
      <c r="E292" t="s">
        <v>1103</v>
      </c>
      <c r="F29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2" t="str">
        <f>IF(tblShipments4[[#This Row],[EGM no]]="", "Missing EGM", "EGM Submitted")</f>
        <v>EGM Submitted</v>
      </c>
      <c r="H292" t="str">
        <f>IF(OR(ISNUMBER(SEARCH("Released",tblShipments4[[#This Row],[ROSL]])),
      ISNUMBER(SEARCH("Scroll",tblShipments4[[#This Row],[ROSL]])),
      ISNUMBER(SEARCH("Y",tblShipments4[[#This Row],[ROSL]]))),
   "Released",
   "Not Released")</f>
        <v>Released</v>
      </c>
      <c r="I292" t="str">
        <f>IF(OR(tblShipments4[[#This Row],[EGM no]]="", tblShipments4[[#This Row],[EGM no]]="N.A."), "Not Submitted", "Submitted")</f>
        <v>Submitted</v>
      </c>
      <c r="J292" t="str">
        <f>IF(LEFT(tblShipments4[[#This Row],[Gateway_Extracted]],2)="IN","Valid","Invalid")</f>
        <v>Valid</v>
      </c>
      <c r="K292" t="s">
        <v>1094</v>
      </c>
      <c r="L292" t="s">
        <v>1104</v>
      </c>
      <c r="M292" t="s">
        <v>31</v>
      </c>
      <c r="N292" t="s">
        <v>1105</v>
      </c>
      <c r="O292" t="str">
        <f>IFERROR("IN" &amp; _xlfn.TEXTBEFORE(_xlfn.TEXTAFTER(UPPER(tblShipments4[[#This Row],[Gateway_clean]]),"IN")," ",1),"")</f>
        <v>INNSA1</v>
      </c>
      <c r="P292" t="str">
        <f>SUBSTITUTE(tblShipments4[[#This Row],[Gateway]], CHAR(10), " ")</f>
        <v xml:space="preserve">AWB No. Gateway Port Gateway EGM No. Gateway EGM Date Gateway Site ID Error Code N.A.  INNSA1  137348  2017-10-23 00:00:00.0  INNSA1  S </v>
      </c>
      <c r="Q292" t="s">
        <v>1106</v>
      </c>
    </row>
    <row r="293" spans="1:17" x14ac:dyDescent="0.35">
      <c r="A293" t="s">
        <v>8</v>
      </c>
      <c r="B293">
        <v>9225719</v>
      </c>
      <c r="C293" s="2" t="s">
        <v>993</v>
      </c>
      <c r="D293" s="2" t="str">
        <f>LEFT(TRIM(MID(SUBSTITUTE(tblShipments4[[#This Row],[Details]],CHAR(10)," "), FIND(CHAR(10),tblShipments4[[#This Row],[Details]])+1, 50)), 10)</f>
        <v>0591032163</v>
      </c>
      <c r="E293" t="s">
        <v>999</v>
      </c>
      <c r="F29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3" t="str">
        <f>IF(tblShipments4[[#This Row],[EGM no]]="", "Missing EGM", "EGM Submitted")</f>
        <v>EGM Submitted</v>
      </c>
      <c r="H293" t="str">
        <f>IF(OR(ISNUMBER(SEARCH("Released",tblShipments4[[#This Row],[ROSL]])),
      ISNUMBER(SEARCH("Scroll",tblShipments4[[#This Row],[ROSL]])),
      ISNUMBER(SEARCH("Y",tblShipments4[[#This Row],[ROSL]]))),
   "Released",
   "Not Released")</f>
        <v>Released</v>
      </c>
      <c r="I293" t="str">
        <f>IF(OR(tblShipments4[[#This Row],[EGM no]]="", tblShipments4[[#This Row],[EGM no]]="N.A."), "Not Submitted", "Submitted")</f>
        <v>Submitted</v>
      </c>
      <c r="J293" t="str">
        <f>IF(LEFT(tblShipments4[[#This Row],[Gateway_Extracted]],2)="IN","Valid","Invalid")</f>
        <v>Valid</v>
      </c>
      <c r="K293" t="s">
        <v>1000</v>
      </c>
      <c r="L293" t="s">
        <v>1001</v>
      </c>
      <c r="M293" t="s">
        <v>13</v>
      </c>
      <c r="N293" t="s">
        <v>1002</v>
      </c>
      <c r="O293" t="str">
        <f>IFERROR("IN" &amp; _xlfn.TEXTBEFORE(_xlfn.TEXTAFTER(UPPER(tblShipments4[[#This Row],[Gateway_clean]]),"IN")," ",1),"")</f>
        <v>INNSA1</v>
      </c>
      <c r="P293" t="str">
        <f>SUBSTITUTE(tblShipments4[[#This Row],[Gateway]], CHAR(10), " ")</f>
        <v xml:space="preserve">AWB No. Gateway Port Gateway EGM No. Gateway EGM Date Gateway Site ID Error Code N.A.  INNSA1  N.A.  N.A.  N.A.  N.A. </v>
      </c>
      <c r="Q293" t="s">
        <v>26</v>
      </c>
    </row>
    <row r="294" spans="1:17" x14ac:dyDescent="0.35">
      <c r="A294" t="s">
        <v>8</v>
      </c>
      <c r="B294">
        <v>1197442</v>
      </c>
      <c r="C294" s="2" t="s">
        <v>1298</v>
      </c>
      <c r="D294" s="2" t="str">
        <f>LEFT(TRIM(MID(SUBSTITUTE(tblShipments4[[#This Row],[Details]],CHAR(10)," "), FIND(CHAR(10),tblShipments4[[#This Row],[Details]])+1, 50)), 10)</f>
        <v>0592006832</v>
      </c>
      <c r="E294" t="s">
        <v>1309</v>
      </c>
      <c r="F29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4" t="str">
        <f>IF(tblShipments4[[#This Row],[EGM no]]="", "Missing EGM", "EGM Submitted")</f>
        <v>EGM Submitted</v>
      </c>
      <c r="H294" t="str">
        <f>IF(OR(ISNUMBER(SEARCH("Released",tblShipments4[[#This Row],[ROSL]])),
      ISNUMBER(SEARCH("Scroll",tblShipments4[[#This Row],[ROSL]])),
      ISNUMBER(SEARCH("Y",tblShipments4[[#This Row],[ROSL]]))),
   "Released",
   "Not Released")</f>
        <v>Released</v>
      </c>
      <c r="I294" t="str">
        <f>IF(OR(tblShipments4[[#This Row],[EGM no]]="", tblShipments4[[#This Row],[EGM no]]="N.A."), "Not Submitted", "Submitted")</f>
        <v>Submitted</v>
      </c>
      <c r="J294" t="str">
        <f>IF(LEFT(tblShipments4[[#This Row],[Gateway_Extracted]],2)="IN","Valid","Invalid")</f>
        <v>Valid</v>
      </c>
      <c r="K294" t="s">
        <v>1310</v>
      </c>
      <c r="L294" t="s">
        <v>1311</v>
      </c>
      <c r="M294" t="s">
        <v>31</v>
      </c>
      <c r="N294" t="s">
        <v>1312</v>
      </c>
      <c r="O294" t="str">
        <f>IFERROR("IN" &amp; _xlfn.TEXTBEFORE(_xlfn.TEXTAFTER(UPPER(tblShipments4[[#This Row],[Gateway_clean]]),"IN")," ",1),"")</f>
        <v>INNSA1</v>
      </c>
      <c r="P294" t="str">
        <f>SUBSTITUTE(tblShipments4[[#This Row],[Gateway]], CHAR(10), " ")</f>
        <v xml:space="preserve">AWB No. Gateway Port Gateway EGM No. Gateway EGM Date Gateway Site ID Error Code N.A.  INNSA1  139757  2017-11-29 00:00:00.0  INNSA1  S </v>
      </c>
      <c r="Q294" t="s">
        <v>1313</v>
      </c>
    </row>
    <row r="295" spans="1:17" x14ac:dyDescent="0.35">
      <c r="A295" t="s">
        <v>8</v>
      </c>
      <c r="B295">
        <v>9226280</v>
      </c>
      <c r="C295" s="2" t="s">
        <v>993</v>
      </c>
      <c r="D295" s="2" t="str">
        <f>LEFT(TRIM(MID(SUBSTITUTE(tblShipments4[[#This Row],[Details]],CHAR(10)," "), FIND(CHAR(10),tblShipments4[[#This Row],[Details]])+1, 50)), 10)</f>
        <v>0592023052</v>
      </c>
      <c r="E295" t="s">
        <v>1003</v>
      </c>
      <c r="F29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5" t="str">
        <f>IF(tblShipments4[[#This Row],[EGM no]]="", "Missing EGM", "EGM Submitted")</f>
        <v>EGM Submitted</v>
      </c>
      <c r="H295" t="str">
        <f>IF(OR(ISNUMBER(SEARCH("Released",tblShipments4[[#This Row],[ROSL]])),
      ISNUMBER(SEARCH("Scroll",tblShipments4[[#This Row],[ROSL]])),
      ISNUMBER(SEARCH("Y",tblShipments4[[#This Row],[ROSL]]))),
   "Released",
   "Not Released")</f>
        <v>Released</v>
      </c>
      <c r="I295" t="str">
        <f>IF(OR(tblShipments4[[#This Row],[EGM no]]="", tblShipments4[[#This Row],[EGM no]]="N.A."), "Not Submitted", "Submitted")</f>
        <v>Submitted</v>
      </c>
      <c r="J295" t="str">
        <f>IF(LEFT(tblShipments4[[#This Row],[Gateway_Extracted]],2)="IN","Valid","Invalid")</f>
        <v>Valid</v>
      </c>
      <c r="K295" t="s">
        <v>1004</v>
      </c>
      <c r="L295" t="s">
        <v>1005</v>
      </c>
      <c r="M295" t="s">
        <v>13</v>
      </c>
      <c r="N295" t="s">
        <v>1006</v>
      </c>
      <c r="O295" t="str">
        <f>IFERROR("IN" &amp; _xlfn.TEXTBEFORE(_xlfn.TEXTAFTER(UPPER(tblShipments4[[#This Row],[Gateway_clean]]),"IN")," ",1),"")</f>
        <v>INNSA1</v>
      </c>
      <c r="P295" t="str">
        <f>SUBSTITUTE(tblShipments4[[#This Row],[Gateway]], CHAR(10), " ")</f>
        <v xml:space="preserve">AWB No. Gateway Port Gateway EGM No. Gateway EGM Date Gateway Site ID Error Code N.A.  INNSA1  138138  2017-11-03 00:00:00.0  INNSA1  C </v>
      </c>
      <c r="Q295" t="s">
        <v>1007</v>
      </c>
    </row>
    <row r="296" spans="1:17" x14ac:dyDescent="0.35">
      <c r="A296" t="s">
        <v>8</v>
      </c>
      <c r="B296">
        <v>8263241</v>
      </c>
      <c r="C296" s="2" t="s">
        <v>467</v>
      </c>
      <c r="D296" s="2" t="str">
        <f>LEFT(TRIM(MID(SUBSTITUTE(tblShipments4[[#This Row],[Details]],CHAR(10)," "), FIND(CHAR(10),tblShipments4[[#This Row],[Details]])+1, 50)), 10)</f>
        <v>0592023052</v>
      </c>
      <c r="E296" t="s">
        <v>476</v>
      </c>
      <c r="F29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6" t="str">
        <f>IF(tblShipments4[[#This Row],[EGM no]]="", "Missing EGM", "EGM Submitted")</f>
        <v>EGM Submitted</v>
      </c>
      <c r="H296" t="str">
        <f>IF(OR(ISNUMBER(SEARCH("Released",tblShipments4[[#This Row],[ROSL]])),
      ISNUMBER(SEARCH("Scroll",tblShipments4[[#This Row],[ROSL]])),
      ISNUMBER(SEARCH("Y",tblShipments4[[#This Row],[ROSL]]))),
   "Released",
   "Not Released")</f>
        <v>Released</v>
      </c>
      <c r="I296" t="str">
        <f>IF(OR(tblShipments4[[#This Row],[EGM no]]="", tblShipments4[[#This Row],[EGM no]]="N.A."), "Not Submitted", "Submitted")</f>
        <v>Submitted</v>
      </c>
      <c r="J296" t="str">
        <f>IF(LEFT(tblShipments4[[#This Row],[Gateway_Extracted]],2)="IN","Valid","Invalid")</f>
        <v>Valid</v>
      </c>
      <c r="K296" t="s">
        <v>473</v>
      </c>
      <c r="L296" t="s">
        <v>477</v>
      </c>
      <c r="M296" t="s">
        <v>13</v>
      </c>
      <c r="N296" t="s">
        <v>478</v>
      </c>
      <c r="O296" t="str">
        <f>IFERROR("IN" &amp; _xlfn.TEXTBEFORE(_xlfn.TEXTAFTER(UPPER(tblShipments4[[#This Row],[Gateway_clean]]),"IN")," ",1),"")</f>
        <v>INNSA1</v>
      </c>
      <c r="P296" t="str">
        <f>SUBSTITUTE(tblShipments4[[#This Row],[Gateway]], CHAR(10), " ")</f>
        <v xml:space="preserve">AWB No. Gateway Port Gateway EGM No. Gateway EGM Date Gateway Site ID Error Code N.A.  INNSA1  N.A.  N.A.  N.A.  N.A. </v>
      </c>
      <c r="Q296" t="s">
        <v>26</v>
      </c>
    </row>
    <row r="297" spans="1:17" x14ac:dyDescent="0.35">
      <c r="A297" t="s">
        <v>8</v>
      </c>
      <c r="B297">
        <v>8466834</v>
      </c>
      <c r="C297" s="2" t="s">
        <v>590</v>
      </c>
      <c r="D297" s="2" t="str">
        <f>LEFT(TRIM(MID(SUBSTITUTE(tblShipments4[[#This Row],[Details]],CHAR(10)," "), FIND(CHAR(10),tblShipments4[[#This Row],[Details]])+1, 50)), 10)</f>
        <v>0592023052</v>
      </c>
      <c r="E297" t="s">
        <v>603</v>
      </c>
      <c r="F29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7" t="str">
        <f>IF(tblShipments4[[#This Row],[EGM no]]="", "Missing EGM", "EGM Submitted")</f>
        <v>EGM Submitted</v>
      </c>
      <c r="H297" t="str">
        <f>IF(OR(ISNUMBER(SEARCH("Released",tblShipments4[[#This Row],[ROSL]])),
      ISNUMBER(SEARCH("Scroll",tblShipments4[[#This Row],[ROSL]])),
      ISNUMBER(SEARCH("Y",tblShipments4[[#This Row],[ROSL]]))),
   "Released",
   "Not Released")</f>
        <v>Released</v>
      </c>
      <c r="I297" t="str">
        <f>IF(OR(tblShipments4[[#This Row],[EGM no]]="", tblShipments4[[#This Row],[EGM no]]="N.A."), "Not Submitted", "Submitted")</f>
        <v>Submitted</v>
      </c>
      <c r="J297" t="str">
        <f>IF(LEFT(tblShipments4[[#This Row],[Gateway_Extracted]],2)="IN","Valid","Invalid")</f>
        <v>Valid</v>
      </c>
      <c r="K297" t="s">
        <v>528</v>
      </c>
      <c r="L297" t="s">
        <v>604</v>
      </c>
      <c r="M297" t="s">
        <v>13</v>
      </c>
      <c r="N297" t="s">
        <v>605</v>
      </c>
      <c r="O297" t="str">
        <f>IFERROR("IN" &amp; _xlfn.TEXTBEFORE(_xlfn.TEXTAFTER(UPPER(tblShipments4[[#This Row],[Gateway_clean]]),"IN")," ",1),"")</f>
        <v>INNSA1</v>
      </c>
      <c r="P297" t="str">
        <f>SUBSTITUTE(tblShipments4[[#This Row],[Gateway]], CHAR(10), " ")</f>
        <v xml:space="preserve">AWB No. Gateway Port Gateway EGM No. Gateway EGM Date Gateway Site ID Error Code N.A.  INNSA1  134474  2017-09-04 00:00:00.0  INNSA1  S </v>
      </c>
      <c r="Q297" t="s">
        <v>606</v>
      </c>
    </row>
    <row r="298" spans="1:17" x14ac:dyDescent="0.35">
      <c r="A298" t="s">
        <v>8</v>
      </c>
      <c r="B298">
        <v>9535945</v>
      </c>
      <c r="C298" s="2" t="s">
        <v>1072</v>
      </c>
      <c r="D298" s="2" t="str">
        <f>LEFT(TRIM(MID(SUBSTITUTE(tblShipments4[[#This Row],[Details]],CHAR(10)," "), FIND(CHAR(10),tblShipments4[[#This Row],[Details]])+1, 50)), 10)</f>
        <v>0592023052</v>
      </c>
      <c r="E298" t="s">
        <v>1083</v>
      </c>
      <c r="F29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8" t="str">
        <f>IF(tblShipments4[[#This Row],[EGM no]]="", "Missing EGM", "EGM Submitted")</f>
        <v>EGM Submitted</v>
      </c>
      <c r="H298" t="str">
        <f>IF(OR(ISNUMBER(SEARCH("Released",tblShipments4[[#This Row],[ROSL]])),
      ISNUMBER(SEARCH("Scroll",tblShipments4[[#This Row],[ROSL]])),
      ISNUMBER(SEARCH("Y",tblShipments4[[#This Row],[ROSL]]))),
   "Released",
   "Not Released")</f>
        <v>Released</v>
      </c>
      <c r="I298" t="str">
        <f>IF(OR(tblShipments4[[#This Row],[EGM no]]="", tblShipments4[[#This Row],[EGM no]]="N.A."), "Not Submitted", "Submitted")</f>
        <v>Submitted</v>
      </c>
      <c r="J298" t="str">
        <f>IF(LEFT(tblShipments4[[#This Row],[Gateway_Extracted]],2)="IN","Valid","Invalid")</f>
        <v>Valid</v>
      </c>
      <c r="K298" t="s">
        <v>1024</v>
      </c>
      <c r="L298" t="s">
        <v>1084</v>
      </c>
      <c r="M298" t="s">
        <v>13</v>
      </c>
      <c r="N298" t="s">
        <v>1085</v>
      </c>
      <c r="O298" t="str">
        <f>IFERROR("IN" &amp; _xlfn.TEXTBEFORE(_xlfn.TEXTAFTER(UPPER(tblShipments4[[#This Row],[Gateway_clean]]),"IN")," ",1),"")</f>
        <v>INNSA1</v>
      </c>
      <c r="P298" t="str">
        <f>SUBSTITUTE(tblShipments4[[#This Row],[Gateway]], CHAR(10), " ")</f>
        <v xml:space="preserve">AWB No. Gateway Port Gateway EGM No. Gateway EGM Date Gateway Site ID Error Code N.A.  INNSA1  137969  2017-11-01 00:00:00.0  INNSA1  C </v>
      </c>
      <c r="Q298" t="s">
        <v>1086</v>
      </c>
    </row>
    <row r="299" spans="1:17" x14ac:dyDescent="0.35">
      <c r="A299" t="s">
        <v>8</v>
      </c>
      <c r="B299">
        <v>7835799</v>
      </c>
      <c r="C299" s="2" t="s">
        <v>191</v>
      </c>
      <c r="D299" s="2" t="str">
        <f>LEFT(TRIM(MID(SUBSTITUTE(tblShipments4[[#This Row],[Details]],CHAR(10)," "), FIND(CHAR(10),tblShipments4[[#This Row],[Details]])+1, 50)), 10)</f>
        <v>0592023052</v>
      </c>
      <c r="E299" t="s">
        <v>192</v>
      </c>
      <c r="F29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299" t="str">
        <f>IF(tblShipments4[[#This Row],[EGM no]]="", "Missing EGM", "EGM Submitted")</f>
        <v>EGM Submitted</v>
      </c>
      <c r="H299" t="str">
        <f>IF(OR(ISNUMBER(SEARCH("Released",tblShipments4[[#This Row],[ROSL]])),
      ISNUMBER(SEARCH("Scroll",tblShipments4[[#This Row],[ROSL]])),
      ISNUMBER(SEARCH("Y",tblShipments4[[#This Row],[ROSL]]))),
   "Released",
   "Not Released")</f>
        <v>Released</v>
      </c>
      <c r="I299" t="str">
        <f>IF(OR(tblShipments4[[#This Row],[EGM no]]="", tblShipments4[[#This Row],[EGM no]]="N.A."), "Not Submitted", "Submitted")</f>
        <v>Submitted</v>
      </c>
      <c r="J299" t="str">
        <f>IF(LEFT(tblShipments4[[#This Row],[Gateway_Extracted]],2)="IN","Valid","Invalid")</f>
        <v>Valid</v>
      </c>
      <c r="K299" t="s">
        <v>169</v>
      </c>
      <c r="L299" t="s">
        <v>193</v>
      </c>
      <c r="M299" t="s">
        <v>13</v>
      </c>
      <c r="N299" t="s">
        <v>194</v>
      </c>
      <c r="O299" t="str">
        <f>IFERROR("IN" &amp; _xlfn.TEXTBEFORE(_xlfn.TEXTAFTER(UPPER(tblShipments4[[#This Row],[Gateway_clean]]),"IN")," ",1),"")</f>
        <v>INNSA1</v>
      </c>
      <c r="P299" t="str">
        <f>SUBSTITUTE(tblShipments4[[#This Row],[Gateway]], CHAR(10), " ")</f>
        <v xml:space="preserve">AWB No. Gateway Port Gateway EGM No. Gateway EGM Date Gateway Site ID Error Code N.A.  INNSA1  N.A.  N.A.  N.A.  N.A. </v>
      </c>
      <c r="Q299" t="s">
        <v>26</v>
      </c>
    </row>
    <row r="300" spans="1:17" x14ac:dyDescent="0.35">
      <c r="A300" t="s">
        <v>8</v>
      </c>
      <c r="B300">
        <v>1099071</v>
      </c>
      <c r="C300" s="2" t="s">
        <v>1284</v>
      </c>
      <c r="D300" s="2" t="str">
        <f>LEFT(TRIM(MID(SUBSTITUTE(tblShipments4[[#This Row],[Details]],CHAR(10)," "), FIND(CHAR(10),tblShipments4[[#This Row],[Details]])+1, 50)), 10)</f>
        <v>0592023052</v>
      </c>
      <c r="E300" t="s">
        <v>1289</v>
      </c>
      <c r="F30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0" t="str">
        <f>IF(tblShipments4[[#This Row],[EGM no]]="", "Missing EGM", "EGM Submitted")</f>
        <v>EGM Submitted</v>
      </c>
      <c r="H300" t="str">
        <f>IF(OR(ISNUMBER(SEARCH("Released",tblShipments4[[#This Row],[ROSL]])),
      ISNUMBER(SEARCH("Scroll",tblShipments4[[#This Row],[ROSL]])),
      ISNUMBER(SEARCH("Y",tblShipments4[[#This Row],[ROSL]]))),
   "Released",
   "Not Released")</f>
        <v>Released</v>
      </c>
      <c r="I300" t="str">
        <f>IF(OR(tblShipments4[[#This Row],[EGM no]]="", tblShipments4[[#This Row],[EGM no]]="N.A."), "Not Submitted", "Submitted")</f>
        <v>Submitted</v>
      </c>
      <c r="J300" t="str">
        <f>IF(LEFT(tblShipments4[[#This Row],[Gateway_Extracted]],2)="IN","Valid","Invalid")</f>
        <v>Valid</v>
      </c>
      <c r="K300" t="s">
        <v>1263</v>
      </c>
      <c r="L300" t="s">
        <v>1290</v>
      </c>
      <c r="M300" t="s">
        <v>13</v>
      </c>
      <c r="N300" t="s">
        <v>1291</v>
      </c>
      <c r="O300" t="str">
        <f>IFERROR("IN" &amp; _xlfn.TEXTBEFORE(_xlfn.TEXTAFTER(UPPER(tblShipments4[[#This Row],[Gateway_clean]]),"IN")," ",1),"")</f>
        <v>INNSA1</v>
      </c>
      <c r="P300" t="str">
        <f>SUBSTITUTE(tblShipments4[[#This Row],[Gateway]], CHAR(10), " ")</f>
        <v xml:space="preserve">AWB No. Gateway Port Gateway EGM No. Gateway EGM Date Gateway Site ID Error Code N.A.  INNSA1  139301  2017-11-22 00:00:00.0  INNSA1  S </v>
      </c>
      <c r="Q300" t="s">
        <v>1292</v>
      </c>
    </row>
    <row r="301" spans="1:17" x14ac:dyDescent="0.35">
      <c r="A301" t="s">
        <v>8</v>
      </c>
      <c r="B301">
        <v>8140947</v>
      </c>
      <c r="C301" s="2" t="s">
        <v>356</v>
      </c>
      <c r="D301" s="2" t="str">
        <f>LEFT(TRIM(MID(SUBSTITUTE(tblShipments4[[#This Row],[Details]],CHAR(10)," "), FIND(CHAR(10),tblShipments4[[#This Row],[Details]])+1, 50)), 10)</f>
        <v>0592023052</v>
      </c>
      <c r="E301" t="s">
        <v>365</v>
      </c>
      <c r="F30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1" t="str">
        <f>IF(tblShipments4[[#This Row],[EGM no]]="", "Missing EGM", "EGM Submitted")</f>
        <v>EGM Submitted</v>
      </c>
      <c r="H301" t="str">
        <f>IF(OR(ISNUMBER(SEARCH("Released",tblShipments4[[#This Row],[ROSL]])),
      ISNUMBER(SEARCH("Scroll",tblShipments4[[#This Row],[ROSL]])),
      ISNUMBER(SEARCH("Y",tblShipments4[[#This Row],[ROSL]]))),
   "Released",
   "Not Released")</f>
        <v>Released</v>
      </c>
      <c r="I301" t="str">
        <f>IF(OR(tblShipments4[[#This Row],[EGM no]]="", tblShipments4[[#This Row],[EGM no]]="N.A."), "Not Submitted", "Submitted")</f>
        <v>Submitted</v>
      </c>
      <c r="J301" t="str">
        <f>IF(LEFT(tblShipments4[[#This Row],[Gateway_Extracted]],2)="IN","Valid","Invalid")</f>
        <v>Valid</v>
      </c>
      <c r="K301" t="s">
        <v>261</v>
      </c>
      <c r="L301" t="s">
        <v>366</v>
      </c>
      <c r="M301" t="s">
        <v>13</v>
      </c>
      <c r="N301" t="s">
        <v>367</v>
      </c>
      <c r="O301" t="str">
        <f>IFERROR("IN" &amp; _xlfn.TEXTBEFORE(_xlfn.TEXTAFTER(UPPER(tblShipments4[[#This Row],[Gateway_clean]]),"IN")," ",1),"")</f>
        <v>INNSA1</v>
      </c>
      <c r="P301" t="str">
        <f>SUBSTITUTE(tblShipments4[[#This Row],[Gateway]], CHAR(10), " ")</f>
        <v xml:space="preserve">AWB No. Gateway Port Gateway EGM No. Gateway EGM Date Gateway Site ID Error Code N.A.  INNSA1  N.A.  N.A.  N.A.  N.A. </v>
      </c>
      <c r="Q301" t="s">
        <v>26</v>
      </c>
    </row>
    <row r="302" spans="1:17" x14ac:dyDescent="0.35">
      <c r="A302" t="s">
        <v>8</v>
      </c>
      <c r="B302">
        <v>1614481</v>
      </c>
      <c r="C302" s="2" t="s">
        <v>1547</v>
      </c>
      <c r="D302" s="2" t="str">
        <f>LEFT(TRIM(MID(SUBSTITUTE(tblShipments4[[#This Row],[Details]],CHAR(10)," "), FIND(CHAR(10),tblShipments4[[#This Row],[Details]])+1, 50)), 10)</f>
        <v>0593052561</v>
      </c>
      <c r="E302" t="s">
        <v>1552</v>
      </c>
      <c r="F30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2" t="str">
        <f>IF(tblShipments4[[#This Row],[EGM no]]="", "Missing EGM", "EGM Submitted")</f>
        <v>EGM Submitted</v>
      </c>
      <c r="H302" t="str">
        <f>IF(OR(ISNUMBER(SEARCH("Released",tblShipments4[[#This Row],[ROSL]])),
      ISNUMBER(SEARCH("Scroll",tblShipments4[[#This Row],[ROSL]])),
      ISNUMBER(SEARCH("Y",tblShipments4[[#This Row],[ROSL]]))),
   "Released",
   "Not Released")</f>
        <v>Released</v>
      </c>
      <c r="I302" t="str">
        <f>IF(OR(tblShipments4[[#This Row],[EGM no]]="", tblShipments4[[#This Row],[EGM no]]="N.A."), "Not Submitted", "Submitted")</f>
        <v>Submitted</v>
      </c>
      <c r="J302" t="str">
        <f>IF(LEFT(tblShipments4[[#This Row],[Gateway_Extracted]],2)="IN","Valid","Invalid")</f>
        <v>Valid</v>
      </c>
      <c r="K302" t="s">
        <v>1553</v>
      </c>
      <c r="L302" t="s">
        <v>1554</v>
      </c>
      <c r="M302" t="s">
        <v>31</v>
      </c>
      <c r="N302" t="s">
        <v>1555</v>
      </c>
      <c r="O302" t="str">
        <f>IFERROR("IN" &amp; _xlfn.TEXTBEFORE(_xlfn.TEXTAFTER(UPPER(tblShipments4[[#This Row],[Gateway_clean]]),"IN")," ",1),"")</f>
        <v>INNSA1</v>
      </c>
      <c r="P302" t="str">
        <f>SUBSTITUTE(tblShipments4[[#This Row],[Gateway]], CHAR(10), " ")</f>
        <v xml:space="preserve">AWB No. Gateway Port Gateway EGM No. Gateway EGM Date Gateway Site ID Error Code N.A.  INNSA1  141463  2017-12-27 00:00:00.0  INNSA1  S </v>
      </c>
      <c r="Q302" t="s">
        <v>1556</v>
      </c>
    </row>
    <row r="303" spans="1:17" x14ac:dyDescent="0.35">
      <c r="A303" t="s">
        <v>8</v>
      </c>
      <c r="B303">
        <v>7649257</v>
      </c>
      <c r="C303" s="2" t="s">
        <v>62</v>
      </c>
      <c r="D303" s="2" t="str">
        <f>LEFT(TRIM(MID(SUBSTITUTE(tblShipments4[[#This Row],[Details]],CHAR(10)," "), FIND(CHAR(10),tblShipments4[[#This Row],[Details]])+1, 50)), 10)</f>
        <v>0593058577</v>
      </c>
      <c r="E303" t="s">
        <v>67</v>
      </c>
      <c r="F30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3" t="str">
        <f>IF(tblShipments4[[#This Row],[EGM no]]="", "Missing EGM", "EGM Submitted")</f>
        <v>EGM Submitted</v>
      </c>
      <c r="H303" t="str">
        <f>IF(OR(ISNUMBER(SEARCH("Released",tblShipments4[[#This Row],[ROSL]])),
      ISNUMBER(SEARCH("Scroll",tblShipments4[[#This Row],[ROSL]])),
      ISNUMBER(SEARCH("Y",tblShipments4[[#This Row],[ROSL]]))),
   "Released",
   "Not Released")</f>
        <v>Released</v>
      </c>
      <c r="I303" t="str">
        <f>IF(OR(tblShipments4[[#This Row],[EGM no]]="", tblShipments4[[#This Row],[EGM no]]="N.A."), "Not Submitted", "Submitted")</f>
        <v>Submitted</v>
      </c>
      <c r="J303" t="str">
        <f>IF(LEFT(tblShipments4[[#This Row],[Gateway_Extracted]],2)="IN","Valid","Invalid")</f>
        <v>Valid</v>
      </c>
      <c r="K303" t="s">
        <v>68</v>
      </c>
      <c r="L303" t="s">
        <v>69</v>
      </c>
      <c r="M303" t="s">
        <v>13</v>
      </c>
      <c r="N303" t="s">
        <v>70</v>
      </c>
      <c r="O303" t="str">
        <f>IFERROR("IN" &amp; _xlfn.TEXTBEFORE(_xlfn.TEXTAFTER(UPPER(tblShipments4[[#This Row],[Gateway_clean]]),"IN")," ",1),"")</f>
        <v>INNSA1</v>
      </c>
      <c r="P303" t="str">
        <f>SUBSTITUTE(tblShipments4[[#This Row],[Gateway]], CHAR(10), " ")</f>
        <v xml:space="preserve">AWB No. Gateway Port Gateway EGM No. Gateway EGM Date Gateway Site ID Error Code N.A.  INNSA1  132025  2017-07-24 00:00:00.0  INNSA1  S </v>
      </c>
      <c r="Q303" t="s">
        <v>37</v>
      </c>
    </row>
    <row r="304" spans="1:17" x14ac:dyDescent="0.35">
      <c r="A304" t="s">
        <v>8</v>
      </c>
      <c r="B304">
        <v>9346238</v>
      </c>
      <c r="C304" s="2" t="s">
        <v>1032</v>
      </c>
      <c r="D304" s="2" t="str">
        <f>LEFT(TRIM(MID(SUBSTITUTE(tblShipments4[[#This Row],[Details]],CHAR(10)," "), FIND(CHAR(10),tblShipments4[[#This Row],[Details]])+1, 50)), 10)</f>
        <v>0594000319</v>
      </c>
      <c r="E304" t="s">
        <v>1037</v>
      </c>
      <c r="F30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4" t="str">
        <f>IF(tblShipments4[[#This Row],[EGM no]]="", "Missing EGM", "EGM Submitted")</f>
        <v>EGM Submitted</v>
      </c>
      <c r="H304" t="str">
        <f>IF(OR(ISNUMBER(SEARCH("Released",tblShipments4[[#This Row],[ROSL]])),
      ISNUMBER(SEARCH("Scroll",tblShipments4[[#This Row],[ROSL]])),
      ISNUMBER(SEARCH("Y",tblShipments4[[#This Row],[ROSL]]))),
   "Released",
   "Not Released")</f>
        <v>Released</v>
      </c>
      <c r="I304" t="str">
        <f>IF(OR(tblShipments4[[#This Row],[EGM no]]="", tblShipments4[[#This Row],[EGM no]]="N.A."), "Not Submitted", "Submitted")</f>
        <v>Submitted</v>
      </c>
      <c r="J304" t="str">
        <f>IF(LEFT(tblShipments4[[#This Row],[Gateway_Extracted]],2)="IN","Valid","Invalid")</f>
        <v>Valid</v>
      </c>
      <c r="K304" t="s">
        <v>1038</v>
      </c>
      <c r="L304" t="s">
        <v>1039</v>
      </c>
      <c r="M304" t="s">
        <v>31</v>
      </c>
      <c r="N304" t="s">
        <v>1040</v>
      </c>
      <c r="O304" t="str">
        <f>IFERROR("IN" &amp; _xlfn.TEXTBEFORE(_xlfn.TEXTAFTER(UPPER(tblShipments4[[#This Row],[Gateway_clean]]),"IN")," ",1),"")</f>
        <v>INNSA1</v>
      </c>
      <c r="P304" t="str">
        <f>SUBSTITUTE(tblShipments4[[#This Row],[Gateway]], CHAR(10), " ")</f>
        <v xml:space="preserve">AWB No. Gateway Port Gateway EGM No. Gateway EGM Date Gateway Site ID Error Code N.A.  INNSA1  136639  2017-10-10 00:00:00.0  INNSA1  S </v>
      </c>
      <c r="Q304" t="s">
        <v>1041</v>
      </c>
    </row>
    <row r="305" spans="1:17" x14ac:dyDescent="0.35">
      <c r="A305" t="s">
        <v>8</v>
      </c>
      <c r="B305">
        <v>8325105</v>
      </c>
      <c r="C305" s="2" t="s">
        <v>498</v>
      </c>
      <c r="D305" s="2" t="str">
        <f>LEFT(TRIM(MID(SUBSTITUTE(tblShipments4[[#This Row],[Details]],CHAR(10)," "), FIND(CHAR(10),tblShipments4[[#This Row],[Details]])+1, 50)), 10)</f>
        <v>0595021255</v>
      </c>
      <c r="E305" t="s">
        <v>508</v>
      </c>
      <c r="F30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5" t="str">
        <f>IF(tblShipments4[[#This Row],[EGM no]]="", "Missing EGM", "EGM Submitted")</f>
        <v>EGM Submitted</v>
      </c>
      <c r="H305" t="str">
        <f>IF(OR(ISNUMBER(SEARCH("Released",tblShipments4[[#This Row],[ROSL]])),
      ISNUMBER(SEARCH("Scroll",tblShipments4[[#This Row],[ROSL]])),
      ISNUMBER(SEARCH("Y",tblShipments4[[#This Row],[ROSL]]))),
   "Released",
   "Not Released")</f>
        <v>Released</v>
      </c>
      <c r="I305" t="str">
        <f>IF(OR(tblShipments4[[#This Row],[EGM no]]="", tblShipments4[[#This Row],[EGM no]]="N.A."), "Not Submitted", "Submitted")</f>
        <v>Submitted</v>
      </c>
      <c r="J305" t="str">
        <f>IF(LEFT(tblShipments4[[#This Row],[Gateway_Extracted]],2)="IN","Valid","Invalid")</f>
        <v>Valid</v>
      </c>
      <c r="K305" t="s">
        <v>509</v>
      </c>
      <c r="L305" t="s">
        <v>510</v>
      </c>
      <c r="M305" t="s">
        <v>13</v>
      </c>
      <c r="N305" t="s">
        <v>511</v>
      </c>
      <c r="O305" t="str">
        <f>IFERROR("IN" &amp; _xlfn.TEXTBEFORE(_xlfn.TEXTAFTER(UPPER(tblShipments4[[#This Row],[Gateway_clean]]),"IN")," ",1),"")</f>
        <v>INNSA1</v>
      </c>
      <c r="P305" t="str">
        <f>SUBSTITUTE(tblShipments4[[#This Row],[Gateway]], CHAR(10), " ")</f>
        <v xml:space="preserve">AWB No. Gateway Port Gateway EGM No. Gateway EGM Date Gateway Site ID Error Code N.A.  INNSA1  135507  2017-09-21 00:00:00.0  INNSA1  S </v>
      </c>
      <c r="Q305" t="s">
        <v>512</v>
      </c>
    </row>
    <row r="306" spans="1:17" x14ac:dyDescent="0.35">
      <c r="A306" t="s">
        <v>8</v>
      </c>
      <c r="B306">
        <v>1090894</v>
      </c>
      <c r="C306" s="2" t="s">
        <v>1284</v>
      </c>
      <c r="D306" s="2" t="str">
        <f>LEFT(TRIM(MID(SUBSTITUTE(tblShipments4[[#This Row],[Details]],CHAR(10)," "), FIND(CHAR(10),tblShipments4[[#This Row],[Details]])+1, 50)), 10)</f>
        <v>0595059040</v>
      </c>
      <c r="E306" t="s">
        <v>1285</v>
      </c>
      <c r="F30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6" t="str">
        <f>IF(tblShipments4[[#This Row],[EGM no]]="", "Missing EGM", "EGM Submitted")</f>
        <v>EGM Submitted</v>
      </c>
      <c r="H306" t="str">
        <f>IF(OR(ISNUMBER(SEARCH("Released",tblShipments4[[#This Row],[ROSL]])),
      ISNUMBER(SEARCH("Scroll",tblShipments4[[#This Row],[ROSL]])),
      ISNUMBER(SEARCH("Y",tblShipments4[[#This Row],[ROSL]]))),
   "Released",
   "Not Released")</f>
        <v>Released</v>
      </c>
      <c r="I306" t="str">
        <f>IF(OR(tblShipments4[[#This Row],[EGM no]]="", tblShipments4[[#This Row],[EGM no]]="N.A."), "Not Submitted", "Submitted")</f>
        <v>Submitted</v>
      </c>
      <c r="J306" t="str">
        <f>IF(LEFT(tblShipments4[[#This Row],[Gateway_Extracted]],2)="IN","Valid","Invalid")</f>
        <v>Valid</v>
      </c>
      <c r="K306" t="s">
        <v>1286</v>
      </c>
      <c r="L306" t="s">
        <v>1287</v>
      </c>
      <c r="M306" t="s">
        <v>13</v>
      </c>
      <c r="N306" t="s">
        <v>1288</v>
      </c>
      <c r="O306" t="str">
        <f>IFERROR("IN" &amp; _xlfn.TEXTBEFORE(_xlfn.TEXTAFTER(UPPER(tblShipments4[[#This Row],[Gateway_clean]]),"IN")," ",1),"")</f>
        <v>INNSA1</v>
      </c>
      <c r="P306" t="str">
        <f>SUBSTITUTE(tblShipments4[[#This Row],[Gateway]], CHAR(10), " ")</f>
        <v xml:space="preserve">AWB No. Gateway Port Gateway EGM No. Gateway EGM Date Gateway Site ID Error Code N.A.  INNSA1  N.A.  N.A.  N.A.  N.A. </v>
      </c>
      <c r="Q306" t="s">
        <v>26</v>
      </c>
    </row>
    <row r="307" spans="1:17" x14ac:dyDescent="0.35">
      <c r="A307" t="s">
        <v>8</v>
      </c>
      <c r="B307">
        <v>7764000</v>
      </c>
      <c r="C307" s="2" t="s">
        <v>120</v>
      </c>
      <c r="D307" s="2" t="str">
        <f>LEFT(TRIM(MID(SUBSTITUTE(tblShipments4[[#This Row],[Details]],CHAR(10)," "), FIND(CHAR(10),tblShipments4[[#This Row],[Details]])+1, 50)), 10)</f>
        <v>0596009488</v>
      </c>
      <c r="E307" t="s">
        <v>126</v>
      </c>
      <c r="F30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7" t="str">
        <f>IF(tblShipments4[[#This Row],[EGM no]]="", "Missing EGM", "EGM Submitted")</f>
        <v>EGM Submitted</v>
      </c>
      <c r="H307" t="str">
        <f>IF(OR(ISNUMBER(SEARCH("Released",tblShipments4[[#This Row],[ROSL]])),
      ISNUMBER(SEARCH("Scroll",tblShipments4[[#This Row],[ROSL]])),
      ISNUMBER(SEARCH("Y",tblShipments4[[#This Row],[ROSL]]))),
   "Released",
   "Not Released")</f>
        <v>Released</v>
      </c>
      <c r="I307" t="str">
        <f>IF(OR(tblShipments4[[#This Row],[EGM no]]="", tblShipments4[[#This Row],[EGM no]]="N.A."), "Not Submitted", "Submitted")</f>
        <v>Submitted</v>
      </c>
      <c r="J307" t="str">
        <f>IF(LEFT(tblShipments4[[#This Row],[Gateway_Extracted]],2)="IN","Valid","Invalid")</f>
        <v>Valid</v>
      </c>
      <c r="K307" t="s">
        <v>108</v>
      </c>
      <c r="L307" t="s">
        <v>127</v>
      </c>
      <c r="M307" t="s">
        <v>13</v>
      </c>
      <c r="N307" t="s">
        <v>128</v>
      </c>
      <c r="O307" t="str">
        <f>IFERROR("IN" &amp; _xlfn.TEXTBEFORE(_xlfn.TEXTAFTER(UPPER(tblShipments4[[#This Row],[Gateway_clean]]),"IN")," ",1),"")</f>
        <v>INNSA1</v>
      </c>
      <c r="P307" t="str">
        <f>SUBSTITUTE(tblShipments4[[#This Row],[Gateway]], CHAR(10), " ")</f>
        <v xml:space="preserve">AWB No. Gateway Port Gateway EGM No. Gateway EGM Date Gateway Site ID Error Code N.A.  INNSA1  132737  2017-08-04 00:00:00.0  INNSA1  S </v>
      </c>
      <c r="Q307" t="s">
        <v>129</v>
      </c>
    </row>
    <row r="308" spans="1:17" x14ac:dyDescent="0.35">
      <c r="A308" t="s">
        <v>8</v>
      </c>
      <c r="B308">
        <v>7764312</v>
      </c>
      <c r="C308" s="2" t="s">
        <v>120</v>
      </c>
      <c r="D308" s="2" t="str">
        <f>LEFT(TRIM(MID(SUBSTITUTE(tblShipments4[[#This Row],[Details]],CHAR(10)," "), FIND(CHAR(10),tblShipments4[[#This Row],[Details]])+1, 50)), 10)</f>
        <v>0596009488</v>
      </c>
      <c r="E308" t="s">
        <v>130</v>
      </c>
      <c r="F30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8" t="str">
        <f>IF(tblShipments4[[#This Row],[EGM no]]="", "Missing EGM", "EGM Submitted")</f>
        <v>EGM Submitted</v>
      </c>
      <c r="H308" t="str">
        <f>IF(OR(ISNUMBER(SEARCH("Released",tblShipments4[[#This Row],[ROSL]])),
      ISNUMBER(SEARCH("Scroll",tblShipments4[[#This Row],[ROSL]])),
      ISNUMBER(SEARCH("Y",tblShipments4[[#This Row],[ROSL]]))),
   "Released",
   "Not Released")</f>
        <v>Released</v>
      </c>
      <c r="I308" t="str">
        <f>IF(OR(tblShipments4[[#This Row],[EGM no]]="", tblShipments4[[#This Row],[EGM no]]="N.A."), "Not Submitted", "Submitted")</f>
        <v>Submitted</v>
      </c>
      <c r="J308" t="str">
        <f>IF(LEFT(tblShipments4[[#This Row],[Gateway_Extracted]],2)="IN","Valid","Invalid")</f>
        <v>Valid</v>
      </c>
      <c r="K308" t="s">
        <v>131</v>
      </c>
      <c r="L308" t="s">
        <v>132</v>
      </c>
      <c r="M308" t="s">
        <v>13</v>
      </c>
      <c r="N308" t="s">
        <v>133</v>
      </c>
      <c r="O308" t="str">
        <f>IFERROR("IN" &amp; _xlfn.TEXTBEFORE(_xlfn.TEXTAFTER(UPPER(tblShipments4[[#This Row],[Gateway_clean]]),"IN")," ",1),"")</f>
        <v>INNSA1</v>
      </c>
      <c r="P308" t="str">
        <f>SUBSTITUTE(tblShipments4[[#This Row],[Gateway]], CHAR(10), " ")</f>
        <v xml:space="preserve">AWB No. Gateway Port Gateway EGM No. Gateway EGM Date Gateway Site ID Error Code N.A.  INNSA1  132731  2017-08-04 00:00:00.0  INNSA1  S </v>
      </c>
      <c r="Q308" t="s">
        <v>134</v>
      </c>
    </row>
    <row r="309" spans="1:17" x14ac:dyDescent="0.35">
      <c r="A309" t="s">
        <v>8</v>
      </c>
      <c r="B309">
        <v>7751210</v>
      </c>
      <c r="C309" s="2" t="s">
        <v>106</v>
      </c>
      <c r="D309" s="2" t="str">
        <f>LEFT(TRIM(MID(SUBSTITUTE(tblShipments4[[#This Row],[Details]],CHAR(10)," "), FIND(CHAR(10),tblShipments4[[#This Row],[Details]])+1, 50)), 10)</f>
        <v>0596061315</v>
      </c>
      <c r="E309" t="s">
        <v>117</v>
      </c>
      <c r="F30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09" t="str">
        <f>IF(tblShipments4[[#This Row],[EGM no]]="", "Missing EGM", "EGM Submitted")</f>
        <v>EGM Submitted</v>
      </c>
      <c r="H309" t="str">
        <f>IF(OR(ISNUMBER(SEARCH("Released",tblShipments4[[#This Row],[ROSL]])),
      ISNUMBER(SEARCH("Scroll",tblShipments4[[#This Row],[ROSL]])),
      ISNUMBER(SEARCH("Y",tblShipments4[[#This Row],[ROSL]]))),
   "Released",
   "Not Released")</f>
        <v>Released</v>
      </c>
      <c r="I309" t="str">
        <f>IF(OR(tblShipments4[[#This Row],[EGM no]]="", tblShipments4[[#This Row],[EGM no]]="N.A."), "Not Submitted", "Submitted")</f>
        <v>Submitted</v>
      </c>
      <c r="J309" t="str">
        <f>IF(LEFT(tblShipments4[[#This Row],[Gateway_Extracted]],2)="IN","Valid","Invalid")</f>
        <v>Valid</v>
      </c>
      <c r="K309" t="s">
        <v>83</v>
      </c>
      <c r="L309" t="s">
        <v>118</v>
      </c>
      <c r="M309" t="s">
        <v>13</v>
      </c>
      <c r="N309" t="s">
        <v>119</v>
      </c>
      <c r="O309" t="str">
        <f>IFERROR("IN" &amp; _xlfn.TEXTBEFORE(_xlfn.TEXTAFTER(UPPER(tblShipments4[[#This Row],[Gateway_clean]]),"IN")," ",1),"")</f>
        <v>INNSA1</v>
      </c>
      <c r="P309" t="str">
        <f>SUBSTITUTE(tblShipments4[[#This Row],[Gateway]], CHAR(10), " ")</f>
        <v xml:space="preserve">AWB No. Gateway Port Gateway EGM No. Gateway EGM Date Gateway Site ID Error Code N.A.  INNSA1  N.A.  N.A.  N.A.  N.A. </v>
      </c>
      <c r="Q309" t="s">
        <v>26</v>
      </c>
    </row>
    <row r="310" spans="1:17" x14ac:dyDescent="0.35">
      <c r="A310" t="s">
        <v>8</v>
      </c>
      <c r="B310">
        <v>9603076</v>
      </c>
      <c r="C310" s="2" t="s">
        <v>1112</v>
      </c>
      <c r="D310" s="2" t="str">
        <f>LEFT(TRIM(MID(SUBSTITUTE(tblShipments4[[#This Row],[Details]],CHAR(10)," "), FIND(CHAR(10),tblShipments4[[#This Row],[Details]])+1, 50)), 10)</f>
        <v>0597017891</v>
      </c>
      <c r="E310" t="s">
        <v>1117</v>
      </c>
      <c r="F31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0" t="str">
        <f>IF(tblShipments4[[#This Row],[EGM no]]="", "Missing EGM", "EGM Submitted")</f>
        <v>EGM Submitted</v>
      </c>
      <c r="H310" t="str">
        <f>IF(OR(ISNUMBER(SEARCH("Released",tblShipments4[[#This Row],[ROSL]])),
      ISNUMBER(SEARCH("Scroll",tblShipments4[[#This Row],[ROSL]])),
      ISNUMBER(SEARCH("Y",tblShipments4[[#This Row],[ROSL]]))),
   "Released",
   "Not Released")</f>
        <v>Released</v>
      </c>
      <c r="I310" t="str">
        <f>IF(OR(tblShipments4[[#This Row],[EGM no]]="", tblShipments4[[#This Row],[EGM no]]="N.A."), "Not Submitted", "Submitted")</f>
        <v>Submitted</v>
      </c>
      <c r="J310" t="str">
        <f>IF(LEFT(tblShipments4[[#This Row],[Gateway_Extracted]],2)="IN","Valid","Invalid")</f>
        <v>Valid</v>
      </c>
      <c r="K310" t="s">
        <v>1118</v>
      </c>
      <c r="L310" t="s">
        <v>1119</v>
      </c>
      <c r="M310" t="s">
        <v>13</v>
      </c>
      <c r="N310" t="s">
        <v>1120</v>
      </c>
      <c r="O310" t="str">
        <f>IFERROR("IN" &amp; _xlfn.TEXTBEFORE(_xlfn.TEXTAFTER(UPPER(tblShipments4[[#This Row],[Gateway_clean]]),"IN")," ",1),"")</f>
        <v>INNSA1</v>
      </c>
      <c r="P310" t="str">
        <f>SUBSTITUTE(tblShipments4[[#This Row],[Gateway]], CHAR(10), " ")</f>
        <v xml:space="preserve">AWB No. Gateway Port Gateway EGM No. Gateway EGM Date Gateway Site ID Error Code N.A.  INNSA1  138455  2017-11-09 00:00:00.0  INNSA1  S </v>
      </c>
      <c r="Q310" t="s">
        <v>1121</v>
      </c>
    </row>
    <row r="311" spans="1:17" x14ac:dyDescent="0.35">
      <c r="A311" t="s">
        <v>8</v>
      </c>
      <c r="B311">
        <v>9612572</v>
      </c>
      <c r="C311" s="2" t="s">
        <v>1112</v>
      </c>
      <c r="D311" s="2" t="str">
        <f>LEFT(TRIM(MID(SUBSTITUTE(tblShipments4[[#This Row],[Details]],CHAR(10)," "), FIND(CHAR(10),tblShipments4[[#This Row],[Details]])+1, 50)), 10)</f>
        <v>0597017891</v>
      </c>
      <c r="E311" t="s">
        <v>1122</v>
      </c>
      <c r="F31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1" t="str">
        <f>IF(tblShipments4[[#This Row],[EGM no]]="", "Missing EGM", "EGM Submitted")</f>
        <v>EGM Submitted</v>
      </c>
      <c r="H311" t="str">
        <f>IF(OR(ISNUMBER(SEARCH("Released",tblShipments4[[#This Row],[ROSL]])),
      ISNUMBER(SEARCH("Scroll",tblShipments4[[#This Row],[ROSL]])),
      ISNUMBER(SEARCH("Y",tblShipments4[[#This Row],[ROSL]]))),
   "Released",
   "Not Released")</f>
        <v>Released</v>
      </c>
      <c r="I311" t="str">
        <f>IF(OR(tblShipments4[[#This Row],[EGM no]]="", tblShipments4[[#This Row],[EGM no]]="N.A."), "Not Submitted", "Submitted")</f>
        <v>Submitted</v>
      </c>
      <c r="J311" t="str">
        <f>IF(LEFT(tblShipments4[[#This Row],[Gateway_Extracted]],2)="IN","Valid","Invalid")</f>
        <v>Valid</v>
      </c>
      <c r="K311" t="s">
        <v>1123</v>
      </c>
      <c r="L311" t="s">
        <v>1124</v>
      </c>
      <c r="M311" t="s">
        <v>13</v>
      </c>
      <c r="N311" t="s">
        <v>1125</v>
      </c>
      <c r="O311" t="str">
        <f>IFERROR("IN" &amp; _xlfn.TEXTBEFORE(_xlfn.TEXTAFTER(UPPER(tblShipments4[[#This Row],[Gateway_clean]]),"IN")," ",1),"")</f>
        <v>INNSA1</v>
      </c>
      <c r="P311" t="str">
        <f>SUBSTITUTE(tblShipments4[[#This Row],[Gateway]], CHAR(10), " ")</f>
        <v xml:space="preserve">AWB No. Gateway Port Gateway EGM No. Gateway EGM Date Gateway Site ID Error Code N.A.  INNSA1  138732  2017-11-14 00:00:00.0  INNSA1  S </v>
      </c>
      <c r="Q311" t="s">
        <v>1126</v>
      </c>
    </row>
    <row r="312" spans="1:17" x14ac:dyDescent="0.35">
      <c r="A312" t="s">
        <v>8</v>
      </c>
      <c r="B312">
        <v>9776960</v>
      </c>
      <c r="C312" s="2" t="s">
        <v>1182</v>
      </c>
      <c r="D312" s="2" t="str">
        <f>LEFT(TRIM(MID(SUBSTITUTE(tblShipments4[[#This Row],[Details]],CHAR(10)," "), FIND(CHAR(10),tblShipments4[[#This Row],[Details]])+1, 50)), 10)</f>
        <v>0597017891</v>
      </c>
      <c r="E312" t="s">
        <v>1183</v>
      </c>
      <c r="F31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2" t="str">
        <f>IF(tblShipments4[[#This Row],[EGM no]]="", "Missing EGM", "EGM Submitted")</f>
        <v>EGM Submitted</v>
      </c>
      <c r="H312" t="str">
        <f>IF(OR(ISNUMBER(SEARCH("Released",tblShipments4[[#This Row],[ROSL]])),
      ISNUMBER(SEARCH("Scroll",tblShipments4[[#This Row],[ROSL]])),
      ISNUMBER(SEARCH("Y",tblShipments4[[#This Row],[ROSL]]))),
   "Released",
   "Not Released")</f>
        <v>Released</v>
      </c>
      <c r="I312" t="str">
        <f>IF(OR(tblShipments4[[#This Row],[EGM no]]="", tblShipments4[[#This Row],[EGM no]]="N.A."), "Not Submitted", "Submitted")</f>
        <v>Submitted</v>
      </c>
      <c r="J312" t="str">
        <f>IF(LEFT(tblShipments4[[#This Row],[Gateway_Extracted]],2)="IN","Valid","Invalid")</f>
        <v>Valid</v>
      </c>
      <c r="K312" t="s">
        <v>1184</v>
      </c>
      <c r="L312" t="s">
        <v>1185</v>
      </c>
      <c r="M312" t="s">
        <v>13</v>
      </c>
      <c r="N312" t="s">
        <v>1186</v>
      </c>
      <c r="O312" t="str">
        <f>IFERROR("IN" &amp; _xlfn.TEXTBEFORE(_xlfn.TEXTAFTER(UPPER(tblShipments4[[#This Row],[Gateway_clean]]),"IN")," ",1),"")</f>
        <v>INNSA1</v>
      </c>
      <c r="P312" t="str">
        <f>SUBSTITUTE(tblShipments4[[#This Row],[Gateway]], CHAR(10), " ")</f>
        <v xml:space="preserve">AWB No. Gateway Port Gateway EGM No. Gateway EGM Date Gateway Site ID Error Code N.A.  INNSA1  138710  2017-11-13 00:00:00.0  INNSA1  S </v>
      </c>
      <c r="Q312" t="s">
        <v>1187</v>
      </c>
    </row>
    <row r="313" spans="1:17" x14ac:dyDescent="0.35">
      <c r="A313" t="s">
        <v>8</v>
      </c>
      <c r="B313">
        <v>7958295</v>
      </c>
      <c r="C313" s="2" t="s">
        <v>255</v>
      </c>
      <c r="D313" s="2" t="str">
        <f>LEFT(TRIM(MID(SUBSTITUTE(tblShipments4[[#This Row],[Details]],CHAR(10)," "), FIND(CHAR(10),tblShipments4[[#This Row],[Details]])+1, 50)), 10)</f>
        <v>0598055665</v>
      </c>
      <c r="E313" t="s">
        <v>260</v>
      </c>
      <c r="F31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3" t="str">
        <f>IF(tblShipments4[[#This Row],[EGM no]]="", "Missing EGM", "EGM Submitted")</f>
        <v>EGM Submitted</v>
      </c>
      <c r="H313" t="str">
        <f>IF(OR(ISNUMBER(SEARCH("Released",tblShipments4[[#This Row],[ROSL]])),
      ISNUMBER(SEARCH("Scroll",tblShipments4[[#This Row],[ROSL]])),
      ISNUMBER(SEARCH("Y",tblShipments4[[#This Row],[ROSL]]))),
   "Released",
   "Not Released")</f>
        <v>Released</v>
      </c>
      <c r="I313" t="str">
        <f>IF(OR(tblShipments4[[#This Row],[EGM no]]="", tblShipments4[[#This Row],[EGM no]]="N.A."), "Not Submitted", "Submitted")</f>
        <v>Submitted</v>
      </c>
      <c r="J313" t="str">
        <f>IF(LEFT(tblShipments4[[#This Row],[Gateway_Extracted]],2)="IN","Valid","Invalid")</f>
        <v>Valid</v>
      </c>
      <c r="K313" t="s">
        <v>261</v>
      </c>
      <c r="L313" t="s">
        <v>262</v>
      </c>
      <c r="M313" t="s">
        <v>13</v>
      </c>
      <c r="N313" t="s">
        <v>263</v>
      </c>
      <c r="O313" t="str">
        <f>IFERROR("IN" &amp; _xlfn.TEXTBEFORE(_xlfn.TEXTAFTER(UPPER(tblShipments4[[#This Row],[Gateway_clean]]),"IN")," ",1),"")</f>
        <v>INNSA1</v>
      </c>
      <c r="P313" t="str">
        <f>SUBSTITUTE(tblShipments4[[#This Row],[Gateway]], CHAR(10), " ")</f>
        <v xml:space="preserve">AWB No. Gateway Port Gateway EGM No. Gateway EGM Date Gateway Site ID Error Code N.A.  INNSA1  N.A.  N.A.  N.A.  N.A. </v>
      </c>
      <c r="Q313" t="s">
        <v>26</v>
      </c>
    </row>
    <row r="314" spans="1:17" x14ac:dyDescent="0.35">
      <c r="A314" t="s">
        <v>8</v>
      </c>
      <c r="B314">
        <v>8065602</v>
      </c>
      <c r="C314" s="2" t="s">
        <v>310</v>
      </c>
      <c r="D314" s="2" t="str">
        <f>LEFT(TRIM(MID(SUBSTITUTE(tblShipments4[[#This Row],[Details]],CHAR(10)," "), FIND(CHAR(10),tblShipments4[[#This Row],[Details]])+1, 50)), 10)</f>
        <v>0599007931</v>
      </c>
      <c r="E314" t="s">
        <v>324</v>
      </c>
      <c r="F31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4" t="str">
        <f>IF(tblShipments4[[#This Row],[EGM no]]="", "Missing EGM", "EGM Submitted")</f>
        <v>EGM Submitted</v>
      </c>
      <c r="H314" t="str">
        <f>IF(OR(ISNUMBER(SEARCH("Released",tblShipments4[[#This Row],[ROSL]])),
      ISNUMBER(SEARCH("Scroll",tblShipments4[[#This Row],[ROSL]])),
      ISNUMBER(SEARCH("Y",tblShipments4[[#This Row],[ROSL]]))),
   "Released",
   "Not Released")</f>
        <v>Released</v>
      </c>
      <c r="I314" t="str">
        <f>IF(OR(tblShipments4[[#This Row],[EGM no]]="", tblShipments4[[#This Row],[EGM no]]="N.A."), "Not Submitted", "Submitted")</f>
        <v>Submitted</v>
      </c>
      <c r="J314" t="str">
        <f>IF(LEFT(tblShipments4[[#This Row],[Gateway_Extracted]],2)="IN","Valid","Invalid")</f>
        <v>Valid</v>
      </c>
      <c r="K314" t="s">
        <v>325</v>
      </c>
      <c r="L314" t="s">
        <v>326</v>
      </c>
      <c r="M314" t="s">
        <v>31</v>
      </c>
      <c r="N314" t="s">
        <v>327</v>
      </c>
      <c r="O314" t="str">
        <f>IFERROR("IN" &amp; _xlfn.TEXTBEFORE(_xlfn.TEXTAFTER(UPPER(tblShipments4[[#This Row],[Gateway_clean]]),"IN")," ",1),"")</f>
        <v>INNSA1</v>
      </c>
      <c r="P314" t="str">
        <f>SUBSTITUTE(tblShipments4[[#This Row],[Gateway]], CHAR(10), " ")</f>
        <v xml:space="preserve">AWB No. Gateway Port Gateway EGM No. Gateway EGM Date Gateway Site ID Error Code N.A.  INNSA1  134681  2017-09-07 00:00:00.0  INNSA1  S </v>
      </c>
      <c r="Q314" t="s">
        <v>328</v>
      </c>
    </row>
    <row r="315" spans="1:17" x14ac:dyDescent="0.35">
      <c r="A315" t="s">
        <v>8</v>
      </c>
      <c r="B315">
        <v>7772989</v>
      </c>
      <c r="C315" s="2" t="s">
        <v>120</v>
      </c>
      <c r="D315" s="2" t="str">
        <f>LEFT(TRIM(MID(SUBSTITUTE(tblShipments4[[#This Row],[Details]],CHAR(10)," "), FIND(CHAR(10),tblShipments4[[#This Row],[Details]])+1, 50)), 10)</f>
        <v>0609003542</v>
      </c>
      <c r="E315" t="s">
        <v>135</v>
      </c>
      <c r="F31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5" t="str">
        <f>IF(tblShipments4[[#This Row],[EGM no]]="", "Missing EGM", "EGM Submitted")</f>
        <v>EGM Submitted</v>
      </c>
      <c r="H315" t="str">
        <f>IF(OR(ISNUMBER(SEARCH("Released",tblShipments4[[#This Row],[ROSL]])),
      ISNUMBER(SEARCH("Scroll",tblShipments4[[#This Row],[ROSL]])),
      ISNUMBER(SEARCH("Y",tblShipments4[[#This Row],[ROSL]]))),
   "Released",
   "Not Released")</f>
        <v>Released</v>
      </c>
      <c r="I315" t="str">
        <f>IF(OR(tblShipments4[[#This Row],[EGM no]]="", tblShipments4[[#This Row],[EGM no]]="N.A."), "Not Submitted", "Submitted")</f>
        <v>Submitted</v>
      </c>
      <c r="J315" t="str">
        <f>IF(LEFT(tblShipments4[[#This Row],[Gateway_Extracted]],2)="IN","Valid","Invalid")</f>
        <v>Valid</v>
      </c>
      <c r="K315" t="s">
        <v>136</v>
      </c>
      <c r="L315" t="s">
        <v>137</v>
      </c>
      <c r="M315" t="s">
        <v>13</v>
      </c>
      <c r="N315" t="s">
        <v>138</v>
      </c>
      <c r="O315" t="str">
        <f>IFERROR("IN" &amp; _xlfn.TEXTBEFORE(_xlfn.TEXTAFTER(UPPER(tblShipments4[[#This Row],[Gateway_clean]]),"IN")," ",1),"")</f>
        <v>INNSA1</v>
      </c>
      <c r="P315" t="str">
        <f>SUBSTITUTE(tblShipments4[[#This Row],[Gateway]], CHAR(10), " ")</f>
        <v xml:space="preserve">AWB No. Gateway Port Gateway EGM No. Gateway EGM Date Gateway Site ID Error Code N.A.  INNSA1  133243  2017-08-14 00:00:00.0  INNSA1  C </v>
      </c>
      <c r="Q315" t="s">
        <v>139</v>
      </c>
    </row>
    <row r="316" spans="1:17" x14ac:dyDescent="0.35">
      <c r="A316" t="s">
        <v>8</v>
      </c>
      <c r="B316">
        <v>8452436</v>
      </c>
      <c r="C316" s="2" t="s">
        <v>590</v>
      </c>
      <c r="D316" s="2" t="str">
        <f>LEFT(TRIM(MID(SUBSTITUTE(tblShipments4[[#This Row],[Details]],CHAR(10)," "), FIND(CHAR(10),tblShipments4[[#This Row],[Details]])+1, 50)), 10)</f>
        <v>0616907401</v>
      </c>
      <c r="E316" t="s">
        <v>591</v>
      </c>
      <c r="F31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6" t="str">
        <f>IF(tblShipments4[[#This Row],[EGM no]]="", "Missing EGM", "EGM Submitted")</f>
        <v>EGM Submitted</v>
      </c>
      <c r="H316" t="str">
        <f>IF(OR(ISNUMBER(SEARCH("Released",tblShipments4[[#This Row],[ROSL]])),
      ISNUMBER(SEARCH("Scroll",tblShipments4[[#This Row],[ROSL]])),
      ISNUMBER(SEARCH("Y",tblShipments4[[#This Row],[ROSL]]))),
   "Released",
   "Not Released")</f>
        <v>Released</v>
      </c>
      <c r="I316" t="str">
        <f>IF(OR(tblShipments4[[#This Row],[EGM no]]="", tblShipments4[[#This Row],[EGM no]]="N.A."), "Not Submitted", "Submitted")</f>
        <v>Submitted</v>
      </c>
      <c r="J316" t="str">
        <f>IF(LEFT(tblShipments4[[#This Row],[Gateway_Extracted]],2)="IN","Valid","Invalid")</f>
        <v>Valid</v>
      </c>
      <c r="K316" t="s">
        <v>592</v>
      </c>
      <c r="L316" t="s">
        <v>593</v>
      </c>
      <c r="M316" t="s">
        <v>13</v>
      </c>
      <c r="N316" t="s">
        <v>594</v>
      </c>
      <c r="O316" t="str">
        <f>IFERROR("IN" &amp; _xlfn.TEXTBEFORE(_xlfn.TEXTAFTER(UPPER(tblShipments4[[#This Row],[Gateway_clean]]),"IN")," ",1),"")</f>
        <v>INNSA1</v>
      </c>
      <c r="P316" t="str">
        <f>SUBSTITUTE(tblShipments4[[#This Row],[Gateway]], CHAR(10), " ")</f>
        <v xml:space="preserve">AWB No. Gateway Port Gateway EGM No. Gateway EGM Date Gateway Site ID Error Code N.A.  INNSA1  135068  2017-09-14 00:00:00.0  INNSA1  S </v>
      </c>
      <c r="Q316" t="s">
        <v>595</v>
      </c>
    </row>
    <row r="317" spans="1:17" x14ac:dyDescent="0.35">
      <c r="A317" t="s">
        <v>8</v>
      </c>
      <c r="B317">
        <v>8607674</v>
      </c>
      <c r="C317" s="2" t="s">
        <v>681</v>
      </c>
      <c r="D317" s="2" t="str">
        <f>LEFT(TRIM(MID(SUBSTITUTE(tblShipments4[[#This Row],[Details]],CHAR(10)," "), FIND(CHAR(10),tblShipments4[[#This Row],[Details]])+1, 50)), 10)</f>
        <v>0709012331</v>
      </c>
      <c r="E317" t="s">
        <v>698</v>
      </c>
      <c r="F31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7" t="str">
        <f>IF(tblShipments4[[#This Row],[EGM no]]="", "Missing EGM", "EGM Submitted")</f>
        <v>EGM Submitted</v>
      </c>
      <c r="H317" t="str">
        <f>IF(OR(ISNUMBER(SEARCH("Released",tblShipments4[[#This Row],[ROSL]])),
      ISNUMBER(SEARCH("Scroll",tblShipments4[[#This Row],[ROSL]])),
      ISNUMBER(SEARCH("Y",tblShipments4[[#This Row],[ROSL]]))),
   "Released",
   "Not Released")</f>
        <v>Released</v>
      </c>
      <c r="I317" t="str">
        <f>IF(OR(tblShipments4[[#This Row],[EGM no]]="", tblShipments4[[#This Row],[EGM no]]="N.A."), "Not Submitted", "Submitted")</f>
        <v>Submitted</v>
      </c>
      <c r="J317" t="str">
        <f>IF(LEFT(tblShipments4[[#This Row],[Gateway_Extracted]],2)="IN","Valid","Invalid")</f>
        <v>Valid</v>
      </c>
      <c r="K317" t="s">
        <v>699</v>
      </c>
      <c r="L317" t="s">
        <v>700</v>
      </c>
      <c r="M317" t="s">
        <v>13</v>
      </c>
      <c r="N317" t="s">
        <v>701</v>
      </c>
      <c r="O317" t="str">
        <f>IFERROR("IN" &amp; _xlfn.TEXTBEFORE(_xlfn.TEXTAFTER(UPPER(tblShipments4[[#This Row],[Gateway_clean]]),"IN")," ",1),"")</f>
        <v>INNSA1</v>
      </c>
      <c r="P317" t="str">
        <f>SUBSTITUTE(tblShipments4[[#This Row],[Gateway]], CHAR(10), " ")</f>
        <v xml:space="preserve">AWB No. Gateway Port Gateway EGM No. Gateway EGM Date Gateway Site ID Error Code N.A.  INNSA1  N.A.  N.A.  N.A.  N.A. </v>
      </c>
      <c r="Q317" t="s">
        <v>26</v>
      </c>
    </row>
    <row r="318" spans="1:17" x14ac:dyDescent="0.35">
      <c r="A318" t="s">
        <v>8</v>
      </c>
      <c r="B318">
        <v>8602587</v>
      </c>
      <c r="C318" s="2" t="s">
        <v>681</v>
      </c>
      <c r="D318" s="2" t="str">
        <f>LEFT(TRIM(MID(SUBSTITUTE(tblShipments4[[#This Row],[Details]],CHAR(10)," "), FIND(CHAR(10),tblShipments4[[#This Row],[Details]])+1, 50)), 10)</f>
        <v>1314000233</v>
      </c>
      <c r="E318" t="s">
        <v>684</v>
      </c>
      <c r="F31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8" t="str">
        <f>IF(tblShipments4[[#This Row],[EGM no]]="", "Missing EGM", "EGM Submitted")</f>
        <v>EGM Submitted</v>
      </c>
      <c r="H318" t="str">
        <f>IF(OR(ISNUMBER(SEARCH("Released",tblShipments4[[#This Row],[ROSL]])),
      ISNUMBER(SEARCH("Scroll",tblShipments4[[#This Row],[ROSL]])),
      ISNUMBER(SEARCH("Y",tblShipments4[[#This Row],[ROSL]]))),
   "Released",
   "Not Released")</f>
        <v>Released</v>
      </c>
      <c r="I318" t="str">
        <f>IF(OR(tblShipments4[[#This Row],[EGM no]]="", tblShipments4[[#This Row],[EGM no]]="N.A."), "Not Submitted", "Submitted")</f>
        <v>Submitted</v>
      </c>
      <c r="J318" t="str">
        <f>IF(LEFT(tblShipments4[[#This Row],[Gateway_Extracted]],2)="IN","Valid","Invalid")</f>
        <v>Valid</v>
      </c>
      <c r="K318" t="s">
        <v>685</v>
      </c>
      <c r="L318" t="s">
        <v>686</v>
      </c>
      <c r="M318" t="s">
        <v>13</v>
      </c>
      <c r="N318" t="s">
        <v>687</v>
      </c>
      <c r="O318" t="str">
        <f>IFERROR("IN" &amp; _xlfn.TEXTBEFORE(_xlfn.TEXTAFTER(UPPER(tblShipments4[[#This Row],[Gateway_clean]]),"IN")," ",1),"")</f>
        <v>INNSA1</v>
      </c>
      <c r="P318" t="str">
        <f>SUBSTITUTE(tblShipments4[[#This Row],[Gateway]], CHAR(10), " ")</f>
        <v xml:space="preserve">AWB No. Gateway Port Gateway EGM No. Gateway EGM Date Gateway Site ID Error Code N.A.  INNSA1  134766  2017-09-08 00:00:00.0  INNSA1  S </v>
      </c>
      <c r="Q318" t="s">
        <v>688</v>
      </c>
    </row>
    <row r="319" spans="1:17" x14ac:dyDescent="0.35">
      <c r="A319" t="s">
        <v>8</v>
      </c>
      <c r="B319">
        <v>9312599</v>
      </c>
      <c r="C319" s="2" t="s">
        <v>1018</v>
      </c>
      <c r="D319" s="2" t="str">
        <f>LEFT(TRIM(MID(SUBSTITUTE(tblShipments4[[#This Row],[Details]],CHAR(10)," "), FIND(CHAR(10),tblShipments4[[#This Row],[Details]])+1, 50)), 10)</f>
        <v>2189000734</v>
      </c>
      <c r="E319" t="s">
        <v>1019</v>
      </c>
      <c r="F31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19" t="str">
        <f>IF(tblShipments4[[#This Row],[EGM no]]="", "Missing EGM", "EGM Submitted")</f>
        <v>EGM Submitted</v>
      </c>
      <c r="H319" t="str">
        <f>IF(OR(ISNUMBER(SEARCH("Released",tblShipments4[[#This Row],[ROSL]])),
      ISNUMBER(SEARCH("Scroll",tblShipments4[[#This Row],[ROSL]])),
      ISNUMBER(SEARCH("Y",tblShipments4[[#This Row],[ROSL]]))),
   "Released",
   "Not Released")</f>
        <v>Released</v>
      </c>
      <c r="I319" t="str">
        <f>IF(OR(tblShipments4[[#This Row],[EGM no]]="", tblShipments4[[#This Row],[EGM no]]="N.A."), "Not Submitted", "Submitted")</f>
        <v>Submitted</v>
      </c>
      <c r="J319" t="str">
        <f>IF(LEFT(tblShipments4[[#This Row],[Gateway_Extracted]],2)="IN","Valid","Invalid")</f>
        <v>Valid</v>
      </c>
      <c r="K319" t="s">
        <v>1020</v>
      </c>
      <c r="L319" t="s">
        <v>1021</v>
      </c>
      <c r="M319" t="s">
        <v>31</v>
      </c>
      <c r="N319" t="s">
        <v>1022</v>
      </c>
      <c r="O319" t="str">
        <f>IFERROR("IN" &amp; _xlfn.TEXTBEFORE(_xlfn.TEXTAFTER(UPPER(tblShipments4[[#This Row],[Gateway_clean]]),"IN")," ",1),"")</f>
        <v>INNSA1</v>
      </c>
      <c r="P319" t="str">
        <f>SUBSTITUTE(tblShipments4[[#This Row],[Gateway]], CHAR(10), " ")</f>
        <v xml:space="preserve">AWB No. Gateway Port Gateway EGM No. Gateway EGM Date Gateway Site ID Error Code N.A.  INNSA1  N.A.  N.A.  N.A.  N.A. </v>
      </c>
      <c r="Q319" t="s">
        <v>26</v>
      </c>
    </row>
    <row r="320" spans="1:17" x14ac:dyDescent="0.35">
      <c r="A320" t="s">
        <v>8</v>
      </c>
      <c r="B320">
        <v>8323127</v>
      </c>
      <c r="C320" s="2" t="s">
        <v>498</v>
      </c>
      <c r="D320" s="2" t="str">
        <f>LEFT(TRIM(MID(SUBSTITUTE(tblShipments4[[#This Row],[Details]],CHAR(10)," "), FIND(CHAR(10),tblShipments4[[#This Row],[Details]])+1, 50)), 10)</f>
        <v>2416910671</v>
      </c>
      <c r="E320" t="s">
        <v>503</v>
      </c>
      <c r="F32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0" t="str">
        <f>IF(tblShipments4[[#This Row],[EGM no]]="", "Missing EGM", "EGM Submitted")</f>
        <v>EGM Submitted</v>
      </c>
      <c r="H320" t="str">
        <f>IF(OR(ISNUMBER(SEARCH("Released",tblShipments4[[#This Row],[ROSL]])),
      ISNUMBER(SEARCH("Scroll",tblShipments4[[#This Row],[ROSL]])),
      ISNUMBER(SEARCH("Y",tblShipments4[[#This Row],[ROSL]]))),
   "Released",
   "Not Released")</f>
        <v>Released</v>
      </c>
      <c r="I320" t="str">
        <f>IF(OR(tblShipments4[[#This Row],[EGM no]]="", tblShipments4[[#This Row],[EGM no]]="N.A."), "Not Submitted", "Submitted")</f>
        <v>Submitted</v>
      </c>
      <c r="J320" t="str">
        <f>IF(LEFT(tblShipments4[[#This Row],[Gateway_Extracted]],2)="IN","Valid","Invalid")</f>
        <v>Valid</v>
      </c>
      <c r="K320" t="s">
        <v>504</v>
      </c>
      <c r="L320" t="s">
        <v>505</v>
      </c>
      <c r="M320" t="s">
        <v>31</v>
      </c>
      <c r="N320" t="s">
        <v>506</v>
      </c>
      <c r="O320" t="str">
        <f>IFERROR("IN" &amp; _xlfn.TEXTBEFORE(_xlfn.TEXTAFTER(UPPER(tblShipments4[[#This Row],[Gateway_clean]]),"IN")," ",1),"")</f>
        <v>INNSA1</v>
      </c>
      <c r="P320" t="str">
        <f>SUBSTITUTE(tblShipments4[[#This Row],[Gateway]], CHAR(10), " ")</f>
        <v xml:space="preserve">AWB No. Gateway Port Gateway EGM No. Gateway EGM Date Gateway Site ID Error Code N.A.  INNSA1  133327  2017-08-16 00:00:00.0  INNSA1  S </v>
      </c>
      <c r="Q320" t="s">
        <v>507</v>
      </c>
    </row>
    <row r="321" spans="1:17" x14ac:dyDescent="0.35">
      <c r="A321" t="s">
        <v>8</v>
      </c>
      <c r="B321">
        <v>9009228</v>
      </c>
      <c r="C321" s="2" t="s">
        <v>900</v>
      </c>
      <c r="D321" s="2" t="str">
        <f>LEFT(TRIM(MID(SUBSTITUTE(tblShipments4[[#This Row],[Details]],CHAR(10)," "), FIND(CHAR(10),tblShipments4[[#This Row],[Details]])+1, 50)), 10)</f>
        <v>2915001367</v>
      </c>
      <c r="E321" t="s">
        <v>913</v>
      </c>
      <c r="F32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1" t="str">
        <f>IF(tblShipments4[[#This Row],[EGM no]]="", "Missing EGM", "EGM Submitted")</f>
        <v>EGM Submitted</v>
      </c>
      <c r="H321" t="str">
        <f>IF(OR(ISNUMBER(SEARCH("Released",tblShipments4[[#This Row],[ROSL]])),
      ISNUMBER(SEARCH("Scroll",tblShipments4[[#This Row],[ROSL]])),
      ISNUMBER(SEARCH("Y",tblShipments4[[#This Row],[ROSL]]))),
   "Released",
   "Not Released")</f>
        <v>Released</v>
      </c>
      <c r="I321" t="str">
        <f>IF(OR(tblShipments4[[#This Row],[EGM no]]="", tblShipments4[[#This Row],[EGM no]]="N.A."), "Not Submitted", "Submitted")</f>
        <v>Submitted</v>
      </c>
      <c r="J321" t="str">
        <f>IF(LEFT(tblShipments4[[#This Row],[Gateway_Extracted]],2)="IN","Valid","Invalid")</f>
        <v>Valid</v>
      </c>
      <c r="K321" t="s">
        <v>749</v>
      </c>
      <c r="L321" t="s">
        <v>914</v>
      </c>
      <c r="M321" t="s">
        <v>31</v>
      </c>
      <c r="N321" t="s">
        <v>915</v>
      </c>
      <c r="O321" t="str">
        <f>IFERROR("IN" &amp; _xlfn.TEXTBEFORE(_xlfn.TEXTAFTER(UPPER(tblShipments4[[#This Row],[Gateway_clean]]),"IN")," ",1),"")</f>
        <v>INNSA1</v>
      </c>
      <c r="P321" t="str">
        <f>SUBSTITUTE(tblShipments4[[#This Row],[Gateway]], CHAR(10), " ")</f>
        <v xml:space="preserve">AWB No. Gateway Port Gateway EGM No. Gateway EGM Date Gateway Site ID Error Code N.A.  INNSA1  135119  2017-09-14 00:00:00.0  INNSA1  S </v>
      </c>
      <c r="Q321" t="s">
        <v>916</v>
      </c>
    </row>
    <row r="322" spans="1:17" x14ac:dyDescent="0.35">
      <c r="A322" t="s">
        <v>8</v>
      </c>
      <c r="B322">
        <v>1341857</v>
      </c>
      <c r="C322" s="2" t="s">
        <v>1415</v>
      </c>
      <c r="D322" s="2" t="str">
        <f>LEFT(TRIM(MID(SUBSTITUTE(tblShipments4[[#This Row],[Details]],CHAR(10)," "), FIND(CHAR(10),tblShipments4[[#This Row],[Details]])+1, 50)), 10)</f>
        <v>3000004394</v>
      </c>
      <c r="E322" t="s">
        <v>1416</v>
      </c>
      <c r="F32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2" t="str">
        <f>IF(tblShipments4[[#This Row],[EGM no]]="", "Missing EGM", "EGM Submitted")</f>
        <v>EGM Submitted</v>
      </c>
      <c r="H322" t="str">
        <f>IF(OR(ISNUMBER(SEARCH("Released",tblShipments4[[#This Row],[ROSL]])),
      ISNUMBER(SEARCH("Scroll",tblShipments4[[#This Row],[ROSL]])),
      ISNUMBER(SEARCH("Y",tblShipments4[[#This Row],[ROSL]]))),
   "Released",
   "Not Released")</f>
        <v>Released</v>
      </c>
      <c r="I322" t="str">
        <f>IF(OR(tblShipments4[[#This Row],[EGM no]]="", tblShipments4[[#This Row],[EGM no]]="N.A."), "Not Submitted", "Submitted")</f>
        <v>Submitted</v>
      </c>
      <c r="J322" t="str">
        <f>IF(LEFT(tblShipments4[[#This Row],[Gateway_Extracted]],2)="IN","Valid","Invalid")</f>
        <v>Valid</v>
      </c>
      <c r="K322" t="s">
        <v>1417</v>
      </c>
      <c r="L322" t="s">
        <v>1418</v>
      </c>
      <c r="M322" t="s">
        <v>1419</v>
      </c>
      <c r="N322" t="s">
        <v>1420</v>
      </c>
      <c r="O322" t="str">
        <f>IFERROR("IN" &amp; _xlfn.TEXTBEFORE(_xlfn.TEXTAFTER(UPPER(tblShipments4[[#This Row],[Gateway_clean]]),"IN")," ",1),"")</f>
        <v>INNSA1</v>
      </c>
      <c r="P322" t="str">
        <f>SUBSTITUTE(tblShipments4[[#This Row],[Gateway]], CHAR(10), " ")</f>
        <v xml:space="preserve">AWB No. Gateway Port Gateway EGM No. Gateway EGM Date Gateway Site ID Error Code N.A.  INNSA1  138232  2017-11-06 00:00:00.0  INNSA1  N </v>
      </c>
      <c r="Q322" t="s">
        <v>1421</v>
      </c>
    </row>
    <row r="323" spans="1:17" x14ac:dyDescent="0.35">
      <c r="A323" t="s">
        <v>8</v>
      </c>
      <c r="B323">
        <v>1580068</v>
      </c>
      <c r="C323" s="2" t="s">
        <v>1528</v>
      </c>
      <c r="D323" s="2" t="str">
        <f>LEFT(TRIM(MID(SUBSTITUTE(tblShipments4[[#This Row],[Details]],CHAR(10)," "), FIND(CHAR(10),tblShipments4[[#This Row],[Details]])+1, 50)), 10)</f>
        <v>3011014116</v>
      </c>
      <c r="E323" t="s">
        <v>1542</v>
      </c>
      <c r="F32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3" t="str">
        <f>IF(tblShipments4[[#This Row],[EGM no]]="", "Missing EGM", "EGM Submitted")</f>
        <v>EGM Submitted</v>
      </c>
      <c r="H323" t="str">
        <f>IF(OR(ISNUMBER(SEARCH("Released",tblShipments4[[#This Row],[ROSL]])),
      ISNUMBER(SEARCH("Scroll",tblShipments4[[#This Row],[ROSL]])),
      ISNUMBER(SEARCH("Y",tblShipments4[[#This Row],[ROSL]]))),
   "Released",
   "Not Released")</f>
        <v>Released</v>
      </c>
      <c r="I323" t="str">
        <f>IF(OR(tblShipments4[[#This Row],[EGM no]]="", tblShipments4[[#This Row],[EGM no]]="N.A."), "Not Submitted", "Submitted")</f>
        <v>Submitted</v>
      </c>
      <c r="J323" t="str">
        <f>IF(LEFT(tblShipments4[[#This Row],[Gateway_Extracted]],2)="IN","Valid","Invalid")</f>
        <v>Valid</v>
      </c>
      <c r="K323" t="s">
        <v>1543</v>
      </c>
      <c r="L323" t="s">
        <v>1544</v>
      </c>
      <c r="M323" t="s">
        <v>13</v>
      </c>
      <c r="N323" t="s">
        <v>1545</v>
      </c>
      <c r="O323" t="str">
        <f>IFERROR("IN" &amp; _xlfn.TEXTBEFORE(_xlfn.TEXTAFTER(UPPER(tblShipments4[[#This Row],[Gateway_clean]]),"IN")," ",1),"")</f>
        <v>INNSA1</v>
      </c>
      <c r="P323" t="str">
        <f>SUBSTITUTE(tblShipments4[[#This Row],[Gateway]], CHAR(10), " ")</f>
        <v xml:space="preserve">AWB No. Gateway Port Gateway EGM No. Gateway EGM Date Gateway Site ID Error Code N.A.  INNSA1  140402  2017-12-11 00:00:00.0  INNSA1  S </v>
      </c>
      <c r="Q323" t="s">
        <v>1546</v>
      </c>
    </row>
    <row r="324" spans="1:17" x14ac:dyDescent="0.35">
      <c r="A324" t="s">
        <v>8</v>
      </c>
      <c r="B324">
        <v>9683009</v>
      </c>
      <c r="C324" s="2" t="s">
        <v>1139</v>
      </c>
      <c r="D324" s="2" t="str">
        <f>LEFT(TRIM(MID(SUBSTITUTE(tblShipments4[[#This Row],[Details]],CHAR(10)," "), FIND(CHAR(10),tblShipments4[[#This Row],[Details]])+1, 50)), 10)</f>
        <v>3014016713</v>
      </c>
      <c r="E324" t="s">
        <v>1144</v>
      </c>
      <c r="F32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4" t="str">
        <f>IF(tblShipments4[[#This Row],[EGM no]]="", "Missing EGM", "EGM Submitted")</f>
        <v>EGM Submitted</v>
      </c>
      <c r="H324" t="str">
        <f>IF(OR(ISNUMBER(SEARCH("Released",tblShipments4[[#This Row],[ROSL]])),
      ISNUMBER(SEARCH("Scroll",tblShipments4[[#This Row],[ROSL]])),
      ISNUMBER(SEARCH("Y",tblShipments4[[#This Row],[ROSL]]))),
   "Released",
   "Not Released")</f>
        <v>Released</v>
      </c>
      <c r="I324" t="str">
        <f>IF(OR(tblShipments4[[#This Row],[EGM no]]="", tblShipments4[[#This Row],[EGM no]]="N.A."), "Not Submitted", "Submitted")</f>
        <v>Submitted</v>
      </c>
      <c r="J324" t="str">
        <f>IF(LEFT(tblShipments4[[#This Row],[Gateway_Extracted]],2)="IN","Valid","Invalid")</f>
        <v>Valid</v>
      </c>
      <c r="K324" t="s">
        <v>1123</v>
      </c>
      <c r="L324" t="s">
        <v>1145</v>
      </c>
      <c r="M324" t="s">
        <v>13</v>
      </c>
      <c r="N324" t="s">
        <v>1146</v>
      </c>
      <c r="O324" t="str">
        <f>IFERROR("IN" &amp; _xlfn.TEXTBEFORE(_xlfn.TEXTAFTER(UPPER(tblShipments4[[#This Row],[Gateway_clean]]),"IN")," ",1),"")</f>
        <v>INNSA1</v>
      </c>
      <c r="P324" t="str">
        <f>SUBSTITUTE(tblShipments4[[#This Row],[Gateway]], CHAR(10), " ")</f>
        <v xml:space="preserve">AWB No. Gateway Port Gateway EGM No. Gateway EGM Date Gateway Site ID Error Code N.A.  INNSA1  138138  2017-11-03 00:00:00.0  INNSA1  S </v>
      </c>
      <c r="Q324" t="s">
        <v>1091</v>
      </c>
    </row>
    <row r="325" spans="1:17" x14ac:dyDescent="0.35">
      <c r="A325" t="s">
        <v>8</v>
      </c>
      <c r="B325">
        <v>8170873</v>
      </c>
      <c r="C325" s="2" t="s">
        <v>380</v>
      </c>
      <c r="D325" s="2" t="str">
        <f>LEFT(TRIM(MID(SUBSTITUTE(tblShipments4[[#This Row],[Details]],CHAR(10)," "), FIND(CHAR(10),tblShipments4[[#This Row],[Details]])+1, 50)), 10)</f>
        <v>3104003254</v>
      </c>
      <c r="E325" t="s">
        <v>393</v>
      </c>
      <c r="F32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5" t="str">
        <f>IF(tblShipments4[[#This Row],[EGM no]]="", "Missing EGM", "EGM Submitted")</f>
        <v>EGM Submitted</v>
      </c>
      <c r="H325" t="str">
        <f>IF(OR(ISNUMBER(SEARCH("Released",tblShipments4[[#This Row],[ROSL]])),
      ISNUMBER(SEARCH("Scroll",tblShipments4[[#This Row],[ROSL]])),
      ISNUMBER(SEARCH("Y",tblShipments4[[#This Row],[ROSL]]))),
   "Released",
   "Not Released")</f>
        <v>Released</v>
      </c>
      <c r="I325" t="str">
        <f>IF(OR(tblShipments4[[#This Row],[EGM no]]="", tblShipments4[[#This Row],[EGM no]]="N.A."), "Not Submitted", "Submitted")</f>
        <v>Submitted</v>
      </c>
      <c r="J325" t="str">
        <f>IF(LEFT(tblShipments4[[#This Row],[Gateway_Extracted]],2)="IN","Valid","Invalid")</f>
        <v>Valid</v>
      </c>
      <c r="K325" t="s">
        <v>394</v>
      </c>
      <c r="L325" t="s">
        <v>395</v>
      </c>
      <c r="M325" t="s">
        <v>13</v>
      </c>
      <c r="N325" t="s">
        <v>396</v>
      </c>
      <c r="O325" t="str">
        <f>IFERROR("IN" &amp; _xlfn.TEXTBEFORE(_xlfn.TEXTAFTER(UPPER(tblShipments4[[#This Row],[Gateway_clean]]),"IN")," ",1),"")</f>
        <v>INNSA1</v>
      </c>
      <c r="P325" t="str">
        <f>SUBSTITUTE(tblShipments4[[#This Row],[Gateway]], CHAR(10), " ")</f>
        <v xml:space="preserve">AWB No. Gateway Port Gateway EGM No. Gateway EGM Date Gateway Site ID Error Code N.A.  INNSA1  134462  2017-09-04 00:00:00.0  INNSA1  S </v>
      </c>
      <c r="Q325" t="s">
        <v>372</v>
      </c>
    </row>
    <row r="326" spans="1:17" x14ac:dyDescent="0.35">
      <c r="A326" t="s">
        <v>8</v>
      </c>
      <c r="B326">
        <v>8967109</v>
      </c>
      <c r="C326" s="2" t="s">
        <v>874</v>
      </c>
      <c r="D326" s="2" t="str">
        <f>LEFT(TRIM(MID(SUBSTITUTE(tblShipments4[[#This Row],[Details]],CHAR(10)," "), FIND(CHAR(10),tblShipments4[[#This Row],[Details]])+1, 50)), 10)</f>
        <v>3104003254</v>
      </c>
      <c r="E326" t="s">
        <v>893</v>
      </c>
      <c r="F32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6" t="str">
        <f>IF(tblShipments4[[#This Row],[EGM no]]="", "Missing EGM", "EGM Submitted")</f>
        <v>EGM Submitted</v>
      </c>
      <c r="H326" t="str">
        <f>IF(OR(ISNUMBER(SEARCH("Released",tblShipments4[[#This Row],[ROSL]])),
      ISNUMBER(SEARCH("Scroll",tblShipments4[[#This Row],[ROSL]])),
      ISNUMBER(SEARCH("Y",tblShipments4[[#This Row],[ROSL]]))),
   "Released",
   "Not Released")</f>
        <v>Released</v>
      </c>
      <c r="I326" t="str">
        <f>IF(OR(tblShipments4[[#This Row],[EGM no]]="", tblShipments4[[#This Row],[EGM no]]="N.A."), "Not Submitted", "Submitted")</f>
        <v>Submitted</v>
      </c>
      <c r="J326" t="str">
        <f>IF(LEFT(tblShipments4[[#This Row],[Gateway_Extracted]],2)="IN","Valid","Invalid")</f>
        <v>Valid</v>
      </c>
      <c r="K326" t="s">
        <v>894</v>
      </c>
      <c r="L326" t="s">
        <v>883</v>
      </c>
      <c r="M326" t="s">
        <v>13</v>
      </c>
      <c r="N326" t="s">
        <v>895</v>
      </c>
      <c r="O326" t="str">
        <f>IFERROR("IN" &amp; _xlfn.TEXTBEFORE(_xlfn.TEXTAFTER(UPPER(tblShipments4[[#This Row],[Gateway_clean]]),"IN")," ",1),"")</f>
        <v>INNSA1</v>
      </c>
      <c r="P326" t="str">
        <f>SUBSTITUTE(tblShipments4[[#This Row],[Gateway]], CHAR(10), " ")</f>
        <v xml:space="preserve">AWB No. Gateway Port Gateway EGM No. Gateway EGM Date Gateway Site ID Error Code N.A.  INNSA1  136898  2017-10-13 00:00:00.0  INNSA1  S </v>
      </c>
      <c r="Q326" t="s">
        <v>885</v>
      </c>
    </row>
    <row r="327" spans="1:17" x14ac:dyDescent="0.35">
      <c r="A327" t="s">
        <v>8</v>
      </c>
      <c r="B327">
        <v>8961708</v>
      </c>
      <c r="C327" s="2" t="s">
        <v>874</v>
      </c>
      <c r="D327" s="2" t="str">
        <f>LEFT(TRIM(MID(SUBSTITUTE(tblShipments4[[#This Row],[Details]],CHAR(10)," "), FIND(CHAR(10),tblShipments4[[#This Row],[Details]])+1, 50)), 10)</f>
        <v>3104003254</v>
      </c>
      <c r="E327" t="s">
        <v>881</v>
      </c>
      <c r="F32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7" t="str">
        <f>IF(tblShipments4[[#This Row],[EGM no]]="", "Missing EGM", "EGM Submitted")</f>
        <v>EGM Submitted</v>
      </c>
      <c r="H327" t="str">
        <f>IF(OR(ISNUMBER(SEARCH("Released",tblShipments4[[#This Row],[ROSL]])),
      ISNUMBER(SEARCH("Scroll",tblShipments4[[#This Row],[ROSL]])),
      ISNUMBER(SEARCH("Y",tblShipments4[[#This Row],[ROSL]]))),
   "Released",
   "Not Released")</f>
        <v>Released</v>
      </c>
      <c r="I327" t="str">
        <f>IF(OR(tblShipments4[[#This Row],[EGM no]]="", tblShipments4[[#This Row],[EGM no]]="N.A."), "Not Submitted", "Submitted")</f>
        <v>Submitted</v>
      </c>
      <c r="J327" t="str">
        <f>IF(LEFT(tblShipments4[[#This Row],[Gateway_Extracted]],2)="IN","Valid","Invalid")</f>
        <v>Valid</v>
      </c>
      <c r="K327" t="s">
        <v>882</v>
      </c>
      <c r="L327" t="s">
        <v>883</v>
      </c>
      <c r="M327" t="s">
        <v>13</v>
      </c>
      <c r="N327" t="s">
        <v>884</v>
      </c>
      <c r="O327" t="str">
        <f>IFERROR("IN" &amp; _xlfn.TEXTBEFORE(_xlfn.TEXTAFTER(UPPER(tblShipments4[[#This Row],[Gateway_clean]]),"IN")," ",1),"")</f>
        <v>INNSA1</v>
      </c>
      <c r="P327" t="str">
        <f>SUBSTITUTE(tblShipments4[[#This Row],[Gateway]], CHAR(10), " ")</f>
        <v xml:space="preserve">AWB No. Gateway Port Gateway EGM No. Gateway EGM Date Gateway Site ID Error Code N.A.  INNSA1  136898  2017-10-13 00:00:00.0  INNSA1  S </v>
      </c>
      <c r="Q327" t="s">
        <v>885</v>
      </c>
    </row>
    <row r="328" spans="1:17" x14ac:dyDescent="0.35">
      <c r="A328" t="s">
        <v>8</v>
      </c>
      <c r="B328">
        <v>8966600</v>
      </c>
      <c r="C328" s="2" t="s">
        <v>874</v>
      </c>
      <c r="D328" s="2" t="str">
        <f>LEFT(TRIM(MID(SUBSTITUTE(tblShipments4[[#This Row],[Details]],CHAR(10)," "), FIND(CHAR(10),tblShipments4[[#This Row],[Details]])+1, 50)), 10)</f>
        <v>3104003254</v>
      </c>
      <c r="E328" t="s">
        <v>890</v>
      </c>
      <c r="F32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8" t="str">
        <f>IF(tblShipments4[[#This Row],[EGM no]]="", "Missing EGM", "EGM Submitted")</f>
        <v>EGM Submitted</v>
      </c>
      <c r="H328" t="str">
        <f>IF(OR(ISNUMBER(SEARCH("Released",tblShipments4[[#This Row],[ROSL]])),
      ISNUMBER(SEARCH("Scroll",tblShipments4[[#This Row],[ROSL]])),
      ISNUMBER(SEARCH("Y",tblShipments4[[#This Row],[ROSL]]))),
   "Released",
   "Not Released")</f>
        <v>Released</v>
      </c>
      <c r="I328" t="str">
        <f>IF(OR(tblShipments4[[#This Row],[EGM no]]="", tblShipments4[[#This Row],[EGM no]]="N.A."), "Not Submitted", "Submitted")</f>
        <v>Submitted</v>
      </c>
      <c r="J328" t="str">
        <f>IF(LEFT(tblShipments4[[#This Row],[Gateway_Extracted]],2)="IN","Valid","Invalid")</f>
        <v>Valid</v>
      </c>
      <c r="K328" t="s">
        <v>891</v>
      </c>
      <c r="L328" t="s">
        <v>883</v>
      </c>
      <c r="M328" t="s">
        <v>13</v>
      </c>
      <c r="N328" t="s">
        <v>892</v>
      </c>
      <c r="O328" t="str">
        <f>IFERROR("IN" &amp; _xlfn.TEXTBEFORE(_xlfn.TEXTAFTER(UPPER(tblShipments4[[#This Row],[Gateway_clean]]),"IN")," ",1),"")</f>
        <v>INNSA1</v>
      </c>
      <c r="P328" t="str">
        <f>SUBSTITUTE(tblShipments4[[#This Row],[Gateway]], CHAR(10), " ")</f>
        <v xml:space="preserve">AWB No. Gateway Port Gateway EGM No. Gateway EGM Date Gateway Site ID Error Code N.A.  INNSA1  136898  2017-10-13 00:00:00.0  INNSA1  S </v>
      </c>
      <c r="Q328" t="s">
        <v>885</v>
      </c>
    </row>
    <row r="329" spans="1:17" x14ac:dyDescent="0.35">
      <c r="A329" t="s">
        <v>8</v>
      </c>
      <c r="B329">
        <v>9580505</v>
      </c>
      <c r="C329" s="2" t="s">
        <v>1092</v>
      </c>
      <c r="D329" s="2" t="str">
        <f>LEFT(TRIM(MID(SUBSTITUTE(tblShipments4[[#This Row],[Details]],CHAR(10)," "), FIND(CHAR(10),tblShipments4[[#This Row],[Details]])+1, 50)), 10)</f>
        <v>3104003254</v>
      </c>
      <c r="E329" t="s">
        <v>1107</v>
      </c>
      <c r="F32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29" t="str">
        <f>IF(tblShipments4[[#This Row],[EGM no]]="", "Missing EGM", "EGM Submitted")</f>
        <v>EGM Submitted</v>
      </c>
      <c r="H329" t="str">
        <f>IF(OR(ISNUMBER(SEARCH("Released",tblShipments4[[#This Row],[ROSL]])),
      ISNUMBER(SEARCH("Scroll",tblShipments4[[#This Row],[ROSL]])),
      ISNUMBER(SEARCH("Y",tblShipments4[[#This Row],[ROSL]]))),
   "Released",
   "Not Released")</f>
        <v>Released</v>
      </c>
      <c r="I329" t="str">
        <f>IF(OR(tblShipments4[[#This Row],[EGM no]]="", tblShipments4[[#This Row],[EGM no]]="N.A."), "Not Submitted", "Submitted")</f>
        <v>Submitted</v>
      </c>
      <c r="J329" t="str">
        <f>IF(LEFT(tblShipments4[[#This Row],[Gateway_Extracted]],2)="IN","Valid","Invalid")</f>
        <v>Valid</v>
      </c>
      <c r="K329" t="s">
        <v>1108</v>
      </c>
      <c r="L329" t="s">
        <v>1109</v>
      </c>
      <c r="M329" t="s">
        <v>13</v>
      </c>
      <c r="N329" t="s">
        <v>1110</v>
      </c>
      <c r="O329" t="str">
        <f>IFERROR("IN" &amp; _xlfn.TEXTBEFORE(_xlfn.TEXTAFTER(UPPER(tblShipments4[[#This Row],[Gateway_clean]]),"IN")," ",1),"")</f>
        <v>INNSA1</v>
      </c>
      <c r="P329" t="str">
        <f>SUBSTITUTE(tblShipments4[[#This Row],[Gateway]], CHAR(10), " ")</f>
        <v xml:space="preserve">AWB No. Gateway Port Gateway EGM No. Gateway EGM Date Gateway Site ID Error Code N.A.  INNSA1  137366  2017-10-23 00:00:00.0  INNSA1  S </v>
      </c>
      <c r="Q329" t="s">
        <v>1111</v>
      </c>
    </row>
    <row r="330" spans="1:17" x14ac:dyDescent="0.35">
      <c r="A330" t="s">
        <v>8</v>
      </c>
      <c r="B330">
        <v>1071710</v>
      </c>
      <c r="C330" s="2" t="s">
        <v>1251</v>
      </c>
      <c r="D330" s="2" t="str">
        <f>LEFT(TRIM(MID(SUBSTITUTE(tblShipments4[[#This Row],[Details]],CHAR(10)," "), FIND(CHAR(10),tblShipments4[[#This Row],[Details]])+1, 50)), 10)</f>
        <v>3307004344</v>
      </c>
      <c r="E330" t="s">
        <v>1271</v>
      </c>
      <c r="F33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0" t="str">
        <f>IF(tblShipments4[[#This Row],[EGM no]]="", "Missing EGM", "EGM Submitted")</f>
        <v>EGM Submitted</v>
      </c>
      <c r="H330" t="str">
        <f>IF(OR(ISNUMBER(SEARCH("Released",tblShipments4[[#This Row],[ROSL]])),
      ISNUMBER(SEARCH("Scroll",tblShipments4[[#This Row],[ROSL]])),
      ISNUMBER(SEARCH("Y",tblShipments4[[#This Row],[ROSL]]))),
   "Released",
   "Not Released")</f>
        <v>Released</v>
      </c>
      <c r="I330" t="str">
        <f>IF(OR(tblShipments4[[#This Row],[EGM no]]="", tblShipments4[[#This Row],[EGM no]]="N.A."), "Not Submitted", "Submitted")</f>
        <v>Submitted</v>
      </c>
      <c r="J330" t="str">
        <f>IF(LEFT(tblShipments4[[#This Row],[Gateway_Extracted]],2)="IN","Valid","Invalid")</f>
        <v>Valid</v>
      </c>
      <c r="K330" t="s">
        <v>1241</v>
      </c>
      <c r="L330" t="s">
        <v>1272</v>
      </c>
      <c r="M330" t="s">
        <v>13</v>
      </c>
      <c r="N330" t="s">
        <v>1273</v>
      </c>
      <c r="O330" t="str">
        <f>IFERROR("IN" &amp; _xlfn.TEXTBEFORE(_xlfn.TEXTAFTER(UPPER(tblShipments4[[#This Row],[Gateway_clean]]),"IN")," ",1),"")</f>
        <v>INNSA1</v>
      </c>
      <c r="P330" t="str">
        <f>SUBSTITUTE(tblShipments4[[#This Row],[Gateway]], CHAR(10), " ")</f>
        <v xml:space="preserve">AWB No. Gateway Port Gateway EGM No. Gateway EGM Date Gateway Site ID Error Code N.A.  INNSA1  138478  2017-11-09 00:00:00.0  INNSA1  S </v>
      </c>
      <c r="Q330" t="s">
        <v>1274</v>
      </c>
    </row>
    <row r="331" spans="1:17" x14ac:dyDescent="0.35">
      <c r="A331" t="s">
        <v>8</v>
      </c>
      <c r="B331">
        <v>8493626</v>
      </c>
      <c r="C331" s="2" t="s">
        <v>615</v>
      </c>
      <c r="D331" s="2" t="str">
        <f>LEFT(TRIM(MID(SUBSTITUTE(tblShipments4[[#This Row],[Details]],CHAR(10)," "), FIND(CHAR(10),tblShipments4[[#This Row],[Details]])+1, 50)), 10)</f>
        <v>3311006062</v>
      </c>
      <c r="E331" t="s">
        <v>629</v>
      </c>
      <c r="F33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1" t="str">
        <f>IF(tblShipments4[[#This Row],[EGM no]]="", "Missing EGM", "EGM Submitted")</f>
        <v>EGM Submitted</v>
      </c>
      <c r="H331" t="str">
        <f>IF(OR(ISNUMBER(SEARCH("Released",tblShipments4[[#This Row],[ROSL]])),
      ISNUMBER(SEARCH("Scroll",tblShipments4[[#This Row],[ROSL]])),
      ISNUMBER(SEARCH("Y",tblShipments4[[#This Row],[ROSL]]))),
   "Released",
   "Not Released")</f>
        <v>Released</v>
      </c>
      <c r="I331" t="str">
        <f>IF(OR(tblShipments4[[#This Row],[EGM no]]="", tblShipments4[[#This Row],[EGM no]]="N.A."), "Not Submitted", "Submitted")</f>
        <v>Submitted</v>
      </c>
      <c r="J331" t="str">
        <f>IF(LEFT(tblShipments4[[#This Row],[Gateway_Extracted]],2)="IN","Valid","Invalid")</f>
        <v>Valid</v>
      </c>
      <c r="K331" t="s">
        <v>612</v>
      </c>
      <c r="L331" t="s">
        <v>630</v>
      </c>
      <c r="M331" t="s">
        <v>31</v>
      </c>
      <c r="N331" t="s">
        <v>631</v>
      </c>
      <c r="O331" t="str">
        <f>IFERROR("IN" &amp; _xlfn.TEXTBEFORE(_xlfn.TEXTAFTER(UPPER(tblShipments4[[#This Row],[Gateway_clean]]),"IN")," ",1),"")</f>
        <v>INNSA1</v>
      </c>
      <c r="P331" t="str">
        <f>SUBSTITUTE(tblShipments4[[#This Row],[Gateway]], CHAR(10), " ")</f>
        <v xml:space="preserve">AWB No. Gateway Port Gateway EGM No. Gateway EGM Date Gateway Site ID Error Code N.A.  INNSA1  135239  2017-09-18 00:00:00.0  INNSA1  S </v>
      </c>
      <c r="Q331" t="s">
        <v>632</v>
      </c>
    </row>
    <row r="332" spans="1:17" x14ac:dyDescent="0.35">
      <c r="A332" t="s">
        <v>8</v>
      </c>
      <c r="B332">
        <v>8876935</v>
      </c>
      <c r="C332" s="2" t="s">
        <v>826</v>
      </c>
      <c r="D332" s="2" t="str">
        <f>LEFT(TRIM(MID(SUBSTITUTE(tblShipments4[[#This Row],[Details]],CHAR(10)," "), FIND(CHAR(10),tblShipments4[[#This Row],[Details]])+1, 50)), 10)</f>
        <v>3397001846</v>
      </c>
      <c r="E332" t="s">
        <v>832</v>
      </c>
      <c r="F33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2" t="str">
        <f>IF(tblShipments4[[#This Row],[EGM no]]="", "Missing EGM", "EGM Submitted")</f>
        <v>EGM Submitted</v>
      </c>
      <c r="H332" t="str">
        <f>IF(OR(ISNUMBER(SEARCH("Released",tblShipments4[[#This Row],[ROSL]])),
      ISNUMBER(SEARCH("Scroll",tblShipments4[[#This Row],[ROSL]])),
      ISNUMBER(SEARCH("Y",tblShipments4[[#This Row],[ROSL]]))),
   "Released",
   "Not Released")</f>
        <v>Released</v>
      </c>
      <c r="I332" t="str">
        <f>IF(OR(tblShipments4[[#This Row],[EGM no]]="", tblShipments4[[#This Row],[EGM no]]="N.A."), "Not Submitted", "Submitted")</f>
        <v>Submitted</v>
      </c>
      <c r="J332" t="str">
        <f>IF(LEFT(tblShipments4[[#This Row],[Gateway_Extracted]],2)="IN","Valid","Invalid")</f>
        <v>Valid</v>
      </c>
      <c r="K332" t="s">
        <v>828</v>
      </c>
      <c r="L332" t="s">
        <v>833</v>
      </c>
      <c r="M332" t="s">
        <v>13</v>
      </c>
      <c r="N332" t="s">
        <v>834</v>
      </c>
      <c r="O332" t="str">
        <f>IFERROR("IN" &amp; _xlfn.TEXTBEFORE(_xlfn.TEXTAFTER(UPPER(tblShipments4[[#This Row],[Gateway_clean]]),"IN")," ",1),"")</f>
        <v>INNSA1</v>
      </c>
      <c r="P332" t="str">
        <f>SUBSTITUTE(tblShipments4[[#This Row],[Gateway]], CHAR(10), " ")</f>
        <v xml:space="preserve">AWB No. Gateway Port Gateway EGM No. Gateway EGM Date Gateway Site ID Error Code N.A.  INNSA1  134677  2017-09-07 00:00:00.0  INNSA1  S </v>
      </c>
      <c r="Q332" t="s">
        <v>831</v>
      </c>
    </row>
    <row r="333" spans="1:17" x14ac:dyDescent="0.35">
      <c r="A333" t="s">
        <v>8</v>
      </c>
      <c r="B333">
        <v>8876829</v>
      </c>
      <c r="C333" s="2" t="s">
        <v>826</v>
      </c>
      <c r="D333" s="2" t="str">
        <f>LEFT(TRIM(MID(SUBSTITUTE(tblShipments4[[#This Row],[Details]],CHAR(10)," "), FIND(CHAR(10),tblShipments4[[#This Row],[Details]])+1, 50)), 10)</f>
        <v>3397001846</v>
      </c>
      <c r="E333" t="s">
        <v>827</v>
      </c>
      <c r="F33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3" t="str">
        <f>IF(tblShipments4[[#This Row],[EGM no]]="", "Missing EGM", "EGM Submitted")</f>
        <v>EGM Submitted</v>
      </c>
      <c r="H333" t="str">
        <f>IF(OR(ISNUMBER(SEARCH("Released",tblShipments4[[#This Row],[ROSL]])),
      ISNUMBER(SEARCH("Scroll",tblShipments4[[#This Row],[ROSL]])),
      ISNUMBER(SEARCH("Y",tblShipments4[[#This Row],[ROSL]]))),
   "Released",
   "Not Released")</f>
        <v>Released</v>
      </c>
      <c r="I333" t="str">
        <f>IF(OR(tblShipments4[[#This Row],[EGM no]]="", tblShipments4[[#This Row],[EGM no]]="N.A."), "Not Submitted", "Submitted")</f>
        <v>Submitted</v>
      </c>
      <c r="J333" t="str">
        <f>IF(LEFT(tblShipments4[[#This Row],[Gateway_Extracted]],2)="IN","Valid","Invalid")</f>
        <v>Valid</v>
      </c>
      <c r="K333" t="s">
        <v>828</v>
      </c>
      <c r="L333" t="s">
        <v>829</v>
      </c>
      <c r="M333" t="s">
        <v>13</v>
      </c>
      <c r="N333" t="s">
        <v>830</v>
      </c>
      <c r="O333" t="str">
        <f>IFERROR("IN" &amp; _xlfn.TEXTBEFORE(_xlfn.TEXTAFTER(UPPER(tblShipments4[[#This Row],[Gateway_clean]]),"IN")," ",1),"")</f>
        <v>INNSA1</v>
      </c>
      <c r="P333" t="str">
        <f>SUBSTITUTE(tblShipments4[[#This Row],[Gateway]], CHAR(10), " ")</f>
        <v xml:space="preserve">AWB No. Gateway Port Gateway EGM No. Gateway EGM Date Gateway Site ID Error Code N.A.  INNSA1  134677  2017-09-07 00:00:00.0  INNSA1  S </v>
      </c>
      <c r="Q333" t="s">
        <v>831</v>
      </c>
    </row>
    <row r="334" spans="1:17" x14ac:dyDescent="0.35">
      <c r="A334" t="s">
        <v>8</v>
      </c>
      <c r="B334">
        <v>8216051</v>
      </c>
      <c r="C334" s="2" t="s">
        <v>409</v>
      </c>
      <c r="D334" s="2" t="str">
        <f>LEFT(TRIM(MID(SUBSTITUTE(tblShipments4[[#This Row],[Details]],CHAR(10)," "), FIND(CHAR(10),tblShipments4[[#This Row],[Details]])+1, 50)), 10)</f>
        <v>AAKFN5762C</v>
      </c>
      <c r="E334" t="s">
        <v>417</v>
      </c>
      <c r="F33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4" t="str">
        <f>IF(tblShipments4[[#This Row],[EGM no]]="", "Missing EGM", "EGM Submitted")</f>
        <v>EGM Submitted</v>
      </c>
      <c r="H334" t="str">
        <f>IF(OR(ISNUMBER(SEARCH("Released",tblShipments4[[#This Row],[ROSL]])),
      ISNUMBER(SEARCH("Scroll",tblShipments4[[#This Row],[ROSL]])),
      ISNUMBER(SEARCH("Y",tblShipments4[[#This Row],[ROSL]]))),
   "Released",
   "Not Released")</f>
        <v>Released</v>
      </c>
      <c r="I334" t="str">
        <f>IF(OR(tblShipments4[[#This Row],[EGM no]]="", tblShipments4[[#This Row],[EGM no]]="N.A."), "Not Submitted", "Submitted")</f>
        <v>Submitted</v>
      </c>
      <c r="J334" t="str">
        <f>IF(LEFT(tblShipments4[[#This Row],[Gateway_Extracted]],2)="IN","Valid","Invalid")</f>
        <v>Valid</v>
      </c>
      <c r="K334" t="s">
        <v>418</v>
      </c>
      <c r="L334" t="s">
        <v>419</v>
      </c>
      <c r="M334" t="s">
        <v>13</v>
      </c>
      <c r="N334" t="s">
        <v>420</v>
      </c>
      <c r="O334" t="str">
        <f>IFERROR("IN" &amp; _xlfn.TEXTBEFORE(_xlfn.TEXTAFTER(UPPER(tblShipments4[[#This Row],[Gateway_clean]]),"IN")," ",1),"")</f>
        <v>INNSA1</v>
      </c>
      <c r="P334" t="str">
        <f>SUBSTITUTE(tblShipments4[[#This Row],[Gateway]], CHAR(10), " ")</f>
        <v xml:space="preserve">AWB No. Gateway Port Gateway EGM No. Gateway EGM Date Gateway Site ID Error Code N.A.  INNSA1  134167  2017-08-29 00:00:00.0  INNSA1  S </v>
      </c>
      <c r="Q334" t="s">
        <v>421</v>
      </c>
    </row>
    <row r="335" spans="1:17" x14ac:dyDescent="0.35">
      <c r="A335" t="s">
        <v>8</v>
      </c>
      <c r="B335">
        <v>1865148</v>
      </c>
      <c r="C335" s="2" t="s">
        <v>1687</v>
      </c>
      <c r="D335" s="2" t="str">
        <f>LEFT(TRIM(MID(SUBSTITUTE(tblShipments4[[#This Row],[Details]],CHAR(10)," "), FIND(CHAR(10),tblShipments4[[#This Row],[Details]])+1, 50)), 10)</f>
        <v xml:space="preserve">No Record </v>
      </c>
      <c r="E335" t="s">
        <v>1602</v>
      </c>
      <c r="F33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5" t="str">
        <f>IF(tblShipments4[[#This Row],[EGM no]]="", "Missing EGM", "EGM Submitted")</f>
        <v>EGM Submitted</v>
      </c>
      <c r="H335" t="str">
        <f>IF(OR(ISNUMBER(SEARCH("Released",tblShipments4[[#This Row],[ROSL]])),
      ISNUMBER(SEARCH("Scroll",tblShipments4[[#This Row],[ROSL]])),
      ISNUMBER(SEARCH("Y",tblShipments4[[#This Row],[ROSL]]))),
   "Released",
   "Not Released")</f>
        <v>Released</v>
      </c>
      <c r="I335" t="str">
        <f>IF(OR(tblShipments4[[#This Row],[EGM no]]="", tblShipments4[[#This Row],[EGM no]]="N.A."), "Not Submitted", "Submitted")</f>
        <v>Submitted</v>
      </c>
      <c r="J335" t="str">
        <f>IF(LEFT(tblShipments4[[#This Row],[Gateway_Extracted]],2)="IN","Valid","Invalid")</f>
        <v>Valid</v>
      </c>
      <c r="K335" t="s">
        <v>1679</v>
      </c>
      <c r="L335" t="s">
        <v>1688</v>
      </c>
      <c r="M335" t="s">
        <v>31</v>
      </c>
      <c r="N335" t="s">
        <v>1689</v>
      </c>
      <c r="O335" t="str">
        <f>IFERROR("IN" &amp; _xlfn.TEXTBEFORE(_xlfn.TEXTAFTER(UPPER(tblShipments4[[#This Row],[Gateway_clean]]),"IN")," ",1),"")</f>
        <v>INNSA1</v>
      </c>
      <c r="P335" t="str">
        <f>SUBSTITUTE(tblShipments4[[#This Row],[Gateway]], CHAR(10), " ")</f>
        <v xml:space="preserve">AWB No. Gateway Port Gateway EGM No. Gateway EGM Date Gateway Site ID Error Code N.A.  INNSA1  142173  2018-01-08 00:00:00.0  INNSA1  S </v>
      </c>
      <c r="Q335" t="s">
        <v>1690</v>
      </c>
    </row>
    <row r="336" spans="1:17" x14ac:dyDescent="0.35">
      <c r="A336" t="s">
        <v>8</v>
      </c>
      <c r="B336">
        <v>1868552</v>
      </c>
      <c r="C336" s="2" t="s">
        <v>1687</v>
      </c>
      <c r="D336" s="2" t="str">
        <f>LEFT(TRIM(MID(SUBSTITUTE(tblShipments4[[#This Row],[Details]],CHAR(10)," "), FIND(CHAR(10),tblShipments4[[#This Row],[Details]])+1, 50)), 10)</f>
        <v xml:space="preserve">No Record </v>
      </c>
      <c r="E336" t="s">
        <v>1602</v>
      </c>
      <c r="F33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6" t="str">
        <f>IF(tblShipments4[[#This Row],[EGM no]]="", "Missing EGM", "EGM Submitted")</f>
        <v>EGM Submitted</v>
      </c>
      <c r="H336" t="str">
        <f>IF(OR(ISNUMBER(SEARCH("Released",tblShipments4[[#This Row],[ROSL]])),
      ISNUMBER(SEARCH("Scroll",tblShipments4[[#This Row],[ROSL]])),
      ISNUMBER(SEARCH("Y",tblShipments4[[#This Row],[ROSL]]))),
   "Released",
   "Not Released")</f>
        <v>Released</v>
      </c>
      <c r="I336" t="str">
        <f>IF(OR(tblShipments4[[#This Row],[EGM no]]="", tblShipments4[[#This Row],[EGM no]]="N.A."), "Not Submitted", "Submitted")</f>
        <v>Submitted</v>
      </c>
      <c r="J336" t="str">
        <f>IF(LEFT(tblShipments4[[#This Row],[Gateway_Extracted]],2)="IN","Valid","Invalid")</f>
        <v>Valid</v>
      </c>
      <c r="K336" t="s">
        <v>1679</v>
      </c>
      <c r="L336" t="s">
        <v>1701</v>
      </c>
      <c r="M336" t="s">
        <v>31</v>
      </c>
      <c r="N336" t="s">
        <v>1702</v>
      </c>
      <c r="O336" t="str">
        <f>IFERROR("IN" &amp; _xlfn.TEXTBEFORE(_xlfn.TEXTAFTER(UPPER(tblShipments4[[#This Row],[Gateway_clean]]),"IN")," ",1),"")</f>
        <v>INNSA1</v>
      </c>
      <c r="P336" t="str">
        <f>SUBSTITUTE(tblShipments4[[#This Row],[Gateway]], CHAR(10), " ")</f>
        <v xml:space="preserve">AWB No. Gateway Port Gateway EGM No. Gateway EGM Date Gateway Site ID Error Code N.A.  INNSA1  141170  2017-12-22 00:00:00.0  INNSA1  S </v>
      </c>
      <c r="Q336" t="s">
        <v>1703</v>
      </c>
    </row>
    <row r="337" spans="1:17" x14ac:dyDescent="0.35">
      <c r="A337" t="s">
        <v>8</v>
      </c>
      <c r="B337">
        <v>1381867</v>
      </c>
      <c r="C337" s="2" t="s">
        <v>1436</v>
      </c>
      <c r="D337" s="2" t="str">
        <f>LEFT(TRIM(MID(SUBSTITUTE(tblShipments4[[#This Row],[Details]],CHAR(10)," "), FIND(CHAR(10),tblShipments4[[#This Row],[Details]])+1, 50)), 10)</f>
        <v>0500050139</v>
      </c>
      <c r="E337" t="s">
        <v>1447</v>
      </c>
      <c r="F33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7" t="str">
        <f>IF(tblShipments4[[#This Row],[EGM no]]="", "Missing EGM", "EGM Submitted")</f>
        <v>EGM Submitted</v>
      </c>
      <c r="H337" t="str">
        <f>IF(OR(ISNUMBER(SEARCH("Released",tblShipments4[[#This Row],[ROSL]])),
      ISNUMBER(SEARCH("Scroll",tblShipments4[[#This Row],[ROSL]])),
      ISNUMBER(SEARCH("Y",tblShipments4[[#This Row],[ROSL]]))),
   "Released",
   "Not Released")</f>
        <v>Released</v>
      </c>
      <c r="I337" t="str">
        <f>IF(OR(tblShipments4[[#This Row],[EGM no]]="", tblShipments4[[#This Row],[EGM no]]="N.A."), "Not Submitted", "Submitted")</f>
        <v>Submitted</v>
      </c>
      <c r="J337" t="str">
        <f>IF(LEFT(tblShipments4[[#This Row],[Gateway_Extracted]],2)="IN","Valid","Invalid")</f>
        <v>Valid</v>
      </c>
      <c r="K337" t="s">
        <v>1389</v>
      </c>
      <c r="L337" t="s">
        <v>1448</v>
      </c>
      <c r="M337" t="s">
        <v>31</v>
      </c>
      <c r="N337" t="s">
        <v>1449</v>
      </c>
      <c r="O337" t="str">
        <f>IFERROR("IN" &amp; _xlfn.TEXTBEFORE(_xlfn.TEXTAFTER(UPPER(tblShipments4[[#This Row],[Gateway_clean]]),"IN")," ",1),"")</f>
        <v>INPAV1</v>
      </c>
      <c r="P337" t="str">
        <f>SUBSTITUTE(tblShipments4[[#This Row],[Gateway]], CHAR(10), " ")</f>
        <v xml:space="preserve">AWB No. Gateway Port Gateway EGM No. Gateway EGM Date Gateway Site ID Error Code N.A.  INPAV1  139963  2017-12-04 00:00:00.0  INPAV1  S </v>
      </c>
      <c r="Q337" t="s">
        <v>1377</v>
      </c>
    </row>
    <row r="338" spans="1:17" x14ac:dyDescent="0.35">
      <c r="A338" t="s">
        <v>8</v>
      </c>
      <c r="B338">
        <v>1471253</v>
      </c>
      <c r="C338" s="2" t="s">
        <v>1459</v>
      </c>
      <c r="D338" s="2" t="str">
        <f>LEFT(TRIM(MID(SUBSTITUTE(tblShipments4[[#This Row],[Details]],CHAR(10)," "), FIND(CHAR(10),tblShipments4[[#This Row],[Details]])+1, 50)), 10)</f>
        <v>0500050139</v>
      </c>
      <c r="E338" t="s">
        <v>1475</v>
      </c>
      <c r="F33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8" t="str">
        <f>IF(tblShipments4[[#This Row],[EGM no]]="", "Missing EGM", "EGM Submitted")</f>
        <v>EGM Submitted</v>
      </c>
      <c r="H338" t="str">
        <f>IF(OR(ISNUMBER(SEARCH("Released",tblShipments4[[#This Row],[ROSL]])),
      ISNUMBER(SEARCH("Scroll",tblShipments4[[#This Row],[ROSL]])),
      ISNUMBER(SEARCH("Y",tblShipments4[[#This Row],[ROSL]]))),
   "Released",
   "Not Released")</f>
        <v>Released</v>
      </c>
      <c r="I338" t="str">
        <f>IF(OR(tblShipments4[[#This Row],[EGM no]]="", tblShipments4[[#This Row],[EGM no]]="N.A."), "Not Submitted", "Submitted")</f>
        <v>Submitted</v>
      </c>
      <c r="J338" t="str">
        <f>IF(LEFT(tblShipments4[[#This Row],[Gateway_Extracted]],2)="IN","Valid","Invalid")</f>
        <v>Valid</v>
      </c>
      <c r="K338" t="s">
        <v>1476</v>
      </c>
      <c r="L338" t="s">
        <v>1477</v>
      </c>
      <c r="M338" t="s">
        <v>31</v>
      </c>
      <c r="N338" t="s">
        <v>1478</v>
      </c>
      <c r="O338" t="str">
        <f>IFERROR("IN" &amp; _xlfn.TEXTBEFORE(_xlfn.TEXTAFTER(UPPER(tblShipments4[[#This Row],[Gateway_clean]]),"IN")," ",1),"")</f>
        <v>INPAV1</v>
      </c>
      <c r="P338" t="str">
        <f>SUBSTITUTE(tblShipments4[[#This Row],[Gateway]], CHAR(10), " ")</f>
        <v xml:space="preserve">AWB No. Gateway Port Gateway EGM No. Gateway EGM Date Gateway Site ID Error Code N.A.  INPAV1  139966  2017-12-04 00:00:00.0  INPAV1  S </v>
      </c>
      <c r="Q338" t="s">
        <v>1479</v>
      </c>
    </row>
    <row r="339" spans="1:17" x14ac:dyDescent="0.35">
      <c r="A339" t="s">
        <v>8</v>
      </c>
      <c r="B339">
        <v>7971432</v>
      </c>
      <c r="C339" s="2" t="s">
        <v>255</v>
      </c>
      <c r="D339" s="2" t="str">
        <f>LEFT(TRIM(MID(SUBSTITUTE(tblShipments4[[#This Row],[Details]],CHAR(10)," "), FIND(CHAR(10),tblShipments4[[#This Row],[Details]])+1, 50)), 10)</f>
        <v>0503083518</v>
      </c>
      <c r="E339" t="s">
        <v>280</v>
      </c>
      <c r="F33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39" t="str">
        <f>IF(tblShipments4[[#This Row],[EGM no]]="", "Missing EGM", "EGM Submitted")</f>
        <v>EGM Submitted</v>
      </c>
      <c r="H339" t="str">
        <f>IF(OR(ISNUMBER(SEARCH("Released",tblShipments4[[#This Row],[ROSL]])),
      ISNUMBER(SEARCH("Scroll",tblShipments4[[#This Row],[ROSL]])),
      ISNUMBER(SEARCH("Y",tblShipments4[[#This Row],[ROSL]]))),
   "Released",
   "Not Released")</f>
        <v>Released</v>
      </c>
      <c r="I339" t="str">
        <f>IF(OR(tblShipments4[[#This Row],[EGM no]]="", tblShipments4[[#This Row],[EGM no]]="N.A."), "Not Submitted", "Submitted")</f>
        <v>Submitted</v>
      </c>
      <c r="J339" t="str">
        <f>IF(LEFT(tblShipments4[[#This Row],[Gateway_Extracted]],2)="IN","Valid","Invalid")</f>
        <v>Valid</v>
      </c>
      <c r="K339" t="s">
        <v>241</v>
      </c>
      <c r="L339" t="s">
        <v>281</v>
      </c>
      <c r="M339" t="s">
        <v>13</v>
      </c>
      <c r="N339" t="s">
        <v>282</v>
      </c>
      <c r="O339" t="str">
        <f>IFERROR("IN" &amp; _xlfn.TEXTBEFORE(_xlfn.TEXTAFTER(UPPER(tblShipments4[[#This Row],[Gateway_clean]]),"IN")," ",1),"")</f>
        <v>INPAV1</v>
      </c>
      <c r="P339" t="str">
        <f>SUBSTITUTE(tblShipments4[[#This Row],[Gateway]], CHAR(10), " ")</f>
        <v xml:space="preserve">AWB No. Gateway Port Gateway EGM No. Gateway EGM Date Gateway Site ID Error Code N.A.  INPAV1  133387  2017-08-16 00:00:00.0  INPAV1  S </v>
      </c>
      <c r="Q339" t="s">
        <v>283</v>
      </c>
    </row>
    <row r="340" spans="1:17" x14ac:dyDescent="0.35">
      <c r="A340" t="s">
        <v>8</v>
      </c>
      <c r="B340">
        <v>8140525</v>
      </c>
      <c r="C340" s="2" t="s">
        <v>356</v>
      </c>
      <c r="D340" s="2" t="str">
        <f>LEFT(TRIM(MID(SUBSTITUTE(tblShipments4[[#This Row],[Details]],CHAR(10)," "), FIND(CHAR(10),tblShipments4[[#This Row],[Details]])+1, 50)), 10)</f>
        <v>0504064754</v>
      </c>
      <c r="E340" t="s">
        <v>361</v>
      </c>
      <c r="F34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0" t="str">
        <f>IF(tblShipments4[[#This Row],[EGM no]]="", "Missing EGM", "EGM Submitted")</f>
        <v>EGM Submitted</v>
      </c>
      <c r="H340" t="str">
        <f>IF(OR(ISNUMBER(SEARCH("Released",tblShipments4[[#This Row],[ROSL]])),
      ISNUMBER(SEARCH("Scroll",tblShipments4[[#This Row],[ROSL]])),
      ISNUMBER(SEARCH("Y",tblShipments4[[#This Row],[ROSL]]))),
   "Released",
   "Not Released")</f>
        <v>Released</v>
      </c>
      <c r="I340" t="str">
        <f>IF(OR(tblShipments4[[#This Row],[EGM no]]="", tblShipments4[[#This Row],[EGM no]]="N.A."), "Not Submitted", "Submitted")</f>
        <v>Submitted</v>
      </c>
      <c r="J340" t="str">
        <f>IF(LEFT(tblShipments4[[#This Row],[Gateway_Extracted]],2)="IN","Valid","Invalid")</f>
        <v>Valid</v>
      </c>
      <c r="K340" t="s">
        <v>261</v>
      </c>
      <c r="L340" t="s">
        <v>362</v>
      </c>
      <c r="M340" t="s">
        <v>13</v>
      </c>
      <c r="N340" t="s">
        <v>363</v>
      </c>
      <c r="O340" t="str">
        <f>IFERROR("IN" &amp; _xlfn.TEXTBEFORE(_xlfn.TEXTAFTER(UPPER(tblShipments4[[#This Row],[Gateway_clean]]),"IN")," ",1),"")</f>
        <v>INPAV1</v>
      </c>
      <c r="P340" t="str">
        <f>SUBSTITUTE(tblShipments4[[#This Row],[Gateway]], CHAR(10), " ")</f>
        <v xml:space="preserve">AWB No. Gateway Port Gateway EGM No. Gateway EGM Date Gateway Site ID Error Code N.A.  INPAV1  131777  2017-07-19 00:00:00.0  INPAV1  L </v>
      </c>
      <c r="Q340" t="s">
        <v>364</v>
      </c>
    </row>
    <row r="341" spans="1:17" x14ac:dyDescent="0.35">
      <c r="A341" t="s">
        <v>8</v>
      </c>
      <c r="B341">
        <v>1386534</v>
      </c>
      <c r="C341" s="2" t="s">
        <v>1450</v>
      </c>
      <c r="D341" s="2" t="str">
        <f>LEFT(TRIM(MID(SUBSTITUTE(tblShipments4[[#This Row],[Details]],CHAR(10)," "), FIND(CHAR(10),tblShipments4[[#This Row],[Details]])+1, 50)), 10)</f>
        <v>0504077171</v>
      </c>
      <c r="E341" t="s">
        <v>1451</v>
      </c>
      <c r="F34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1" t="str">
        <f>IF(tblShipments4[[#This Row],[EGM no]]="", "Missing EGM", "EGM Submitted")</f>
        <v>EGM Submitted</v>
      </c>
      <c r="H341" t="str">
        <f>IF(OR(ISNUMBER(SEARCH("Released",tblShipments4[[#This Row],[ROSL]])),
      ISNUMBER(SEARCH("Scroll",tblShipments4[[#This Row],[ROSL]])),
      ISNUMBER(SEARCH("Y",tblShipments4[[#This Row],[ROSL]]))),
   "Released",
   "Not Released")</f>
        <v>Released</v>
      </c>
      <c r="I341" t="str">
        <f>IF(OR(tblShipments4[[#This Row],[EGM no]]="", tblShipments4[[#This Row],[EGM no]]="N.A."), "Not Submitted", "Submitted")</f>
        <v>Submitted</v>
      </c>
      <c r="J341" t="str">
        <f>IF(LEFT(tblShipments4[[#This Row],[Gateway_Extracted]],2)="IN","Valid","Invalid")</f>
        <v>Valid</v>
      </c>
      <c r="K341" t="s">
        <v>1438</v>
      </c>
      <c r="L341" t="s">
        <v>1452</v>
      </c>
      <c r="M341" t="s">
        <v>31</v>
      </c>
      <c r="N341" t="s">
        <v>1453</v>
      </c>
      <c r="O341" t="str">
        <f>IFERROR("IN" &amp; _xlfn.TEXTBEFORE(_xlfn.TEXTAFTER(UPPER(tblShipments4[[#This Row],[Gateway_clean]]),"IN")," ",1),"")</f>
        <v>INPAV1</v>
      </c>
      <c r="P341" t="str">
        <f>SUBSTITUTE(tblShipments4[[#This Row],[Gateway]], CHAR(10), " ")</f>
        <v xml:space="preserve">AWB No. Gateway Port Gateway EGM No. Gateway EGM Date Gateway Site ID Error Code N.A.  INPAV1  140083  2017-12-05 00:00:00.0  INPAV1  S </v>
      </c>
      <c r="Q341" t="s">
        <v>1454</v>
      </c>
    </row>
    <row r="342" spans="1:17" x14ac:dyDescent="0.35">
      <c r="A342" t="s">
        <v>8</v>
      </c>
      <c r="B342">
        <v>1411047</v>
      </c>
      <c r="C342" s="2" t="s">
        <v>1450</v>
      </c>
      <c r="D342" s="2" t="str">
        <f>LEFT(TRIM(MID(SUBSTITUTE(tblShipments4[[#This Row],[Details]],CHAR(10)," "), FIND(CHAR(10),tblShipments4[[#This Row],[Details]])+1, 50)), 10)</f>
        <v>0504077171</v>
      </c>
      <c r="E342" t="s">
        <v>1455</v>
      </c>
      <c r="F34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2" t="str">
        <f>IF(tblShipments4[[#This Row],[EGM no]]="", "Missing EGM", "EGM Submitted")</f>
        <v>EGM Submitted</v>
      </c>
      <c r="H342" t="str">
        <f>IF(OR(ISNUMBER(SEARCH("Released",tblShipments4[[#This Row],[ROSL]])),
      ISNUMBER(SEARCH("Scroll",tblShipments4[[#This Row],[ROSL]])),
      ISNUMBER(SEARCH("Y",tblShipments4[[#This Row],[ROSL]]))),
   "Released",
   "Not Released")</f>
        <v>Released</v>
      </c>
      <c r="I342" t="str">
        <f>IF(OR(tblShipments4[[#This Row],[EGM no]]="", tblShipments4[[#This Row],[EGM no]]="N.A."), "Not Submitted", "Submitted")</f>
        <v>Submitted</v>
      </c>
      <c r="J342" t="str">
        <f>IF(LEFT(tblShipments4[[#This Row],[Gateway_Extracted]],2)="IN","Valid","Invalid")</f>
        <v>Valid</v>
      </c>
      <c r="K342" t="s">
        <v>1456</v>
      </c>
      <c r="L342" t="s">
        <v>1457</v>
      </c>
      <c r="M342" t="s">
        <v>31</v>
      </c>
      <c r="N342" t="s">
        <v>1458</v>
      </c>
      <c r="O342" t="str">
        <f>IFERROR("IN" &amp; _xlfn.TEXTBEFORE(_xlfn.TEXTAFTER(UPPER(tblShipments4[[#This Row],[Gateway_clean]]),"IN")," ",1),"")</f>
        <v>INPAV1</v>
      </c>
      <c r="P342" t="str">
        <f>SUBSTITUTE(tblShipments4[[#This Row],[Gateway]], CHAR(10), " ")</f>
        <v xml:space="preserve">AWB No. Gateway Port Gateway EGM No. Gateway EGM Date Gateway Site ID Error Code N.A.  INPAV1  140083  2017-12-05 00:00:00.0  INPAV1  S </v>
      </c>
      <c r="Q342" t="s">
        <v>1454</v>
      </c>
    </row>
    <row r="343" spans="1:17" x14ac:dyDescent="0.35">
      <c r="A343" t="s">
        <v>8</v>
      </c>
      <c r="B343">
        <v>1486982</v>
      </c>
      <c r="C343" s="2" t="s">
        <v>1485</v>
      </c>
      <c r="D343" s="2" t="str">
        <f>LEFT(TRIM(MID(SUBSTITUTE(tblShipments4[[#This Row],[Details]],CHAR(10)," "), FIND(CHAR(10),tblShipments4[[#This Row],[Details]])+1, 50)), 10)</f>
        <v>0504077171</v>
      </c>
      <c r="E343" t="s">
        <v>1486</v>
      </c>
      <c r="F34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3" t="str">
        <f>IF(tblShipments4[[#This Row],[EGM no]]="", "Missing EGM", "EGM Submitted")</f>
        <v>EGM Submitted</v>
      </c>
      <c r="H343" t="str">
        <f>IF(OR(ISNUMBER(SEARCH("Released",tblShipments4[[#This Row],[ROSL]])),
      ISNUMBER(SEARCH("Scroll",tblShipments4[[#This Row],[ROSL]])),
      ISNUMBER(SEARCH("Y",tblShipments4[[#This Row],[ROSL]]))),
   "Released",
   "Not Released")</f>
        <v>Released</v>
      </c>
      <c r="I343" t="str">
        <f>IF(OR(tblShipments4[[#This Row],[EGM no]]="", tblShipments4[[#This Row],[EGM no]]="N.A."), "Not Submitted", "Submitted")</f>
        <v>Submitted</v>
      </c>
      <c r="J343" t="str">
        <f>IF(LEFT(tblShipments4[[#This Row],[Gateway_Extracted]],2)="IN","Valid","Invalid")</f>
        <v>Valid</v>
      </c>
      <c r="K343" t="s">
        <v>1487</v>
      </c>
      <c r="L343" t="s">
        <v>1488</v>
      </c>
      <c r="M343" t="s">
        <v>31</v>
      </c>
      <c r="N343" t="s">
        <v>1489</v>
      </c>
      <c r="O343" t="str">
        <f>IFERROR("IN" &amp; _xlfn.TEXTBEFORE(_xlfn.TEXTAFTER(UPPER(tblShipments4[[#This Row],[Gateway_clean]]),"IN")," ",1),"")</f>
        <v>INPAV1</v>
      </c>
      <c r="P343" t="str">
        <f>SUBSTITUTE(tblShipments4[[#This Row],[Gateway]], CHAR(10), " ")</f>
        <v xml:space="preserve">AWB No. Gateway Port Gateway EGM No. Gateway EGM Date Gateway Site ID Error Code N.A.  INPAV1  140831  2017-12-18 00:00:00.0  INPAV1  S </v>
      </c>
      <c r="Q343" t="s">
        <v>1490</v>
      </c>
    </row>
    <row r="344" spans="1:17" x14ac:dyDescent="0.35">
      <c r="A344" t="s">
        <v>8</v>
      </c>
      <c r="B344">
        <v>1547350</v>
      </c>
      <c r="C344" s="2" t="s">
        <v>1516</v>
      </c>
      <c r="D344" s="2" t="str">
        <f>LEFT(TRIM(MID(SUBSTITUTE(tblShipments4[[#This Row],[Details]],CHAR(10)," "), FIND(CHAR(10),tblShipments4[[#This Row],[Details]])+1, 50)), 10)</f>
        <v>0504077171</v>
      </c>
      <c r="E344" t="s">
        <v>1520</v>
      </c>
      <c r="F34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4" t="str">
        <f>IF(tblShipments4[[#This Row],[EGM no]]="", "Missing EGM", "EGM Submitted")</f>
        <v>EGM Submitted</v>
      </c>
      <c r="H344" t="str">
        <f>IF(OR(ISNUMBER(SEARCH("Released",tblShipments4[[#This Row],[ROSL]])),
      ISNUMBER(SEARCH("Scroll",tblShipments4[[#This Row],[ROSL]])),
      ISNUMBER(SEARCH("Y",tblShipments4[[#This Row],[ROSL]]))),
   "Released",
   "Not Released")</f>
        <v>Released</v>
      </c>
      <c r="I344" t="str">
        <f>IF(OR(tblShipments4[[#This Row],[EGM no]]="", tblShipments4[[#This Row],[EGM no]]="N.A."), "Not Submitted", "Submitted")</f>
        <v>Submitted</v>
      </c>
      <c r="J344" t="str">
        <f>IF(LEFT(tblShipments4[[#This Row],[Gateway_Extracted]],2)="IN","Valid","Invalid")</f>
        <v>Valid</v>
      </c>
      <c r="K344" t="s">
        <v>1521</v>
      </c>
      <c r="L344" t="s">
        <v>1522</v>
      </c>
      <c r="M344" t="s">
        <v>31</v>
      </c>
      <c r="N344" t="s">
        <v>1523</v>
      </c>
      <c r="O344" t="str">
        <f>IFERROR("IN" &amp; _xlfn.TEXTBEFORE(_xlfn.TEXTAFTER(UPPER(tblShipments4[[#This Row],[Gateway_clean]]),"IN")," ",1),"")</f>
        <v>INPAV1</v>
      </c>
      <c r="P344" t="str">
        <f>SUBSTITUTE(tblShipments4[[#This Row],[Gateway]], CHAR(10), " ")</f>
        <v xml:space="preserve">AWB No. Gateway Port Gateway EGM No. Gateway EGM Date Gateway Site ID Error Code N.A.  INPAV1  140831  2017-12-18 00:00:00.0  INPAV1  S </v>
      </c>
      <c r="Q344" t="s">
        <v>1490</v>
      </c>
    </row>
    <row r="345" spans="1:17" x14ac:dyDescent="0.35">
      <c r="A345" t="s">
        <v>8</v>
      </c>
      <c r="B345">
        <v>1609603</v>
      </c>
      <c r="C345" s="2" t="s">
        <v>1547</v>
      </c>
      <c r="D345" s="2" t="str">
        <f>LEFT(TRIM(MID(SUBSTITUTE(tblShipments4[[#This Row],[Details]],CHAR(10)," "), FIND(CHAR(10),tblShipments4[[#This Row],[Details]])+1, 50)), 10)</f>
        <v>0504077171</v>
      </c>
      <c r="E345" t="s">
        <v>1548</v>
      </c>
      <c r="F34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5" t="str">
        <f>IF(tblShipments4[[#This Row],[EGM no]]="", "Missing EGM", "EGM Submitted")</f>
        <v>EGM Submitted</v>
      </c>
      <c r="H345" t="str">
        <f>IF(OR(ISNUMBER(SEARCH("Released",tblShipments4[[#This Row],[ROSL]])),
      ISNUMBER(SEARCH("Scroll",tblShipments4[[#This Row],[ROSL]])),
      ISNUMBER(SEARCH("Y",tblShipments4[[#This Row],[ROSL]]))),
   "Released",
   "Not Released")</f>
        <v>Released</v>
      </c>
      <c r="I345" t="str">
        <f>IF(OR(tblShipments4[[#This Row],[EGM no]]="", tblShipments4[[#This Row],[EGM no]]="N.A."), "Not Submitted", "Submitted")</f>
        <v>Submitted</v>
      </c>
      <c r="J345" t="str">
        <f>IF(LEFT(tblShipments4[[#This Row],[Gateway_Extracted]],2)="IN","Valid","Invalid")</f>
        <v>Valid</v>
      </c>
      <c r="K345" t="s">
        <v>1549</v>
      </c>
      <c r="L345" t="s">
        <v>1550</v>
      </c>
      <c r="M345" t="s">
        <v>31</v>
      </c>
      <c r="N345" t="s">
        <v>1551</v>
      </c>
      <c r="O345" t="str">
        <f>IFERROR("IN" &amp; _xlfn.TEXTBEFORE(_xlfn.TEXTAFTER(UPPER(tblShipments4[[#This Row],[Gateway_clean]]),"IN")," ",1),"")</f>
        <v>INPAV1</v>
      </c>
      <c r="P345" t="str">
        <f>SUBSTITUTE(tblShipments4[[#This Row],[Gateway]], CHAR(10), " ")</f>
        <v xml:space="preserve">AWB No. Gateway Port Gateway EGM No. Gateway EGM Date Gateway Site ID Error Code N.A.  INPAV1  140831  2017-12-18 00:00:00.0  INPAV1  S </v>
      </c>
      <c r="Q345" t="s">
        <v>1490</v>
      </c>
    </row>
    <row r="346" spans="1:17" x14ac:dyDescent="0.35">
      <c r="A346" t="s">
        <v>8</v>
      </c>
      <c r="B346">
        <v>1668810</v>
      </c>
      <c r="C346" s="2" t="s">
        <v>1579</v>
      </c>
      <c r="D346" s="2" t="str">
        <f>LEFT(TRIM(MID(SUBSTITUTE(tblShipments4[[#This Row],[Details]],CHAR(10)," "), FIND(CHAR(10),tblShipments4[[#This Row],[Details]])+1, 50)), 10)</f>
        <v>0504077171</v>
      </c>
      <c r="E346" t="s">
        <v>1580</v>
      </c>
      <c r="F34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6" t="str">
        <f>IF(tblShipments4[[#This Row],[EGM no]]="", "Missing EGM", "EGM Submitted")</f>
        <v>EGM Submitted</v>
      </c>
      <c r="H346" t="str">
        <f>IF(OR(ISNUMBER(SEARCH("Released",tblShipments4[[#This Row],[ROSL]])),
      ISNUMBER(SEARCH("Scroll",tblShipments4[[#This Row],[ROSL]])),
      ISNUMBER(SEARCH("Y",tblShipments4[[#This Row],[ROSL]]))),
   "Released",
   "Not Released")</f>
        <v>Released</v>
      </c>
      <c r="I346" t="str">
        <f>IF(OR(tblShipments4[[#This Row],[EGM no]]="", tblShipments4[[#This Row],[EGM no]]="N.A."), "Not Submitted", "Submitted")</f>
        <v>Submitted</v>
      </c>
      <c r="J346" t="str">
        <f>IF(LEFT(tblShipments4[[#This Row],[Gateway_Extracted]],2)="IN","Valid","Invalid")</f>
        <v>Valid</v>
      </c>
      <c r="K346" t="s">
        <v>1581</v>
      </c>
      <c r="L346" t="s">
        <v>1582</v>
      </c>
      <c r="M346" t="s">
        <v>31</v>
      </c>
      <c r="N346" t="s">
        <v>1583</v>
      </c>
      <c r="O346" t="str">
        <f>IFERROR("IN" &amp; _xlfn.TEXTBEFORE(_xlfn.TEXTAFTER(UPPER(tblShipments4[[#This Row],[Gateway_clean]]),"IN")," ",1),"")</f>
        <v>INPAV1</v>
      </c>
      <c r="P346" t="str">
        <f>SUBSTITUTE(tblShipments4[[#This Row],[Gateway]], CHAR(10), " ")</f>
        <v xml:space="preserve">AWB No. Gateway Port Gateway EGM No. Gateway EGM Date Gateway Site ID Error Code N.A.  INPAV1  140831  2017-12-18 00:00:00.0  INPAV1  S </v>
      </c>
      <c r="Q346" t="s">
        <v>1490</v>
      </c>
    </row>
    <row r="347" spans="1:17" x14ac:dyDescent="0.35">
      <c r="A347" t="s">
        <v>8</v>
      </c>
      <c r="B347">
        <v>1696466</v>
      </c>
      <c r="C347" s="2" t="s">
        <v>1601</v>
      </c>
      <c r="D347" s="2" t="str">
        <f>LEFT(TRIM(MID(SUBSTITUTE(tblShipments4[[#This Row],[Details]],CHAR(10)," "), FIND(CHAR(10),tblShipments4[[#This Row],[Details]])+1, 50)), 10)</f>
        <v>0504077171</v>
      </c>
      <c r="E347" t="s">
        <v>1606</v>
      </c>
      <c r="F34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7" t="str">
        <f>IF(tblShipments4[[#This Row],[EGM no]]="", "Missing EGM", "EGM Submitted")</f>
        <v>EGM Submitted</v>
      </c>
      <c r="H347" t="str">
        <f>IF(OR(ISNUMBER(SEARCH("Released",tblShipments4[[#This Row],[ROSL]])),
      ISNUMBER(SEARCH("Scroll",tblShipments4[[#This Row],[ROSL]])),
      ISNUMBER(SEARCH("Y",tblShipments4[[#This Row],[ROSL]]))),
   "Released",
   "Not Released")</f>
        <v>Released</v>
      </c>
      <c r="I347" t="str">
        <f>IF(OR(tblShipments4[[#This Row],[EGM no]]="", tblShipments4[[#This Row],[EGM no]]="N.A."), "Not Submitted", "Submitted")</f>
        <v>Submitted</v>
      </c>
      <c r="J347" t="str">
        <f>IF(LEFT(tblShipments4[[#This Row],[Gateway_Extracted]],2)="IN","Valid","Invalid")</f>
        <v>Valid</v>
      </c>
      <c r="K347" t="s">
        <v>1607</v>
      </c>
      <c r="L347" t="s">
        <v>1608</v>
      </c>
      <c r="M347" t="s">
        <v>31</v>
      </c>
      <c r="N347" t="s">
        <v>1609</v>
      </c>
      <c r="O347" t="str">
        <f>IFERROR("IN" &amp; _xlfn.TEXTBEFORE(_xlfn.TEXTAFTER(UPPER(tblShipments4[[#This Row],[Gateway_clean]]),"IN")," ",1),"")</f>
        <v>INPAV1</v>
      </c>
      <c r="P347" t="str">
        <f>SUBSTITUTE(tblShipments4[[#This Row],[Gateway]], CHAR(10), " ")</f>
        <v xml:space="preserve">AWB No. Gateway Port Gateway EGM No. Gateway EGM Date Gateway Site ID Error Code N.A.  INPAV1  140831  2017-12-18 00:00:00.0  INPAV1  S </v>
      </c>
      <c r="Q347" t="s">
        <v>1490</v>
      </c>
    </row>
    <row r="348" spans="1:17" x14ac:dyDescent="0.35">
      <c r="A348" t="s">
        <v>8</v>
      </c>
      <c r="B348">
        <v>1865329</v>
      </c>
      <c r="C348" s="2" t="s">
        <v>1687</v>
      </c>
      <c r="D348" s="2" t="str">
        <f>LEFT(TRIM(MID(SUBSTITUTE(tblShipments4[[#This Row],[Details]],CHAR(10)," "), FIND(CHAR(10),tblShipments4[[#This Row],[Details]])+1, 50)), 10)</f>
        <v>0504077171</v>
      </c>
      <c r="E348" t="s">
        <v>1691</v>
      </c>
      <c r="F34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8" t="str">
        <f>IF(tblShipments4[[#This Row],[EGM no]]="", "Missing EGM", "EGM Submitted")</f>
        <v>EGM Submitted</v>
      </c>
      <c r="H348" t="str">
        <f>IF(OR(ISNUMBER(SEARCH("Released",tblShipments4[[#This Row],[ROSL]])),
      ISNUMBER(SEARCH("Scroll",tblShipments4[[#This Row],[ROSL]])),
      ISNUMBER(SEARCH("Y",tblShipments4[[#This Row],[ROSL]]))),
   "Released",
   "Not Released")</f>
        <v>Released</v>
      </c>
      <c r="I348" t="str">
        <f>IF(OR(tblShipments4[[#This Row],[EGM no]]="", tblShipments4[[#This Row],[EGM no]]="N.A."), "Not Submitted", "Submitted")</f>
        <v>Submitted</v>
      </c>
      <c r="J348" t="str">
        <f>IF(LEFT(tblShipments4[[#This Row],[Gateway_Extracted]],2)="IN","Valid","Invalid")</f>
        <v>Valid</v>
      </c>
      <c r="K348" t="s">
        <v>1692</v>
      </c>
      <c r="L348" t="s">
        <v>1693</v>
      </c>
      <c r="M348" t="s">
        <v>31</v>
      </c>
      <c r="N348" t="s">
        <v>1694</v>
      </c>
      <c r="O348" t="str">
        <f>IFERROR("IN" &amp; _xlfn.TEXTBEFORE(_xlfn.TEXTAFTER(UPPER(tblShipments4[[#This Row],[Gateway_clean]]),"IN")," ",1),"")</f>
        <v>INPAV1</v>
      </c>
      <c r="P348" t="str">
        <f>SUBSTITUTE(tblShipments4[[#This Row],[Gateway]], CHAR(10), " ")</f>
        <v xml:space="preserve">AWB No. Gateway Port Gateway EGM No. Gateway EGM Date Gateway Site ID Error Code N.A.  INPAV1  141634  2017-12-29 00:00:00.0  INPAV1  S </v>
      </c>
      <c r="Q348" t="s">
        <v>1695</v>
      </c>
    </row>
    <row r="349" spans="1:17" x14ac:dyDescent="0.35">
      <c r="A349" t="s">
        <v>8</v>
      </c>
      <c r="B349">
        <v>9246037</v>
      </c>
      <c r="C349" s="2" t="s">
        <v>1008</v>
      </c>
      <c r="D349" s="2" t="str">
        <f>LEFT(TRIM(MID(SUBSTITUTE(tblShipments4[[#This Row],[Details]],CHAR(10)," "), FIND(CHAR(10),tblShipments4[[#This Row],[Details]])+1, 50)), 10)</f>
        <v>0505000873</v>
      </c>
      <c r="E349" t="s">
        <v>1013</v>
      </c>
      <c r="F34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49" t="str">
        <f>IF(tblShipments4[[#This Row],[EGM no]]="", "Missing EGM", "EGM Submitted")</f>
        <v>EGM Submitted</v>
      </c>
      <c r="H349" t="str">
        <f>IF(OR(ISNUMBER(SEARCH("Released",tblShipments4[[#This Row],[ROSL]])),
      ISNUMBER(SEARCH("Scroll",tblShipments4[[#This Row],[ROSL]])),
      ISNUMBER(SEARCH("Y",tblShipments4[[#This Row],[ROSL]]))),
   "Released",
   "Not Released")</f>
        <v>Released</v>
      </c>
      <c r="I349" t="str">
        <f>IF(OR(tblShipments4[[#This Row],[EGM no]]="", tblShipments4[[#This Row],[EGM no]]="N.A."), "Not Submitted", "Submitted")</f>
        <v>Submitted</v>
      </c>
      <c r="J349" t="str">
        <f>IF(LEFT(tblShipments4[[#This Row],[Gateway_Extracted]],2)="IN","Valid","Invalid")</f>
        <v>Valid</v>
      </c>
      <c r="K349" t="s">
        <v>1014</v>
      </c>
      <c r="L349" t="s">
        <v>1015</v>
      </c>
      <c r="M349" t="s">
        <v>13</v>
      </c>
      <c r="N349" t="s">
        <v>1016</v>
      </c>
      <c r="O349" t="str">
        <f>IFERROR("IN" &amp; _xlfn.TEXTBEFORE(_xlfn.TEXTAFTER(UPPER(tblShipments4[[#This Row],[Gateway_clean]]),"IN")," ",1),"")</f>
        <v>INPAV1</v>
      </c>
      <c r="P349" t="str">
        <f>SUBSTITUTE(tblShipments4[[#This Row],[Gateway]], CHAR(10), " ")</f>
        <v xml:space="preserve">AWB No. Gateway Port Gateway EGM No. Gateway EGM Date Gateway Site ID Error Code N.A.  INPAV1  137330  2017-10-23 00:00:00.0  INPAV1  S </v>
      </c>
      <c r="Q349" t="s">
        <v>1017</v>
      </c>
    </row>
    <row r="350" spans="1:17" x14ac:dyDescent="0.35">
      <c r="A350" t="s">
        <v>8</v>
      </c>
      <c r="B350">
        <v>9522381</v>
      </c>
      <c r="C350" s="2" t="s">
        <v>1072</v>
      </c>
      <c r="D350" s="2" t="str">
        <f>LEFT(TRIM(MID(SUBSTITUTE(tblShipments4[[#This Row],[Details]],CHAR(10)," "), FIND(CHAR(10),tblShipments4[[#This Row],[Details]])+1, 50)), 10)</f>
        <v>0507051360</v>
      </c>
      <c r="E350" t="s">
        <v>1073</v>
      </c>
      <c r="F35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0" t="str">
        <f>IF(tblShipments4[[#This Row],[EGM no]]="", "Missing EGM", "EGM Submitted")</f>
        <v>EGM Submitted</v>
      </c>
      <c r="H350" t="str">
        <f>IF(OR(ISNUMBER(SEARCH("Released",tblShipments4[[#This Row],[ROSL]])),
      ISNUMBER(SEARCH("Scroll",tblShipments4[[#This Row],[ROSL]])),
      ISNUMBER(SEARCH("Y",tblShipments4[[#This Row],[ROSL]]))),
   "Released",
   "Not Released")</f>
        <v>Released</v>
      </c>
      <c r="I350" t="str">
        <f>IF(OR(tblShipments4[[#This Row],[EGM no]]="", tblShipments4[[#This Row],[EGM no]]="N.A."), "Not Submitted", "Submitted")</f>
        <v>Submitted</v>
      </c>
      <c r="J350" t="str">
        <f>IF(LEFT(tblShipments4[[#This Row],[Gateway_Extracted]],2)="IN","Valid","Invalid")</f>
        <v>Valid</v>
      </c>
      <c r="K350" t="s">
        <v>1074</v>
      </c>
      <c r="L350" t="s">
        <v>1075</v>
      </c>
      <c r="M350" t="s">
        <v>31</v>
      </c>
      <c r="N350" t="s">
        <v>1076</v>
      </c>
      <c r="O350" t="str">
        <f>IFERROR("IN" &amp; _xlfn.TEXTBEFORE(_xlfn.TEXTAFTER(UPPER(tblShipments4[[#This Row],[Gateway_clean]]),"IN")," ",1),"")</f>
        <v>INPAV1</v>
      </c>
      <c r="P350" t="str">
        <f>SUBSTITUTE(tblShipments4[[#This Row],[Gateway]], CHAR(10), " ")</f>
        <v xml:space="preserve">AWB No. Gateway Port Gateway EGM No. Gateway EGM Date Gateway Site ID Error Code N.A.  INPAV1  138356  2017-11-07 00:00:00.0  INPAV1  S </v>
      </c>
      <c r="Q350" t="s">
        <v>1077</v>
      </c>
    </row>
    <row r="351" spans="1:17" x14ac:dyDescent="0.35">
      <c r="A351" t="s">
        <v>8</v>
      </c>
      <c r="B351">
        <v>8220992</v>
      </c>
      <c r="C351" s="2" t="s">
        <v>409</v>
      </c>
      <c r="D351" s="2" t="str">
        <f>LEFT(TRIM(MID(SUBSTITUTE(tblShipments4[[#This Row],[Details]],CHAR(10)," "), FIND(CHAR(10),tblShipments4[[#This Row],[Details]])+1, 50)), 10)</f>
        <v>0508074321</v>
      </c>
      <c r="E351" t="s">
        <v>426</v>
      </c>
      <c r="F35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1" t="str">
        <f>IF(tblShipments4[[#This Row],[EGM no]]="", "Missing EGM", "EGM Submitted")</f>
        <v>EGM Submitted</v>
      </c>
      <c r="H351" t="str">
        <f>IF(OR(ISNUMBER(SEARCH("Released",tblShipments4[[#This Row],[ROSL]])),
      ISNUMBER(SEARCH("Scroll",tblShipments4[[#This Row],[ROSL]])),
      ISNUMBER(SEARCH("Y",tblShipments4[[#This Row],[ROSL]]))),
   "Released",
   "Not Released")</f>
        <v>Released</v>
      </c>
      <c r="I351" t="str">
        <f>IF(OR(tblShipments4[[#This Row],[EGM no]]="", tblShipments4[[#This Row],[EGM no]]="N.A."), "Not Submitted", "Submitted")</f>
        <v>Submitted</v>
      </c>
      <c r="J351" t="str">
        <f>IF(LEFT(tblShipments4[[#This Row],[Gateway_Extracted]],2)="IN","Valid","Invalid")</f>
        <v>Valid</v>
      </c>
      <c r="K351" t="s">
        <v>427</v>
      </c>
      <c r="L351" t="s">
        <v>428</v>
      </c>
      <c r="M351" t="s">
        <v>13</v>
      </c>
      <c r="N351" t="s">
        <v>429</v>
      </c>
      <c r="O351" t="str">
        <f>IFERROR("IN" &amp; _xlfn.TEXTBEFORE(_xlfn.TEXTAFTER(UPPER(tblShipments4[[#This Row],[Gateway_clean]]),"IN")," ",1),"")</f>
        <v>INPAV1</v>
      </c>
      <c r="P351" t="str">
        <f>SUBSTITUTE(tblShipments4[[#This Row],[Gateway]], CHAR(10), " ")</f>
        <v xml:space="preserve">AWB No. Gateway Port Gateway EGM No. Gateway EGM Date Gateway Site ID Error Code N.A.  INPAV1  134074  2017-08-28 00:00:00.0  INPAV1  S </v>
      </c>
      <c r="Q351" t="s">
        <v>430</v>
      </c>
    </row>
    <row r="352" spans="1:17" x14ac:dyDescent="0.35">
      <c r="A352" t="s">
        <v>8</v>
      </c>
      <c r="B352">
        <v>9802291</v>
      </c>
      <c r="C352" s="2" t="s">
        <v>1188</v>
      </c>
      <c r="D352" s="2" t="str">
        <f>LEFT(TRIM(MID(SUBSTITUTE(tblShipments4[[#This Row],[Details]],CHAR(10)," "), FIND(CHAR(10),tblShipments4[[#This Row],[Details]])+1, 50)), 10)</f>
        <v>0512057273</v>
      </c>
      <c r="E352" t="s">
        <v>1198</v>
      </c>
      <c r="F35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2" t="str">
        <f>IF(tblShipments4[[#This Row],[EGM no]]="", "Missing EGM", "EGM Submitted")</f>
        <v>EGM Submitted</v>
      </c>
      <c r="H352" t="str">
        <f>IF(OR(ISNUMBER(SEARCH("Released",tblShipments4[[#This Row],[ROSL]])),
      ISNUMBER(SEARCH("Scroll",tblShipments4[[#This Row],[ROSL]])),
      ISNUMBER(SEARCH("Y",tblShipments4[[#This Row],[ROSL]]))),
   "Released",
   "Not Released")</f>
        <v>Released</v>
      </c>
      <c r="I352" t="str">
        <f>IF(OR(tblShipments4[[#This Row],[EGM no]]="", tblShipments4[[#This Row],[EGM no]]="N.A."), "Not Submitted", "Submitted")</f>
        <v>Submitted</v>
      </c>
      <c r="J352" t="str">
        <f>IF(LEFT(tblShipments4[[#This Row],[Gateway_Extracted]],2)="IN","Valid","Invalid")</f>
        <v>Valid</v>
      </c>
      <c r="K352" t="s">
        <v>1184</v>
      </c>
      <c r="L352" t="s">
        <v>1199</v>
      </c>
      <c r="M352" t="s">
        <v>13</v>
      </c>
      <c r="N352" t="s">
        <v>1200</v>
      </c>
      <c r="O352" t="str">
        <f>IFERROR("IN" &amp; _xlfn.TEXTBEFORE(_xlfn.TEXTAFTER(UPPER(tblShipments4[[#This Row],[Gateway_clean]]),"IN")," ",1),"")</f>
        <v>INPAV1</v>
      </c>
      <c r="P352" t="str">
        <f>SUBSTITUTE(tblShipments4[[#This Row],[Gateway]], CHAR(10), " ")</f>
        <v xml:space="preserve">AWB No. Gateway Port Gateway EGM No. Gateway EGM Date Gateway Site ID Error Code N.A.  INPAV1  137989  2017-11-01 00:00:00.0  INPAV1  S </v>
      </c>
      <c r="Q352" t="s">
        <v>1201</v>
      </c>
    </row>
    <row r="353" spans="1:17" x14ac:dyDescent="0.35">
      <c r="A353" t="s">
        <v>8</v>
      </c>
      <c r="B353">
        <v>8247826</v>
      </c>
      <c r="C353" s="2" t="s">
        <v>467</v>
      </c>
      <c r="D353" s="2" t="str">
        <f>LEFT(TRIM(MID(SUBSTITUTE(tblShipments4[[#This Row],[Details]],CHAR(10)," "), FIND(CHAR(10),tblShipments4[[#This Row],[Details]])+1, 50)), 10)</f>
        <v>0512081786</v>
      </c>
      <c r="E353" t="s">
        <v>468</v>
      </c>
      <c r="F35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3" t="str">
        <f>IF(tblShipments4[[#This Row],[EGM no]]="", "Missing EGM", "EGM Submitted")</f>
        <v>EGM Submitted</v>
      </c>
      <c r="H353" t="str">
        <f>IF(OR(ISNUMBER(SEARCH("Released",tblShipments4[[#This Row],[ROSL]])),
      ISNUMBER(SEARCH("Scroll",tblShipments4[[#This Row],[ROSL]])),
      ISNUMBER(SEARCH("Y",tblShipments4[[#This Row],[ROSL]]))),
   "Released",
   "Not Released")</f>
        <v>Released</v>
      </c>
      <c r="I353" t="str">
        <f>IF(OR(tblShipments4[[#This Row],[EGM no]]="", tblShipments4[[#This Row],[EGM no]]="N.A."), "Not Submitted", "Submitted")</f>
        <v>Submitted</v>
      </c>
      <c r="J353" t="str">
        <f>IF(LEFT(tblShipments4[[#This Row],[Gateway_Extracted]],2)="IN","Valid","Invalid")</f>
        <v>Valid</v>
      </c>
      <c r="K353" t="s">
        <v>427</v>
      </c>
      <c r="L353" t="s">
        <v>469</v>
      </c>
      <c r="M353" t="s">
        <v>13</v>
      </c>
      <c r="N353" t="s">
        <v>470</v>
      </c>
      <c r="O353" t="str">
        <f>IFERROR("IN" &amp; _xlfn.TEXTBEFORE(_xlfn.TEXTAFTER(UPPER(tblShipments4[[#This Row],[Gateway_clean]]),"IN")," ",1),"")</f>
        <v>INPAV1</v>
      </c>
      <c r="P353" t="str">
        <f>SUBSTITUTE(tblShipments4[[#This Row],[Gateway]], CHAR(10), " ")</f>
        <v xml:space="preserve">AWB No. Gateway Port Gateway EGM No. Gateway EGM Date Gateway Site ID Error Code N.A.  INPAV1  134066  2017-08-28 00:00:00.0  INPAV1  S </v>
      </c>
      <c r="Q353" t="s">
        <v>471</v>
      </c>
    </row>
    <row r="354" spans="1:17" x14ac:dyDescent="0.35">
      <c r="A354" t="s">
        <v>8</v>
      </c>
      <c r="B354">
        <v>7812525</v>
      </c>
      <c r="C354" s="2" t="s">
        <v>181</v>
      </c>
      <c r="D354" s="2" t="str">
        <f>LEFT(TRIM(MID(SUBSTITUTE(tblShipments4[[#This Row],[Details]],CHAR(10)," "), FIND(CHAR(10),tblShipments4[[#This Row],[Details]])+1, 50)), 10)</f>
        <v>0513045228</v>
      </c>
      <c r="E354" t="s">
        <v>182</v>
      </c>
      <c r="F35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4" t="str">
        <f>IF(tblShipments4[[#This Row],[EGM no]]="", "Missing EGM", "EGM Submitted")</f>
        <v>EGM Submitted</v>
      </c>
      <c r="H354" t="str">
        <f>IF(OR(ISNUMBER(SEARCH("Released",tblShipments4[[#This Row],[ROSL]])),
      ISNUMBER(SEARCH("Scroll",tblShipments4[[#This Row],[ROSL]])),
      ISNUMBER(SEARCH("Y",tblShipments4[[#This Row],[ROSL]]))),
   "Released",
   "Not Released")</f>
        <v>Released</v>
      </c>
      <c r="I354" t="str">
        <f>IF(OR(tblShipments4[[#This Row],[EGM no]]="", tblShipments4[[#This Row],[EGM no]]="N.A."), "Not Submitted", "Submitted")</f>
        <v>Submitted</v>
      </c>
      <c r="J354" t="str">
        <f>IF(LEFT(tblShipments4[[#This Row],[Gateway_Extracted]],2)="IN","Valid","Invalid")</f>
        <v>Valid</v>
      </c>
      <c r="K354" t="s">
        <v>183</v>
      </c>
      <c r="L354" t="s">
        <v>184</v>
      </c>
      <c r="M354" t="s">
        <v>13</v>
      </c>
      <c r="N354" t="s">
        <v>185</v>
      </c>
      <c r="O354" t="str">
        <f>IFERROR("IN" &amp; _xlfn.TEXTBEFORE(_xlfn.TEXTAFTER(UPPER(tblShipments4[[#This Row],[Gateway_clean]]),"IN")," ",1),"")</f>
        <v>INPAV1</v>
      </c>
      <c r="P354" t="str">
        <f>SUBSTITUTE(tblShipments4[[#This Row],[Gateway]], CHAR(10), " ")</f>
        <v xml:space="preserve">AWB No. Gateway Port Gateway EGM No. Gateway EGM Date Gateway Site ID Error Code N.A.  INPAV1  133808  2017-08-24 00:00:00.0  INPAV1  S </v>
      </c>
      <c r="Q354" t="s">
        <v>186</v>
      </c>
    </row>
    <row r="355" spans="1:17" x14ac:dyDescent="0.35">
      <c r="A355" t="s">
        <v>8</v>
      </c>
      <c r="B355">
        <v>8018847</v>
      </c>
      <c r="C355" s="2" t="s">
        <v>290</v>
      </c>
      <c r="D355" s="2" t="str">
        <f>LEFT(TRIM(MID(SUBSTITUTE(tblShipments4[[#This Row],[Details]],CHAR(10)," "), FIND(CHAR(10),tblShipments4[[#This Row],[Details]])+1, 50)), 10)</f>
        <v>0514081988</v>
      </c>
      <c r="E355" t="s">
        <v>291</v>
      </c>
      <c r="F35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5" t="str">
        <f>IF(tblShipments4[[#This Row],[EGM no]]="", "Missing EGM", "EGM Submitted")</f>
        <v>EGM Submitted</v>
      </c>
      <c r="H355" t="str">
        <f>IF(OR(ISNUMBER(SEARCH("Released",tblShipments4[[#This Row],[ROSL]])),
      ISNUMBER(SEARCH("Scroll",tblShipments4[[#This Row],[ROSL]])),
      ISNUMBER(SEARCH("Y",tblShipments4[[#This Row],[ROSL]]))),
   "Released",
   "Not Released")</f>
        <v>Released</v>
      </c>
      <c r="I355" t="str">
        <f>IF(OR(tblShipments4[[#This Row],[EGM no]]="", tblShipments4[[#This Row],[EGM no]]="N.A."), "Not Submitted", "Submitted")</f>
        <v>Submitted</v>
      </c>
      <c r="J355" t="str">
        <f>IF(LEFT(tblShipments4[[#This Row],[Gateway_Extracted]],2)="IN","Valid","Invalid")</f>
        <v>Valid</v>
      </c>
      <c r="K355" t="s">
        <v>286</v>
      </c>
      <c r="L355" t="s">
        <v>292</v>
      </c>
      <c r="M355" t="s">
        <v>13</v>
      </c>
      <c r="N355" t="s">
        <v>293</v>
      </c>
      <c r="O355" t="str">
        <f>IFERROR("IN" &amp; _xlfn.TEXTBEFORE(_xlfn.TEXTAFTER(UPPER(tblShipments4[[#This Row],[Gateway_clean]]),"IN")," ",1),"")</f>
        <v>INPAV1</v>
      </c>
      <c r="P355" t="str">
        <f>SUBSTITUTE(tblShipments4[[#This Row],[Gateway]], CHAR(10), " ")</f>
        <v xml:space="preserve">AWB No. Gateway Port Gateway EGM No. Gateway EGM Date Gateway Site ID Error Code N.A.  INPAV1  132215  2017-07-26 00:00:00.0  INPAV1  S </v>
      </c>
      <c r="Q355" t="s">
        <v>294</v>
      </c>
    </row>
    <row r="356" spans="1:17" x14ac:dyDescent="0.35">
      <c r="A356" t="s">
        <v>8</v>
      </c>
      <c r="B356">
        <v>8288523</v>
      </c>
      <c r="C356" s="2" t="s">
        <v>479</v>
      </c>
      <c r="D356" s="2" t="str">
        <f>LEFT(TRIM(MID(SUBSTITUTE(tblShipments4[[#This Row],[Details]],CHAR(10)," "), FIND(CHAR(10),tblShipments4[[#This Row],[Details]])+1, 50)), 10)</f>
        <v>0515069272</v>
      </c>
      <c r="E356" t="s">
        <v>480</v>
      </c>
      <c r="F35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6" t="str">
        <f>IF(tblShipments4[[#This Row],[EGM no]]="", "Missing EGM", "EGM Submitted")</f>
        <v>EGM Submitted</v>
      </c>
      <c r="H356" t="str">
        <f>IF(OR(ISNUMBER(SEARCH("Released",tblShipments4[[#This Row],[ROSL]])),
      ISNUMBER(SEARCH("Scroll",tblShipments4[[#This Row],[ROSL]])),
      ISNUMBER(SEARCH("Y",tblShipments4[[#This Row],[ROSL]]))),
   "Released",
   "Not Released")</f>
        <v>Released</v>
      </c>
      <c r="I356" t="str">
        <f>IF(OR(tblShipments4[[#This Row],[EGM no]]="", tblShipments4[[#This Row],[EGM no]]="N.A."), "Not Submitted", "Submitted")</f>
        <v>Submitted</v>
      </c>
      <c r="J356" t="str">
        <f>IF(LEFT(tblShipments4[[#This Row],[Gateway_Extracted]],2)="IN","Valid","Invalid")</f>
        <v>Valid</v>
      </c>
      <c r="K356" t="s">
        <v>473</v>
      </c>
      <c r="L356" t="s">
        <v>481</v>
      </c>
      <c r="M356" t="s">
        <v>482</v>
      </c>
      <c r="N356" t="s">
        <v>483</v>
      </c>
      <c r="O356" t="str">
        <f>IFERROR("IN" &amp; _xlfn.TEXTBEFORE(_xlfn.TEXTAFTER(UPPER(tblShipments4[[#This Row],[Gateway_clean]]),"IN")," ",1),"")</f>
        <v>INPAV1</v>
      </c>
      <c r="P356" t="str">
        <f>SUBSTITUTE(tblShipments4[[#This Row],[Gateway]], CHAR(10), " ")</f>
        <v xml:space="preserve">AWB No. Gateway Port Gateway EGM No. Gateway EGM Date Gateway Site ID Error Code N.A.  INPAV1  132218  2017-07-26 00:00:00.0  INPAV1  S </v>
      </c>
      <c r="Q356" t="s">
        <v>456</v>
      </c>
    </row>
    <row r="357" spans="1:17" x14ac:dyDescent="0.35">
      <c r="A357" t="s">
        <v>8</v>
      </c>
      <c r="B357">
        <v>1269121</v>
      </c>
      <c r="C357" s="2" t="s">
        <v>1373</v>
      </c>
      <c r="D357" s="2" t="str">
        <f>LEFT(TRIM(MID(SUBSTITUTE(tblShipments4[[#This Row],[Details]],CHAR(10)," "), FIND(CHAR(10),tblShipments4[[#This Row],[Details]])+1, 50)), 10)</f>
        <v>0516526065</v>
      </c>
      <c r="E357" t="s">
        <v>1374</v>
      </c>
      <c r="F35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7" t="str">
        <f>IF(tblShipments4[[#This Row],[EGM no]]="", "Missing EGM", "EGM Submitted")</f>
        <v>EGM Submitted</v>
      </c>
      <c r="H357" t="str">
        <f>IF(OR(ISNUMBER(SEARCH("Released",tblShipments4[[#This Row],[ROSL]])),
      ISNUMBER(SEARCH("Scroll",tblShipments4[[#This Row],[ROSL]])),
      ISNUMBER(SEARCH("Y",tblShipments4[[#This Row],[ROSL]]))),
   "Released",
   "Not Released")</f>
        <v>Released</v>
      </c>
      <c r="I357" t="str">
        <f>IF(OR(tblShipments4[[#This Row],[EGM no]]="", tblShipments4[[#This Row],[EGM no]]="N.A."), "Not Submitted", "Submitted")</f>
        <v>Submitted</v>
      </c>
      <c r="J357" t="str">
        <f>IF(LEFT(tblShipments4[[#This Row],[Gateway_Extracted]],2)="IN","Valid","Invalid")</f>
        <v>Valid</v>
      </c>
      <c r="K357" t="s">
        <v>1364</v>
      </c>
      <c r="L357" t="s">
        <v>1375</v>
      </c>
      <c r="M357" t="s">
        <v>13</v>
      </c>
      <c r="N357" t="s">
        <v>1376</v>
      </c>
      <c r="O357" t="str">
        <f>IFERROR("IN" &amp; _xlfn.TEXTBEFORE(_xlfn.TEXTAFTER(UPPER(tblShipments4[[#This Row],[Gateway_clean]]),"IN")," ",1),"")</f>
        <v>INPAV1</v>
      </c>
      <c r="P357" t="str">
        <f>SUBSTITUTE(tblShipments4[[#This Row],[Gateway]], CHAR(10), " ")</f>
        <v xml:space="preserve">AWB No. Gateway Port Gateway EGM No. Gateway EGM Date Gateway Site ID Error Code N.A.  INPAV1  139963  2017-12-04 00:00:00.0  INPAV1  S </v>
      </c>
      <c r="Q357" t="s">
        <v>1377</v>
      </c>
    </row>
    <row r="358" spans="1:17" x14ac:dyDescent="0.35">
      <c r="A358" t="s">
        <v>8</v>
      </c>
      <c r="B358">
        <v>8290768</v>
      </c>
      <c r="C358" s="2" t="s">
        <v>479</v>
      </c>
      <c r="D358" s="2" t="str">
        <f>LEFT(TRIM(MID(SUBSTITUTE(tblShipments4[[#This Row],[Details]],CHAR(10)," "), FIND(CHAR(10),tblShipments4[[#This Row],[Details]])+1, 50)), 10)</f>
        <v>0517513668</v>
      </c>
      <c r="E358" t="s">
        <v>484</v>
      </c>
      <c r="F35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8" t="str">
        <f>IF(tblShipments4[[#This Row],[EGM no]]="", "Missing EGM", "EGM Submitted")</f>
        <v>EGM Submitted</v>
      </c>
      <c r="H358" t="str">
        <f>IF(OR(ISNUMBER(SEARCH("Released",tblShipments4[[#This Row],[ROSL]])),
      ISNUMBER(SEARCH("Scroll",tblShipments4[[#This Row],[ROSL]])),
      ISNUMBER(SEARCH("Y",tblShipments4[[#This Row],[ROSL]]))),
   "Released",
   "Not Released")</f>
        <v>Released</v>
      </c>
      <c r="I358" t="str">
        <f>IF(OR(tblShipments4[[#This Row],[EGM no]]="", tblShipments4[[#This Row],[EGM no]]="N.A."), "Not Submitted", "Submitted")</f>
        <v>Submitted</v>
      </c>
      <c r="J358" t="str">
        <f>IF(LEFT(tblShipments4[[#This Row],[Gateway_Extracted]],2)="IN","Valid","Invalid")</f>
        <v>Valid</v>
      </c>
      <c r="K358" t="s">
        <v>473</v>
      </c>
      <c r="L358" t="s">
        <v>485</v>
      </c>
      <c r="M358" t="s">
        <v>486</v>
      </c>
      <c r="N358" t="s">
        <v>487</v>
      </c>
      <c r="O358" t="str">
        <f>IFERROR("IN" &amp; _xlfn.TEXTBEFORE(_xlfn.TEXTAFTER(UPPER(tblShipments4[[#This Row],[Gateway_clean]]),"IN")," ",1),"")</f>
        <v>INPAV1</v>
      </c>
      <c r="P358" t="str">
        <f>SUBSTITUTE(tblShipments4[[#This Row],[Gateway]], CHAR(10), " ")</f>
        <v xml:space="preserve">AWB No. Gateway Port Gateway EGM No. Gateway EGM Date Gateway Site ID Error Code N.A.  INPAV1  132218  2017-07-26 00:00:00.0  INPAV1  S </v>
      </c>
      <c r="Q358" t="s">
        <v>456</v>
      </c>
    </row>
    <row r="359" spans="1:17" x14ac:dyDescent="0.35">
      <c r="A359" t="s">
        <v>8</v>
      </c>
      <c r="B359">
        <v>8290787</v>
      </c>
      <c r="C359" s="2" t="s">
        <v>479</v>
      </c>
      <c r="D359" s="2" t="str">
        <f>LEFT(TRIM(MID(SUBSTITUTE(tblShipments4[[#This Row],[Details]],CHAR(10)," "), FIND(CHAR(10),tblShipments4[[#This Row],[Details]])+1, 50)), 10)</f>
        <v>0517513668</v>
      </c>
      <c r="E359" t="s">
        <v>488</v>
      </c>
      <c r="F35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59" t="str">
        <f>IF(tblShipments4[[#This Row],[EGM no]]="", "Missing EGM", "EGM Submitted")</f>
        <v>EGM Submitted</v>
      </c>
      <c r="H359" t="str">
        <f>IF(OR(ISNUMBER(SEARCH("Released",tblShipments4[[#This Row],[ROSL]])),
      ISNUMBER(SEARCH("Scroll",tblShipments4[[#This Row],[ROSL]])),
      ISNUMBER(SEARCH("Y",tblShipments4[[#This Row],[ROSL]]))),
   "Released",
   "Not Released")</f>
        <v>Released</v>
      </c>
      <c r="I359" t="str">
        <f>IF(OR(tblShipments4[[#This Row],[EGM no]]="", tblShipments4[[#This Row],[EGM no]]="N.A."), "Not Submitted", "Submitted")</f>
        <v>Submitted</v>
      </c>
      <c r="J359" t="str">
        <f>IF(LEFT(tblShipments4[[#This Row],[Gateway_Extracted]],2)="IN","Valid","Invalid")</f>
        <v>Valid</v>
      </c>
      <c r="K359" t="s">
        <v>473</v>
      </c>
      <c r="L359" t="s">
        <v>485</v>
      </c>
      <c r="M359" t="s">
        <v>486</v>
      </c>
      <c r="N359" t="s">
        <v>487</v>
      </c>
      <c r="O359" t="str">
        <f>IFERROR("IN" &amp; _xlfn.TEXTBEFORE(_xlfn.TEXTAFTER(UPPER(tblShipments4[[#This Row],[Gateway_clean]]),"IN")," ",1),"")</f>
        <v>INPAV1</v>
      </c>
      <c r="P359" t="str">
        <f>SUBSTITUTE(tblShipments4[[#This Row],[Gateway]], CHAR(10), " ")</f>
        <v xml:space="preserve">AWB No. Gateway Port Gateway EGM No. Gateway EGM Date Gateway Site ID Error Code N.A.  INPAV1  132218  2017-07-26 00:00:00.0  INPAV1  S </v>
      </c>
      <c r="Q359" t="s">
        <v>456</v>
      </c>
    </row>
    <row r="360" spans="1:17" x14ac:dyDescent="0.35">
      <c r="A360" t="s">
        <v>8</v>
      </c>
      <c r="B360">
        <v>7795473</v>
      </c>
      <c r="C360" s="2" t="s">
        <v>153</v>
      </c>
      <c r="D360" s="2" t="str">
        <f>LEFT(TRIM(MID(SUBSTITUTE(tblShipments4[[#This Row],[Details]],CHAR(10)," "), FIND(CHAR(10),tblShipments4[[#This Row],[Details]])+1, 50)), 10)</f>
        <v>0592023052</v>
      </c>
      <c r="E360" t="s">
        <v>163</v>
      </c>
      <c r="F36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0" t="str">
        <f>IF(tblShipments4[[#This Row],[EGM no]]="", "Missing EGM", "EGM Submitted")</f>
        <v>EGM Submitted</v>
      </c>
      <c r="H360" t="str">
        <f>IF(OR(ISNUMBER(SEARCH("Released",tblShipments4[[#This Row],[ROSL]])),
      ISNUMBER(SEARCH("Scroll",tblShipments4[[#This Row],[ROSL]])),
      ISNUMBER(SEARCH("Y",tblShipments4[[#This Row],[ROSL]]))),
   "Released",
   "Not Released")</f>
        <v>Released</v>
      </c>
      <c r="I360" t="str">
        <f>IF(OR(tblShipments4[[#This Row],[EGM no]]="", tblShipments4[[#This Row],[EGM no]]="N.A."), "Not Submitted", "Submitted")</f>
        <v>Submitted</v>
      </c>
      <c r="J360" t="str">
        <f>IF(LEFT(tblShipments4[[#This Row],[Gateway_Extracted]],2)="IN","Valid","Invalid")</f>
        <v>Valid</v>
      </c>
      <c r="K360" t="s">
        <v>164</v>
      </c>
      <c r="L360" t="s">
        <v>165</v>
      </c>
      <c r="M360" t="s">
        <v>13</v>
      </c>
      <c r="N360" t="s">
        <v>166</v>
      </c>
      <c r="O360" t="str">
        <f>IFERROR("IN" &amp; _xlfn.TEXTBEFORE(_xlfn.TEXTAFTER(UPPER(tblShipments4[[#This Row],[Gateway_clean]]),"IN")," ",1),"")</f>
        <v>INPAV1</v>
      </c>
      <c r="P360" t="str">
        <f>SUBSTITUTE(tblShipments4[[#This Row],[Gateway]], CHAR(10), " ")</f>
        <v xml:space="preserve">AWB No. Gateway Port Gateway EGM No. Gateway EGM Date Gateway Site ID Error Code N.A.  INPAV1  132205  2017-07-26 00:00:00.0  INPAV1  S </v>
      </c>
      <c r="Q360" t="s">
        <v>167</v>
      </c>
    </row>
    <row r="361" spans="1:17" x14ac:dyDescent="0.35">
      <c r="A361" t="s">
        <v>8</v>
      </c>
      <c r="B361">
        <v>8338839</v>
      </c>
      <c r="C361" s="2" t="s">
        <v>498</v>
      </c>
      <c r="D361" s="2" t="str">
        <f>LEFT(TRIM(MID(SUBSTITUTE(tblShipments4[[#This Row],[Details]],CHAR(10)," "), FIND(CHAR(10),tblShipments4[[#This Row],[Details]])+1, 50)), 10)</f>
        <v>0592023052</v>
      </c>
      <c r="E361" t="s">
        <v>522</v>
      </c>
      <c r="F36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1" t="str">
        <f>IF(tblShipments4[[#This Row],[EGM no]]="", "Missing EGM", "EGM Submitted")</f>
        <v>EGM Submitted</v>
      </c>
      <c r="H361" t="str">
        <f>IF(OR(ISNUMBER(SEARCH("Released",tblShipments4[[#This Row],[ROSL]])),
      ISNUMBER(SEARCH("Scroll",tblShipments4[[#This Row],[ROSL]])),
      ISNUMBER(SEARCH("Y",tblShipments4[[#This Row],[ROSL]]))),
   "Released",
   "Not Released")</f>
        <v>Released</v>
      </c>
      <c r="I361" t="str">
        <f>IF(OR(tblShipments4[[#This Row],[EGM no]]="", tblShipments4[[#This Row],[EGM no]]="N.A."), "Not Submitted", "Submitted")</f>
        <v>Submitted</v>
      </c>
      <c r="J361" t="str">
        <f>IF(LEFT(tblShipments4[[#This Row],[Gateway_Extracted]],2)="IN","Valid","Invalid")</f>
        <v>Valid</v>
      </c>
      <c r="K361" t="s">
        <v>523</v>
      </c>
      <c r="L361" t="s">
        <v>524</v>
      </c>
      <c r="M361" t="s">
        <v>13</v>
      </c>
      <c r="N361" t="s">
        <v>525</v>
      </c>
      <c r="O361" t="str">
        <f>IFERROR("IN" &amp; _xlfn.TEXTBEFORE(_xlfn.TEXTAFTER(UPPER(tblShipments4[[#This Row],[Gateway_clean]]),"IN")," ",1),"")</f>
        <v>INPAV1</v>
      </c>
      <c r="P361" t="str">
        <f>SUBSTITUTE(tblShipments4[[#This Row],[Gateway]], CHAR(10), " ")</f>
        <v xml:space="preserve">AWB No. Gateway Port Gateway EGM No. Gateway EGM Date Gateway Site ID Error Code N.A.  INPAV1  134667  2017-09-07 00:00:00.0  INMAA1  MC </v>
      </c>
      <c r="Q361" t="s">
        <v>526</v>
      </c>
    </row>
    <row r="362" spans="1:17" x14ac:dyDescent="0.35">
      <c r="A362" t="s">
        <v>8</v>
      </c>
      <c r="B362">
        <v>7759192</v>
      </c>
      <c r="C362" s="2" t="s">
        <v>120</v>
      </c>
      <c r="D362" s="2" t="str">
        <f>LEFT(TRIM(MID(SUBSTITUTE(tblShipments4[[#This Row],[Details]],CHAR(10)," "), FIND(CHAR(10),tblShipments4[[#This Row],[Details]])+1, 50)), 10)</f>
        <v>0598005498</v>
      </c>
      <c r="E362" t="s">
        <v>121</v>
      </c>
      <c r="F36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2" t="str">
        <f>IF(tblShipments4[[#This Row],[EGM no]]="", "Missing EGM", "EGM Submitted")</f>
        <v>EGM Submitted</v>
      </c>
      <c r="H362" t="str">
        <f>IF(OR(ISNUMBER(SEARCH("Released",tblShipments4[[#This Row],[ROSL]])),
      ISNUMBER(SEARCH("Scroll",tblShipments4[[#This Row],[ROSL]])),
      ISNUMBER(SEARCH("Y",tblShipments4[[#This Row],[ROSL]]))),
   "Released",
   "Not Released")</f>
        <v>Released</v>
      </c>
      <c r="I362" t="str">
        <f>IF(OR(tblShipments4[[#This Row],[EGM no]]="", tblShipments4[[#This Row],[EGM no]]="N.A."), "Not Submitted", "Submitted")</f>
        <v>Submitted</v>
      </c>
      <c r="J362" t="str">
        <f>IF(LEFT(tblShipments4[[#This Row],[Gateway_Extracted]],2)="IN","Valid","Invalid")</f>
        <v>Valid</v>
      </c>
      <c r="K362" t="s">
        <v>122</v>
      </c>
      <c r="L362" t="s">
        <v>123</v>
      </c>
      <c r="M362" t="s">
        <v>13</v>
      </c>
      <c r="N362" t="s">
        <v>124</v>
      </c>
      <c r="O362" t="str">
        <f>IFERROR("IN" &amp; _xlfn.TEXTBEFORE(_xlfn.TEXTAFTER(UPPER(tblShipments4[[#This Row],[Gateway_clean]]),"IN")," ",1),"")</f>
        <v>INPAV1</v>
      </c>
      <c r="P362" t="str">
        <f>SUBSTITUTE(tblShipments4[[#This Row],[Gateway]], CHAR(10), " ")</f>
        <v xml:space="preserve">AWB No. Gateway Port Gateway EGM No. Gateway EGM Date Gateway Site ID Error Code N.A.  INPAV1  132210  2017-07-26 00:00:00.0  INPAV1  S </v>
      </c>
      <c r="Q362" t="s">
        <v>125</v>
      </c>
    </row>
    <row r="363" spans="1:17" x14ac:dyDescent="0.35">
      <c r="A363" t="s">
        <v>8</v>
      </c>
      <c r="B363">
        <v>7945866</v>
      </c>
      <c r="C363" s="2" t="s">
        <v>239</v>
      </c>
      <c r="D363" s="2" t="str">
        <f>LEFT(TRIM(MID(SUBSTITUTE(tblShipments4[[#This Row],[Details]],CHAR(10)," "), FIND(CHAR(10),tblShipments4[[#This Row],[Details]])+1, 50)), 10)</f>
        <v>0598045783</v>
      </c>
      <c r="E363" t="s">
        <v>252</v>
      </c>
      <c r="F36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3" t="str">
        <f>IF(tblShipments4[[#This Row],[EGM no]]="", "Missing EGM", "EGM Submitted")</f>
        <v>EGM Submitted</v>
      </c>
      <c r="H363" t="str">
        <f>IF(OR(ISNUMBER(SEARCH("Released",tblShipments4[[#This Row],[ROSL]])),
      ISNUMBER(SEARCH("Scroll",tblShipments4[[#This Row],[ROSL]])),
      ISNUMBER(SEARCH("Y",tblShipments4[[#This Row],[ROSL]]))),
   "Released",
   "Not Released")</f>
        <v>Released</v>
      </c>
      <c r="I363" t="str">
        <f>IF(OR(tblShipments4[[#This Row],[EGM no]]="", tblShipments4[[#This Row],[EGM no]]="N.A."), "Not Submitted", "Submitted")</f>
        <v>Submitted</v>
      </c>
      <c r="J363" t="str">
        <f>IF(LEFT(tblShipments4[[#This Row],[Gateway_Extracted]],2)="IN","Valid","Invalid")</f>
        <v>Valid</v>
      </c>
      <c r="K363" t="s">
        <v>253</v>
      </c>
      <c r="L363" t="s">
        <v>184</v>
      </c>
      <c r="M363" t="s">
        <v>31</v>
      </c>
      <c r="N363" t="s">
        <v>254</v>
      </c>
      <c r="O363" t="str">
        <f>IFERROR("IN" &amp; _xlfn.TEXTBEFORE(_xlfn.TEXTAFTER(UPPER(tblShipments4[[#This Row],[Gateway_clean]]),"IN")," ",1),"")</f>
        <v>INPAV1</v>
      </c>
      <c r="P363" t="str">
        <f>SUBSTITUTE(tblShipments4[[#This Row],[Gateway]], CHAR(10), " ")</f>
        <v xml:space="preserve">AWB No. Gateway Port Gateway EGM No. Gateway EGM Date Gateway Site ID Error Code N.A.  INPAV1  133808  2017-08-24 00:00:00.0  INPAV1  S </v>
      </c>
      <c r="Q363" t="s">
        <v>186</v>
      </c>
    </row>
    <row r="364" spans="1:17" x14ac:dyDescent="0.35">
      <c r="A364" t="s">
        <v>8</v>
      </c>
      <c r="B364">
        <v>8338701</v>
      </c>
      <c r="C364" s="2" t="s">
        <v>498</v>
      </c>
      <c r="D364" s="2" t="str">
        <f>LEFT(TRIM(MID(SUBSTITUTE(tblShipments4[[#This Row],[Details]],CHAR(10)," "), FIND(CHAR(10),tblShipments4[[#This Row],[Details]])+1, 50)), 10)</f>
        <v>1308012381</v>
      </c>
      <c r="E364" t="s">
        <v>513</v>
      </c>
      <c r="F36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4" t="str">
        <f>IF(tblShipments4[[#This Row],[EGM no]]="", "Missing EGM", "EGM Submitted")</f>
        <v>EGM Submitted</v>
      </c>
      <c r="H364" t="str">
        <f>IF(OR(ISNUMBER(SEARCH("Released",tblShipments4[[#This Row],[ROSL]])),
      ISNUMBER(SEARCH("Scroll",tblShipments4[[#This Row],[ROSL]])),
      ISNUMBER(SEARCH("Y",tblShipments4[[#This Row],[ROSL]]))),
   "Released",
   "Not Released")</f>
        <v>Released</v>
      </c>
      <c r="I364" t="str">
        <f>IF(OR(tblShipments4[[#This Row],[EGM no]]="", tblShipments4[[#This Row],[EGM no]]="N.A."), "Not Submitted", "Submitted")</f>
        <v>Submitted</v>
      </c>
      <c r="J364" t="str">
        <f>IF(LEFT(tblShipments4[[#This Row],[Gateway_Extracted]],2)="IN","Valid","Invalid")</f>
        <v>Valid</v>
      </c>
      <c r="K364" t="s">
        <v>382</v>
      </c>
      <c r="L364" t="s">
        <v>514</v>
      </c>
      <c r="M364" t="s">
        <v>13</v>
      </c>
      <c r="N364" t="s">
        <v>515</v>
      </c>
      <c r="O364" t="str">
        <f>IFERROR("IN" &amp; _xlfn.TEXTBEFORE(_xlfn.TEXTAFTER(UPPER(tblShipments4[[#This Row],[Gateway_clean]]),"IN")," ",1),"")</f>
        <v>INPAV1</v>
      </c>
      <c r="P364" t="str">
        <f>SUBSTITUTE(tblShipments4[[#This Row],[Gateway]], CHAR(10), " ")</f>
        <v xml:space="preserve">AWB No. Gateway Port Gateway EGM No. Gateway EGM Date Gateway Site ID Error Code N.A.  INPAV1  134495  2017-09-04 00:00:00.0  INPAV1  S </v>
      </c>
      <c r="Q364" t="s">
        <v>516</v>
      </c>
    </row>
    <row r="365" spans="1:17" x14ac:dyDescent="0.35">
      <c r="A365" t="s">
        <v>8</v>
      </c>
      <c r="B365">
        <v>1247813</v>
      </c>
      <c r="C365" s="2" t="s">
        <v>1336</v>
      </c>
      <c r="D365" s="2" t="str">
        <f>LEFT(TRIM(MID(SUBSTITUTE(tblShipments4[[#This Row],[Details]],CHAR(10)," "), FIND(CHAR(10),tblShipments4[[#This Row],[Details]])+1, 50)), 10)</f>
        <v>3003005391</v>
      </c>
      <c r="E365" t="s">
        <v>1342</v>
      </c>
      <c r="F36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5" t="str">
        <f>IF(tblShipments4[[#This Row],[EGM no]]="", "Missing EGM", "EGM Submitted")</f>
        <v>EGM Submitted</v>
      </c>
      <c r="H365" t="str">
        <f>IF(OR(ISNUMBER(SEARCH("Released",tblShipments4[[#This Row],[ROSL]])),
      ISNUMBER(SEARCH("Scroll",tblShipments4[[#This Row],[ROSL]])),
      ISNUMBER(SEARCH("Y",tblShipments4[[#This Row],[ROSL]]))),
   "Released",
   "Not Released")</f>
        <v>Released</v>
      </c>
      <c r="I365" t="str">
        <f>IF(OR(tblShipments4[[#This Row],[EGM no]]="", tblShipments4[[#This Row],[EGM no]]="N.A."), "Not Submitted", "Submitted")</f>
        <v>Submitted</v>
      </c>
      <c r="J365" t="str">
        <f>IF(LEFT(tblShipments4[[#This Row],[Gateway_Extracted]],2)="IN","Valid","Invalid")</f>
        <v>Valid</v>
      </c>
      <c r="K365" t="s">
        <v>1343</v>
      </c>
      <c r="L365" t="s">
        <v>1344</v>
      </c>
      <c r="M365" t="s">
        <v>13</v>
      </c>
      <c r="N365" t="s">
        <v>1345</v>
      </c>
      <c r="O365" t="str">
        <f>IFERROR("IN" &amp; _xlfn.TEXTBEFORE(_xlfn.TEXTAFTER(UPPER(tblShipments4[[#This Row],[Gateway_clean]]),"IN")," ",1),"")</f>
        <v>INPAV1</v>
      </c>
      <c r="P365" t="str">
        <f>SUBSTITUTE(tblShipments4[[#This Row],[Gateway]], CHAR(10), " ")</f>
        <v xml:space="preserve">AWB No. Gateway Port Gateway EGM No. Gateway EGM Date Gateway Site ID Error Code N.A.  INPAV1  139653  2017-11-28 00:00:00.0  INPAV1  S </v>
      </c>
      <c r="Q365" t="s">
        <v>1346</v>
      </c>
    </row>
    <row r="366" spans="1:17" x14ac:dyDescent="0.35">
      <c r="A366" t="s">
        <v>8</v>
      </c>
      <c r="B366">
        <v>1046425</v>
      </c>
      <c r="C366" s="2" t="s">
        <v>1234</v>
      </c>
      <c r="D366" s="2" t="str">
        <f>LEFT(TRIM(MID(SUBSTITUTE(tblShipments4[[#This Row],[Details]],CHAR(10)," "), FIND(CHAR(10),tblShipments4[[#This Row],[Details]])+1, 50)), 10)</f>
        <v>3091000621</v>
      </c>
      <c r="E366" t="s">
        <v>1245</v>
      </c>
      <c r="F36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6" t="str">
        <f>IF(tblShipments4[[#This Row],[EGM no]]="", "Missing EGM", "EGM Submitted")</f>
        <v>EGM Submitted</v>
      </c>
      <c r="H366" t="str">
        <f>IF(OR(ISNUMBER(SEARCH("Released",tblShipments4[[#This Row],[ROSL]])),
      ISNUMBER(SEARCH("Scroll",tblShipments4[[#This Row],[ROSL]])),
      ISNUMBER(SEARCH("Y",tblShipments4[[#This Row],[ROSL]]))),
   "Released",
   "Not Released")</f>
        <v>Released</v>
      </c>
      <c r="I366" t="str">
        <f>IF(OR(tblShipments4[[#This Row],[EGM no]]="", tblShipments4[[#This Row],[EGM no]]="N.A."), "Not Submitted", "Submitted")</f>
        <v>Submitted</v>
      </c>
      <c r="J366" t="str">
        <f>IF(LEFT(tblShipments4[[#This Row],[Gateway_Extracted]],2)="IN","Valid","Invalid")</f>
        <v>Valid</v>
      </c>
      <c r="K366" t="s">
        <v>1246</v>
      </c>
      <c r="L366" t="s">
        <v>1247</v>
      </c>
      <c r="M366" t="s">
        <v>1248</v>
      </c>
      <c r="N366" t="s">
        <v>1249</v>
      </c>
      <c r="O366" t="str">
        <f>IFERROR("IN" &amp; _xlfn.TEXTBEFORE(_xlfn.TEXTAFTER(UPPER(tblShipments4[[#This Row],[Gateway_clean]]),"IN")," ",1),"")</f>
        <v>INPAV1</v>
      </c>
      <c r="P366" t="str">
        <f>SUBSTITUTE(tblShipments4[[#This Row],[Gateway]], CHAR(10), " ")</f>
        <v xml:space="preserve">AWB No. Gateway Port Gateway EGM No. Gateway EGM Date Gateway Site ID Error Code N.A.  INPAV1  137999  2017-11-01 00:00:00.0  INPAV1  S </v>
      </c>
      <c r="Q366" t="s">
        <v>1250</v>
      </c>
    </row>
    <row r="367" spans="1:17" x14ac:dyDescent="0.35">
      <c r="A367" t="s">
        <v>8</v>
      </c>
      <c r="B367">
        <v>8439422</v>
      </c>
      <c r="C367" s="2" t="s">
        <v>565</v>
      </c>
      <c r="D367" s="2" t="str">
        <f>LEFT(TRIM(MID(SUBSTITUTE(tblShipments4[[#This Row],[Details]],CHAR(10)," "), FIND(CHAR(10),tblShipments4[[#This Row],[Details]])+1, 50)), 10)</f>
        <v>AABCZ1026D</v>
      </c>
      <c r="E367" t="s">
        <v>586</v>
      </c>
      <c r="F36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7" t="str">
        <f>IF(tblShipments4[[#This Row],[EGM no]]="", "Missing EGM", "EGM Submitted")</f>
        <v>EGM Submitted</v>
      </c>
      <c r="H367" t="str">
        <f>IF(OR(ISNUMBER(SEARCH("Released",tblShipments4[[#This Row],[ROSL]])),
      ISNUMBER(SEARCH("Scroll",tblShipments4[[#This Row],[ROSL]])),
      ISNUMBER(SEARCH("Y",tblShipments4[[#This Row],[ROSL]]))),
   "Released",
   "Not Released")</f>
        <v>Released</v>
      </c>
      <c r="I367" t="str">
        <f>IF(OR(tblShipments4[[#This Row],[EGM no]]="", tblShipments4[[#This Row],[EGM no]]="N.A."), "Not Submitted", "Submitted")</f>
        <v>Submitted</v>
      </c>
      <c r="J367" t="str">
        <f>IF(LEFT(tblShipments4[[#This Row],[Gateway_Extracted]],2)="IN","Valid","Invalid")</f>
        <v>Valid</v>
      </c>
      <c r="K367" t="s">
        <v>523</v>
      </c>
      <c r="L367" t="s">
        <v>587</v>
      </c>
      <c r="M367" t="s">
        <v>588</v>
      </c>
      <c r="N367" t="s">
        <v>589</v>
      </c>
      <c r="O367" t="str">
        <f>IFERROR("IN" &amp; _xlfn.TEXTBEFORE(_xlfn.TEXTAFTER(UPPER(tblShipments4[[#This Row],[Gateway_clean]]),"IN")," ",1),"")</f>
        <v>INPAV1</v>
      </c>
      <c r="P367" t="str">
        <f>SUBSTITUTE(tblShipments4[[#This Row],[Gateway]], CHAR(10), " ")</f>
        <v xml:space="preserve">AWB No. Gateway Port Gateway EGM No. Gateway EGM Date Gateway Site ID Error Code N.A.  INPAV1  134057  2017-08-28 00:00:00.0  INPAV1  S </v>
      </c>
      <c r="Q367" t="s">
        <v>583</v>
      </c>
    </row>
    <row r="368" spans="1:17" x14ac:dyDescent="0.35">
      <c r="A368" t="s">
        <v>8</v>
      </c>
      <c r="B368">
        <v>8608445</v>
      </c>
      <c r="C368" s="2" t="s">
        <v>681</v>
      </c>
      <c r="D368" s="2" t="str">
        <f>LEFT(TRIM(MID(SUBSTITUTE(tblShipments4[[#This Row],[Details]],CHAR(10)," "), FIND(CHAR(10),tblShipments4[[#This Row],[Details]])+1, 50)), 10)</f>
        <v>AAECE6932C</v>
      </c>
      <c r="E368" t="s">
        <v>707</v>
      </c>
      <c r="F36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8" t="str">
        <f>IF(tblShipments4[[#This Row],[EGM no]]="", "Missing EGM", "EGM Submitted")</f>
        <v>EGM Submitted</v>
      </c>
      <c r="H368" t="str">
        <f>IF(OR(ISNUMBER(SEARCH("Released",tblShipments4[[#This Row],[ROSL]])),
      ISNUMBER(SEARCH("Scroll",tblShipments4[[#This Row],[ROSL]])),
      ISNUMBER(SEARCH("Y",tblShipments4[[#This Row],[ROSL]]))),
   "Released",
   "Not Released")</f>
        <v>Released</v>
      </c>
      <c r="I368" t="str">
        <f>IF(OR(tblShipments4[[#This Row],[EGM no]]="", tblShipments4[[#This Row],[EGM no]]="N.A."), "Not Submitted", "Submitted")</f>
        <v>Submitted</v>
      </c>
      <c r="J368" t="str">
        <f>IF(LEFT(tblShipments4[[#This Row],[Gateway_Extracted]],2)="IN","Valid","Invalid")</f>
        <v>Valid</v>
      </c>
      <c r="K368" t="s">
        <v>664</v>
      </c>
      <c r="L368" t="s">
        <v>708</v>
      </c>
      <c r="M368" t="s">
        <v>709</v>
      </c>
      <c r="N368" t="s">
        <v>710</v>
      </c>
      <c r="O368" t="str">
        <f>IFERROR("IN" &amp; _xlfn.TEXTBEFORE(_xlfn.TEXTAFTER(UPPER(tblShipments4[[#This Row],[Gateway_clean]]),"IN")," ",1),"")</f>
        <v>INPAV1</v>
      </c>
      <c r="P368" t="str">
        <f>SUBSTITUTE(tblShipments4[[#This Row],[Gateway]], CHAR(10), " ")</f>
        <v xml:space="preserve">AWB No. Gateway Port Gateway EGM No. Gateway EGM Date Gateway Site ID Error Code N.A.  INPAV1  134063  2017-08-28 00:00:00.0  INPAV1  S </v>
      </c>
      <c r="Q368" t="s">
        <v>706</v>
      </c>
    </row>
    <row r="369" spans="1:17" x14ac:dyDescent="0.35">
      <c r="A369" t="s">
        <v>8</v>
      </c>
      <c r="B369">
        <v>8608463</v>
      </c>
      <c r="C369" s="2" t="s">
        <v>681</v>
      </c>
      <c r="D369" s="2" t="str">
        <f>LEFT(TRIM(MID(SUBSTITUTE(tblShipments4[[#This Row],[Details]],CHAR(10)," "), FIND(CHAR(10),tblShipments4[[#This Row],[Details]])+1, 50)), 10)</f>
        <v>AAECE6932C</v>
      </c>
      <c r="E369" t="s">
        <v>712</v>
      </c>
      <c r="F36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69" t="str">
        <f>IF(tblShipments4[[#This Row],[EGM no]]="", "Missing EGM", "EGM Submitted")</f>
        <v>EGM Submitted</v>
      </c>
      <c r="H369" t="str">
        <f>IF(OR(ISNUMBER(SEARCH("Released",tblShipments4[[#This Row],[ROSL]])),
      ISNUMBER(SEARCH("Scroll",tblShipments4[[#This Row],[ROSL]])),
      ISNUMBER(SEARCH("Y",tblShipments4[[#This Row],[ROSL]]))),
   "Released",
   "Not Released")</f>
        <v>Released</v>
      </c>
      <c r="I369" t="str">
        <f>IF(OR(tblShipments4[[#This Row],[EGM no]]="", tblShipments4[[#This Row],[EGM no]]="N.A."), "Not Submitted", "Submitted")</f>
        <v>Submitted</v>
      </c>
      <c r="J369" t="str">
        <f>IF(LEFT(tblShipments4[[#This Row],[Gateway_Extracted]],2)="IN","Valid","Invalid")</f>
        <v>Valid</v>
      </c>
      <c r="K369" t="s">
        <v>664</v>
      </c>
      <c r="L369" t="s">
        <v>708</v>
      </c>
      <c r="M369" t="s">
        <v>709</v>
      </c>
      <c r="N369" t="s">
        <v>710</v>
      </c>
      <c r="O369" t="str">
        <f>IFERROR("IN" &amp; _xlfn.TEXTBEFORE(_xlfn.TEXTAFTER(UPPER(tblShipments4[[#This Row],[Gateway_clean]]),"IN")," ",1),"")</f>
        <v>INPAV1</v>
      </c>
      <c r="P369" t="str">
        <f>SUBSTITUTE(tblShipments4[[#This Row],[Gateway]], CHAR(10), " ")</f>
        <v xml:space="preserve">AWB No. Gateway Port Gateway EGM No. Gateway EGM Date Gateway Site ID Error Code N.A.  INPAV1  134063  2017-08-28 00:00:00.0  INPAV1  S </v>
      </c>
      <c r="Q369" t="s">
        <v>706</v>
      </c>
    </row>
    <row r="370" spans="1:17" x14ac:dyDescent="0.35">
      <c r="A370" t="s">
        <v>8</v>
      </c>
      <c r="B370">
        <v>8608392</v>
      </c>
      <c r="C370" s="2" t="s">
        <v>681</v>
      </c>
      <c r="D370" s="2" t="str">
        <f>LEFT(TRIM(MID(SUBSTITUTE(tblShipments4[[#This Row],[Details]],CHAR(10)," "), FIND(CHAR(10),tblShipments4[[#This Row],[Details]])+1, 50)), 10)</f>
        <v>AAECE6932C</v>
      </c>
      <c r="E370" t="s">
        <v>702</v>
      </c>
      <c r="F37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0" t="str">
        <f>IF(tblShipments4[[#This Row],[EGM no]]="", "Missing EGM", "EGM Submitted")</f>
        <v>EGM Submitted</v>
      </c>
      <c r="H370" t="str">
        <f>IF(OR(ISNUMBER(SEARCH("Released",tblShipments4[[#This Row],[ROSL]])),
      ISNUMBER(SEARCH("Scroll",tblShipments4[[#This Row],[ROSL]])),
      ISNUMBER(SEARCH("Y",tblShipments4[[#This Row],[ROSL]]))),
   "Released",
   "Not Released")</f>
        <v>Released</v>
      </c>
      <c r="I370" t="str">
        <f>IF(OR(tblShipments4[[#This Row],[EGM no]]="", tblShipments4[[#This Row],[EGM no]]="N.A."), "Not Submitted", "Submitted")</f>
        <v>Submitted</v>
      </c>
      <c r="J370" t="str">
        <f>IF(LEFT(tblShipments4[[#This Row],[Gateway_Extracted]],2)="IN","Valid","Invalid")</f>
        <v>Valid</v>
      </c>
      <c r="K370" t="s">
        <v>664</v>
      </c>
      <c r="L370" t="s">
        <v>703</v>
      </c>
      <c r="M370" t="s">
        <v>704</v>
      </c>
      <c r="N370" t="s">
        <v>705</v>
      </c>
      <c r="O370" t="str">
        <f>IFERROR("IN" &amp; _xlfn.TEXTBEFORE(_xlfn.TEXTAFTER(UPPER(tblShipments4[[#This Row],[Gateway_clean]]),"IN")," ",1),"")</f>
        <v>INPAV1</v>
      </c>
      <c r="P370" t="str">
        <f>SUBSTITUTE(tblShipments4[[#This Row],[Gateway]], CHAR(10), " ")</f>
        <v xml:space="preserve">AWB No. Gateway Port Gateway EGM No. Gateway EGM Date Gateway Site ID Error Code N.A.  INPAV1  134063  2017-08-28 00:00:00.0  INPAV1  S </v>
      </c>
      <c r="Q370" t="s">
        <v>706</v>
      </c>
    </row>
    <row r="371" spans="1:17" x14ac:dyDescent="0.35">
      <c r="A371" t="s">
        <v>8</v>
      </c>
      <c r="B371">
        <v>8608455</v>
      </c>
      <c r="C371" s="2" t="s">
        <v>681</v>
      </c>
      <c r="D371" s="2" t="str">
        <f>LEFT(TRIM(MID(SUBSTITUTE(tblShipments4[[#This Row],[Details]],CHAR(10)," "), FIND(CHAR(10),tblShipments4[[#This Row],[Details]])+1, 50)), 10)</f>
        <v>AAECE6932C</v>
      </c>
      <c r="E371" t="s">
        <v>711</v>
      </c>
      <c r="F371"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1" t="str">
        <f>IF(tblShipments4[[#This Row],[EGM no]]="", "Missing EGM", "EGM Submitted")</f>
        <v>EGM Submitted</v>
      </c>
      <c r="H371" t="str">
        <f>IF(OR(ISNUMBER(SEARCH("Released",tblShipments4[[#This Row],[ROSL]])),
      ISNUMBER(SEARCH("Scroll",tblShipments4[[#This Row],[ROSL]])),
      ISNUMBER(SEARCH("Y",tblShipments4[[#This Row],[ROSL]]))),
   "Released",
   "Not Released")</f>
        <v>Released</v>
      </c>
      <c r="I371" t="str">
        <f>IF(OR(tblShipments4[[#This Row],[EGM no]]="", tblShipments4[[#This Row],[EGM no]]="N.A."), "Not Submitted", "Submitted")</f>
        <v>Submitted</v>
      </c>
      <c r="J371" t="str">
        <f>IF(LEFT(tblShipments4[[#This Row],[Gateway_Extracted]],2)="IN","Valid","Invalid")</f>
        <v>Valid</v>
      </c>
      <c r="K371" t="s">
        <v>664</v>
      </c>
      <c r="L371" t="s">
        <v>703</v>
      </c>
      <c r="M371" t="s">
        <v>704</v>
      </c>
      <c r="N371" t="s">
        <v>705</v>
      </c>
      <c r="O371" t="str">
        <f>IFERROR("IN" &amp; _xlfn.TEXTBEFORE(_xlfn.TEXTAFTER(UPPER(tblShipments4[[#This Row],[Gateway_clean]]),"IN")," ",1),"")</f>
        <v>INPAV1</v>
      </c>
      <c r="P371" t="str">
        <f>SUBSTITUTE(tblShipments4[[#This Row],[Gateway]], CHAR(10), " ")</f>
        <v xml:space="preserve">AWB No. Gateway Port Gateway EGM No. Gateway EGM Date Gateway Site ID Error Code N.A.  INPAV1  134063  2017-08-28 00:00:00.0  INPAV1  S </v>
      </c>
      <c r="Q371" t="s">
        <v>706</v>
      </c>
    </row>
    <row r="372" spans="1:17" x14ac:dyDescent="0.35">
      <c r="A372" t="s">
        <v>8</v>
      </c>
      <c r="B372">
        <v>8608521</v>
      </c>
      <c r="C372" s="2" t="s">
        <v>681</v>
      </c>
      <c r="D372" s="2" t="str">
        <f>LEFT(TRIM(MID(SUBSTITUTE(tblShipments4[[#This Row],[Details]],CHAR(10)," "), FIND(CHAR(10),tblShipments4[[#This Row],[Details]])+1, 50)), 10)</f>
        <v>AAECE6932C</v>
      </c>
      <c r="E372" t="s">
        <v>713</v>
      </c>
      <c r="F372"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2" t="str">
        <f>IF(tblShipments4[[#This Row],[EGM no]]="", "Missing EGM", "EGM Submitted")</f>
        <v>EGM Submitted</v>
      </c>
      <c r="H372" t="str">
        <f>IF(OR(ISNUMBER(SEARCH("Released",tblShipments4[[#This Row],[ROSL]])),
      ISNUMBER(SEARCH("Scroll",tblShipments4[[#This Row],[ROSL]])),
      ISNUMBER(SEARCH("Y",tblShipments4[[#This Row],[ROSL]]))),
   "Released",
   "Not Released")</f>
        <v>Released</v>
      </c>
      <c r="I372" t="str">
        <f>IF(OR(tblShipments4[[#This Row],[EGM no]]="", tblShipments4[[#This Row],[EGM no]]="N.A."), "Not Submitted", "Submitted")</f>
        <v>Submitted</v>
      </c>
      <c r="J372" t="str">
        <f>IF(LEFT(tblShipments4[[#This Row],[Gateway_Extracted]],2)="IN","Valid","Invalid")</f>
        <v>Valid</v>
      </c>
      <c r="K372" t="s">
        <v>664</v>
      </c>
      <c r="L372" t="s">
        <v>708</v>
      </c>
      <c r="M372" t="s">
        <v>704</v>
      </c>
      <c r="N372" t="s">
        <v>705</v>
      </c>
      <c r="O372" t="str">
        <f>IFERROR("IN" &amp; _xlfn.TEXTBEFORE(_xlfn.TEXTAFTER(UPPER(tblShipments4[[#This Row],[Gateway_clean]]),"IN")," ",1),"")</f>
        <v>INPAV1</v>
      </c>
      <c r="P372" t="str">
        <f>SUBSTITUTE(tblShipments4[[#This Row],[Gateway]], CHAR(10), " ")</f>
        <v xml:space="preserve">AWB No. Gateway Port Gateway EGM No. Gateway EGM Date Gateway Site ID Error Code N.A.  INPAV1  134063  2017-08-28 00:00:00.0  INPAV1  S </v>
      </c>
      <c r="Q372" t="s">
        <v>706</v>
      </c>
    </row>
    <row r="373" spans="1:17" x14ac:dyDescent="0.35">
      <c r="A373" t="s">
        <v>8</v>
      </c>
      <c r="B373">
        <v>8239122</v>
      </c>
      <c r="C373" s="2" t="s">
        <v>442</v>
      </c>
      <c r="D373" s="2" t="str">
        <f>LEFT(TRIM(MID(SUBSTITUTE(tblShipments4[[#This Row],[Details]],CHAR(10)," "), FIND(CHAR(10),tblShipments4[[#This Row],[Details]])+1, 50)), 10)</f>
        <v>AAHCC0755A</v>
      </c>
      <c r="E373" t="s">
        <v>452</v>
      </c>
      <c r="F373"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3" t="str">
        <f>IF(tblShipments4[[#This Row],[EGM no]]="", "Missing EGM", "EGM Submitted")</f>
        <v>EGM Submitted</v>
      </c>
      <c r="H373" t="str">
        <f>IF(OR(ISNUMBER(SEARCH("Released",tblShipments4[[#This Row],[ROSL]])),
      ISNUMBER(SEARCH("Scroll",tblShipments4[[#This Row],[ROSL]])),
      ISNUMBER(SEARCH("Y",tblShipments4[[#This Row],[ROSL]]))),
   "Released",
   "Not Released")</f>
        <v>Released</v>
      </c>
      <c r="I373" t="str">
        <f>IF(OR(tblShipments4[[#This Row],[EGM no]]="", tblShipments4[[#This Row],[EGM no]]="N.A."), "Not Submitted", "Submitted")</f>
        <v>Submitted</v>
      </c>
      <c r="J373" t="str">
        <f>IF(LEFT(tblShipments4[[#This Row],[Gateway_Extracted]],2)="IN","Valid","Invalid")</f>
        <v>Valid</v>
      </c>
      <c r="K373" t="s">
        <v>352</v>
      </c>
      <c r="L373" t="s">
        <v>453</v>
      </c>
      <c r="M373" t="s">
        <v>454</v>
      </c>
      <c r="N373" t="s">
        <v>455</v>
      </c>
      <c r="O373" t="str">
        <f>IFERROR("IN" &amp; _xlfn.TEXTBEFORE(_xlfn.TEXTAFTER(UPPER(tblShipments4[[#This Row],[Gateway_clean]]),"IN")," ",1),"")</f>
        <v>INPAV1</v>
      </c>
      <c r="P373" t="str">
        <f>SUBSTITUTE(tblShipments4[[#This Row],[Gateway]], CHAR(10), " ")</f>
        <v xml:space="preserve">AWB No. Gateway Port Gateway EGM No. Gateway EGM Date Gateway Site ID Error Code N.A.  INPAV1  132218  2017-07-26 00:00:00.0  INPAV1  S </v>
      </c>
      <c r="Q373" t="s">
        <v>456</v>
      </c>
    </row>
    <row r="374" spans="1:17" x14ac:dyDescent="0.35">
      <c r="A374" t="s">
        <v>8</v>
      </c>
      <c r="B374">
        <v>8239128</v>
      </c>
      <c r="C374" s="2" t="s">
        <v>442</v>
      </c>
      <c r="D374" s="2" t="str">
        <f>LEFT(TRIM(MID(SUBSTITUTE(tblShipments4[[#This Row],[Details]],CHAR(10)," "), FIND(CHAR(10),tblShipments4[[#This Row],[Details]])+1, 50)), 10)</f>
        <v>AAHCC0755A</v>
      </c>
      <c r="E374" t="s">
        <v>457</v>
      </c>
      <c r="F374"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4" t="str">
        <f>IF(tblShipments4[[#This Row],[EGM no]]="", "Missing EGM", "EGM Submitted")</f>
        <v>EGM Submitted</v>
      </c>
      <c r="H374" t="str">
        <f>IF(OR(ISNUMBER(SEARCH("Released",tblShipments4[[#This Row],[ROSL]])),
      ISNUMBER(SEARCH("Scroll",tblShipments4[[#This Row],[ROSL]])),
      ISNUMBER(SEARCH("Y",tblShipments4[[#This Row],[ROSL]]))),
   "Released",
   "Not Released")</f>
        <v>Released</v>
      </c>
      <c r="I374" t="str">
        <f>IF(OR(tblShipments4[[#This Row],[EGM no]]="", tblShipments4[[#This Row],[EGM no]]="N.A."), "Not Submitted", "Submitted")</f>
        <v>Submitted</v>
      </c>
      <c r="J374" t="str">
        <f>IF(LEFT(tblShipments4[[#This Row],[Gateway_Extracted]],2)="IN","Valid","Invalid")</f>
        <v>Valid</v>
      </c>
      <c r="K374" t="s">
        <v>352</v>
      </c>
      <c r="L374" t="s">
        <v>453</v>
      </c>
      <c r="M374" t="s">
        <v>454</v>
      </c>
      <c r="N374" t="s">
        <v>455</v>
      </c>
      <c r="O374" t="str">
        <f>IFERROR("IN" &amp; _xlfn.TEXTBEFORE(_xlfn.TEXTAFTER(UPPER(tblShipments4[[#This Row],[Gateway_clean]]),"IN")," ",1),"")</f>
        <v>INPAV1</v>
      </c>
      <c r="P374" t="str">
        <f>SUBSTITUTE(tblShipments4[[#This Row],[Gateway]], CHAR(10), " ")</f>
        <v xml:space="preserve">AWB No. Gateway Port Gateway EGM No. Gateway EGM Date Gateway Site ID Error Code N.A.  INPAV1  132218  2017-07-26 00:00:00.0  INPAV1  S </v>
      </c>
      <c r="Q374" t="s">
        <v>456</v>
      </c>
    </row>
    <row r="375" spans="1:17" x14ac:dyDescent="0.35">
      <c r="A375" t="s">
        <v>8</v>
      </c>
      <c r="B375">
        <v>8239129</v>
      </c>
      <c r="C375" s="2" t="s">
        <v>442</v>
      </c>
      <c r="D375" s="2" t="str">
        <f>LEFT(TRIM(MID(SUBSTITUTE(tblShipments4[[#This Row],[Details]],CHAR(10)," "), FIND(CHAR(10),tblShipments4[[#This Row],[Details]])+1, 50)), 10)</f>
        <v>AAHCC0755A</v>
      </c>
      <c r="E375" t="s">
        <v>458</v>
      </c>
      <c r="F375"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5" t="str">
        <f>IF(tblShipments4[[#This Row],[EGM no]]="", "Missing EGM", "EGM Submitted")</f>
        <v>EGM Submitted</v>
      </c>
      <c r="H375" t="str">
        <f>IF(OR(ISNUMBER(SEARCH("Released",tblShipments4[[#This Row],[ROSL]])),
      ISNUMBER(SEARCH("Scroll",tblShipments4[[#This Row],[ROSL]])),
      ISNUMBER(SEARCH("Y",tblShipments4[[#This Row],[ROSL]]))),
   "Released",
   "Not Released")</f>
        <v>Released</v>
      </c>
      <c r="I375" t="str">
        <f>IF(OR(tblShipments4[[#This Row],[EGM no]]="", tblShipments4[[#This Row],[EGM no]]="N.A."), "Not Submitted", "Submitted")</f>
        <v>Submitted</v>
      </c>
      <c r="J375" t="str">
        <f>IF(LEFT(tblShipments4[[#This Row],[Gateway_Extracted]],2)="IN","Valid","Invalid")</f>
        <v>Valid</v>
      </c>
      <c r="K375" t="s">
        <v>352</v>
      </c>
      <c r="L375" t="s">
        <v>453</v>
      </c>
      <c r="M375" t="s">
        <v>454</v>
      </c>
      <c r="N375" t="s">
        <v>455</v>
      </c>
      <c r="O375" t="str">
        <f>IFERROR("IN" &amp; _xlfn.TEXTBEFORE(_xlfn.TEXTAFTER(UPPER(tblShipments4[[#This Row],[Gateway_clean]]),"IN")," ",1),"")</f>
        <v>INPAV1</v>
      </c>
      <c r="P375" t="str">
        <f>SUBSTITUTE(tblShipments4[[#This Row],[Gateway]], CHAR(10), " ")</f>
        <v xml:space="preserve">AWB No. Gateway Port Gateway EGM No. Gateway EGM Date Gateway Site ID Error Code N.A.  INPAV1  132218  2017-07-26 00:00:00.0  INPAV1  S </v>
      </c>
      <c r="Q375" t="s">
        <v>456</v>
      </c>
    </row>
    <row r="376" spans="1:17" x14ac:dyDescent="0.35">
      <c r="A376" t="s">
        <v>8</v>
      </c>
      <c r="B376">
        <v>8241978</v>
      </c>
      <c r="C376" s="2" t="s">
        <v>442</v>
      </c>
      <c r="D376" s="2" t="str">
        <f>LEFT(TRIM(MID(SUBSTITUTE(tblShipments4[[#This Row],[Details]],CHAR(10)," "), FIND(CHAR(10),tblShipments4[[#This Row],[Details]])+1, 50)), 10)</f>
        <v>AAHCC0755A</v>
      </c>
      <c r="E376" t="s">
        <v>464</v>
      </c>
      <c r="F376"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6" t="str">
        <f>IF(tblShipments4[[#This Row],[EGM no]]="", "Missing EGM", "EGM Submitted")</f>
        <v>EGM Submitted</v>
      </c>
      <c r="H376" t="str">
        <f>IF(OR(ISNUMBER(SEARCH("Released",tblShipments4[[#This Row],[ROSL]])),
      ISNUMBER(SEARCH("Scroll",tblShipments4[[#This Row],[ROSL]])),
      ISNUMBER(SEARCH("Y",tblShipments4[[#This Row],[ROSL]]))),
   "Released",
   "Not Released")</f>
        <v>Released</v>
      </c>
      <c r="I376" t="str">
        <f>IF(OR(tblShipments4[[#This Row],[EGM no]]="", tblShipments4[[#This Row],[EGM no]]="N.A."), "Not Submitted", "Submitted")</f>
        <v>Submitted</v>
      </c>
      <c r="J376" t="str">
        <f>IF(LEFT(tblShipments4[[#This Row],[Gateway_Extracted]],2)="IN","Valid","Invalid")</f>
        <v>Valid</v>
      </c>
      <c r="K376" t="s">
        <v>427</v>
      </c>
      <c r="L376" t="s">
        <v>460</v>
      </c>
      <c r="M376" t="s">
        <v>465</v>
      </c>
      <c r="N376" t="s">
        <v>466</v>
      </c>
      <c r="O376" t="str">
        <f>IFERROR("IN" &amp; _xlfn.TEXTBEFORE(_xlfn.TEXTAFTER(UPPER(tblShipments4[[#This Row],[Gateway_clean]]),"IN")," ",1),"")</f>
        <v>INPAV1</v>
      </c>
      <c r="P376" t="str">
        <f>SUBSTITUTE(tblShipments4[[#This Row],[Gateway]], CHAR(10), " ")</f>
        <v xml:space="preserve">AWB No. Gateway Port Gateway EGM No. Gateway EGM Date Gateway Site ID Error Code N.A.  INPAV1  132218  2017-07-26 00:00:00.0  INPAV1  S </v>
      </c>
      <c r="Q376" t="s">
        <v>456</v>
      </c>
    </row>
    <row r="377" spans="1:17" x14ac:dyDescent="0.35">
      <c r="A377" t="s">
        <v>8</v>
      </c>
      <c r="B377">
        <v>8241970</v>
      </c>
      <c r="C377" s="2" t="s">
        <v>442</v>
      </c>
      <c r="D377" s="2" t="str">
        <f>LEFT(TRIM(MID(SUBSTITUTE(tblShipments4[[#This Row],[Details]],CHAR(10)," "), FIND(CHAR(10),tblShipments4[[#This Row],[Details]])+1, 50)), 10)</f>
        <v>AAHCC0755A</v>
      </c>
      <c r="E377" t="s">
        <v>459</v>
      </c>
      <c r="F377"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7" t="str">
        <f>IF(tblShipments4[[#This Row],[EGM no]]="", "Missing EGM", "EGM Submitted")</f>
        <v>EGM Submitted</v>
      </c>
      <c r="H377" t="str">
        <f>IF(OR(ISNUMBER(SEARCH("Released",tblShipments4[[#This Row],[ROSL]])),
      ISNUMBER(SEARCH("Scroll",tblShipments4[[#This Row],[ROSL]])),
      ISNUMBER(SEARCH("Y",tblShipments4[[#This Row],[ROSL]]))),
   "Released",
   "Not Released")</f>
        <v>Released</v>
      </c>
      <c r="I377" t="str">
        <f>IF(OR(tblShipments4[[#This Row],[EGM no]]="", tblShipments4[[#This Row],[EGM no]]="N.A."), "Not Submitted", "Submitted")</f>
        <v>Submitted</v>
      </c>
      <c r="J377" t="str">
        <f>IF(LEFT(tblShipments4[[#This Row],[Gateway_Extracted]],2)="IN","Valid","Invalid")</f>
        <v>Valid</v>
      </c>
      <c r="K377" t="s">
        <v>427</v>
      </c>
      <c r="L377" t="s">
        <v>460</v>
      </c>
      <c r="M377" t="s">
        <v>461</v>
      </c>
      <c r="N377" t="s">
        <v>462</v>
      </c>
      <c r="O377" t="str">
        <f>IFERROR("IN" &amp; _xlfn.TEXTBEFORE(_xlfn.TEXTAFTER(UPPER(tblShipments4[[#This Row],[Gateway_clean]]),"IN")," ",1),"")</f>
        <v>INPAV1</v>
      </c>
      <c r="P377" t="str">
        <f>SUBSTITUTE(tblShipments4[[#This Row],[Gateway]], CHAR(10), " ")</f>
        <v xml:space="preserve">AWB No. Gateway Port Gateway EGM No. Gateway EGM Date Gateway Site ID Error Code N.A.  INPAV1  132218  2017-07-26 00:00:00.0  INPAV1  S </v>
      </c>
      <c r="Q377" t="s">
        <v>456</v>
      </c>
    </row>
    <row r="378" spans="1:17" x14ac:dyDescent="0.35">
      <c r="A378" t="s">
        <v>8</v>
      </c>
      <c r="B378">
        <v>8241971</v>
      </c>
      <c r="C378" s="2" t="s">
        <v>442</v>
      </c>
      <c r="D378" s="2" t="str">
        <f>LEFT(TRIM(MID(SUBSTITUTE(tblShipments4[[#This Row],[Details]],CHAR(10)," "), FIND(CHAR(10),tblShipments4[[#This Row],[Details]])+1, 50)), 10)</f>
        <v>AAHCC0755A</v>
      </c>
      <c r="E378" t="s">
        <v>463</v>
      </c>
      <c r="F378"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8" t="str">
        <f>IF(tblShipments4[[#This Row],[EGM no]]="", "Missing EGM", "EGM Submitted")</f>
        <v>EGM Submitted</v>
      </c>
      <c r="H378" t="str">
        <f>IF(OR(ISNUMBER(SEARCH("Released",tblShipments4[[#This Row],[ROSL]])),
      ISNUMBER(SEARCH("Scroll",tblShipments4[[#This Row],[ROSL]])),
      ISNUMBER(SEARCH("Y",tblShipments4[[#This Row],[ROSL]]))),
   "Released",
   "Not Released")</f>
        <v>Released</v>
      </c>
      <c r="I378" t="str">
        <f>IF(OR(tblShipments4[[#This Row],[EGM no]]="", tblShipments4[[#This Row],[EGM no]]="N.A."), "Not Submitted", "Submitted")</f>
        <v>Submitted</v>
      </c>
      <c r="J378" t="str">
        <f>IF(LEFT(tblShipments4[[#This Row],[Gateway_Extracted]],2)="IN","Valid","Invalid")</f>
        <v>Valid</v>
      </c>
      <c r="K378" t="s">
        <v>427</v>
      </c>
      <c r="L378" t="s">
        <v>460</v>
      </c>
      <c r="M378" t="s">
        <v>461</v>
      </c>
      <c r="N378" t="s">
        <v>462</v>
      </c>
      <c r="O378" t="str">
        <f>IFERROR("IN" &amp; _xlfn.TEXTBEFORE(_xlfn.TEXTAFTER(UPPER(tblShipments4[[#This Row],[Gateway_clean]]),"IN")," ",1),"")</f>
        <v>INPAV1</v>
      </c>
      <c r="P378" t="str">
        <f>SUBSTITUTE(tblShipments4[[#This Row],[Gateway]], CHAR(10), " ")</f>
        <v xml:space="preserve">AWB No. Gateway Port Gateway EGM No. Gateway EGM Date Gateway Site ID Error Code N.A.  INPAV1  132218  2017-07-26 00:00:00.0  INPAV1  S </v>
      </c>
      <c r="Q378" t="s">
        <v>456</v>
      </c>
    </row>
    <row r="379" spans="1:17" x14ac:dyDescent="0.35">
      <c r="A379" t="s">
        <v>8</v>
      </c>
      <c r="B379">
        <v>8439375</v>
      </c>
      <c r="C379" s="2" t="s">
        <v>565</v>
      </c>
      <c r="D379" s="2" t="str">
        <f>LEFT(TRIM(MID(SUBSTITUTE(tblShipments4[[#This Row],[Details]],CHAR(10)," "), FIND(CHAR(10),tblShipments4[[#This Row],[Details]])+1, 50)), 10)</f>
        <v>AAHCC0755A</v>
      </c>
      <c r="E379" t="s">
        <v>579</v>
      </c>
      <c r="F379"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79" t="str">
        <f>IF(tblShipments4[[#This Row],[EGM no]]="", "Missing EGM", "EGM Submitted")</f>
        <v>EGM Submitted</v>
      </c>
      <c r="H379" t="str">
        <f>IF(OR(ISNUMBER(SEARCH("Released",tblShipments4[[#This Row],[ROSL]])),
      ISNUMBER(SEARCH("Scroll",tblShipments4[[#This Row],[ROSL]])),
      ISNUMBER(SEARCH("Y",tblShipments4[[#This Row],[ROSL]]))),
   "Released",
   "Not Released")</f>
        <v>Released</v>
      </c>
      <c r="I379" t="str">
        <f>IF(OR(tblShipments4[[#This Row],[EGM no]]="", tblShipments4[[#This Row],[EGM no]]="N.A."), "Not Submitted", "Submitted")</f>
        <v>Submitted</v>
      </c>
      <c r="J379" t="str">
        <f>IF(LEFT(tblShipments4[[#This Row],[Gateway_Extracted]],2)="IN","Valid","Invalid")</f>
        <v>Valid</v>
      </c>
      <c r="K379" t="s">
        <v>528</v>
      </c>
      <c r="L379" t="s">
        <v>580</v>
      </c>
      <c r="M379" t="s">
        <v>581</v>
      </c>
      <c r="N379" t="s">
        <v>582</v>
      </c>
      <c r="O379" t="str">
        <f>IFERROR("IN" &amp; _xlfn.TEXTBEFORE(_xlfn.TEXTAFTER(UPPER(tblShipments4[[#This Row],[Gateway_clean]]),"IN")," ",1),"")</f>
        <v>INPAV1</v>
      </c>
      <c r="P379" t="str">
        <f>SUBSTITUTE(tblShipments4[[#This Row],[Gateway]], CHAR(10), " ")</f>
        <v xml:space="preserve">AWB No. Gateway Port Gateway EGM No. Gateway EGM Date Gateway Site ID Error Code N.A.  INPAV1  134057  2017-08-28 00:00:00.0  INPAV1  S </v>
      </c>
      <c r="Q379" t="s">
        <v>583</v>
      </c>
    </row>
    <row r="380" spans="1:17" x14ac:dyDescent="0.35">
      <c r="A380" t="s">
        <v>8</v>
      </c>
      <c r="B380">
        <v>8439383</v>
      </c>
      <c r="C380" s="2" t="s">
        <v>565</v>
      </c>
      <c r="D380" s="2" t="str">
        <f>LEFT(TRIM(MID(SUBSTITUTE(tblShipments4[[#This Row],[Details]],CHAR(10)," "), FIND(CHAR(10),tblShipments4[[#This Row],[Details]])+1, 50)), 10)</f>
        <v>AAHCC0755A</v>
      </c>
      <c r="E380" t="s">
        <v>584</v>
      </c>
      <c r="F380" t="str">
        <f>IF(ISNUMBER(SEARCH("Error", tblShipments4[[#This Row],[Status]])), "Error",
 IF(ISNUMBER(SEARCH("SCR", tblShipments4[[#This Row],[Status]])), "Processed",
 IF(ISNUMBER(SEARCH("Scroll", tblShipments4[[#This Row],[Status]])), "Processed",
 IF(ISNUMBER(SEARCH("Y", tblShipments4[[#This Row],[Status]])), "Released",
 IF(ISNUMBER(SEARCH("N", tblShipments4[[#This Row],[Status]])), "Pending",
 "Other")))))</f>
        <v>Processed</v>
      </c>
      <c r="G380" t="str">
        <f>IF(tblShipments4[[#This Row],[EGM no]]="", "Missing EGM", "EGM Submitted")</f>
        <v>EGM Submitted</v>
      </c>
      <c r="H380" t="str">
        <f>IF(OR(ISNUMBER(SEARCH("Released",tblShipments4[[#This Row],[ROSL]])),
      ISNUMBER(SEARCH("Scroll",tblShipments4[[#This Row],[ROSL]])),
      ISNUMBER(SEARCH("Y",tblShipments4[[#This Row],[ROSL]]))),
   "Released",
   "Not Released")</f>
        <v>Released</v>
      </c>
      <c r="I380" t="str">
        <f>IF(OR(tblShipments4[[#This Row],[EGM no]]="", tblShipments4[[#This Row],[EGM no]]="N.A."), "Not Submitted", "Submitted")</f>
        <v>Submitted</v>
      </c>
      <c r="J380" t="str">
        <f>IF(LEFT(tblShipments4[[#This Row],[Gateway_Extracted]],2)="IN","Valid","Invalid")</f>
        <v>Valid</v>
      </c>
      <c r="K380" t="s">
        <v>528</v>
      </c>
      <c r="L380" t="s">
        <v>585</v>
      </c>
      <c r="M380" t="s">
        <v>581</v>
      </c>
      <c r="N380" t="s">
        <v>582</v>
      </c>
      <c r="O380" t="str">
        <f>IFERROR("IN" &amp; _xlfn.TEXTBEFORE(_xlfn.TEXTAFTER(UPPER(tblShipments4[[#This Row],[Gateway_clean]]),"IN")," ",1),"")</f>
        <v>INPAV1</v>
      </c>
      <c r="P380" t="str">
        <f>SUBSTITUTE(tblShipments4[[#This Row],[Gateway]], CHAR(10), " ")</f>
        <v xml:space="preserve">AWB No. Gateway Port Gateway EGM No. Gateway EGM Date Gateway Site ID Error Code N.A.  INPAV1  134057  2017-08-28 00:00:00.0  INPAV1  S </v>
      </c>
      <c r="Q380" t="s">
        <v>583</v>
      </c>
    </row>
  </sheetData>
  <conditionalFormatting sqref="B1">
    <cfRule type="duplicateValues" dxfId="19"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45F6-E87C-4C5A-8CAA-00E49569F84D}">
  <dimension ref="A1:Q380"/>
  <sheetViews>
    <sheetView zoomScale="82" workbookViewId="0">
      <selection activeCell="D16" sqref="D16"/>
    </sheetView>
  </sheetViews>
  <sheetFormatPr defaultRowHeight="14.5" x14ac:dyDescent="0.35"/>
  <cols>
    <col min="1" max="1" width="23" bestFit="1" customWidth="1"/>
    <col min="2" max="2" width="8.7265625" bestFit="1" customWidth="1"/>
    <col min="3" max="3" width="11.1796875" style="2" bestFit="1" customWidth="1"/>
    <col min="4" max="4" width="63.81640625" customWidth="1"/>
    <col min="5" max="5" width="125.1796875" customWidth="1"/>
    <col min="6" max="6" width="14.1796875" bestFit="1" customWidth="1"/>
    <col min="7" max="7" width="113.81640625" bestFit="1" customWidth="1"/>
    <col min="8" max="8" width="93" bestFit="1" customWidth="1"/>
    <col min="9" max="10" width="93" customWidth="1"/>
    <col min="11" max="11" width="137.26953125" bestFit="1" customWidth="1"/>
    <col min="12" max="12" width="131.26953125" bestFit="1" customWidth="1"/>
    <col min="13" max="13" width="131.26953125" customWidth="1"/>
  </cols>
  <sheetData>
    <row r="1" spans="1:17" x14ac:dyDescent="0.35">
      <c r="A1" t="s">
        <v>0</v>
      </c>
      <c r="B1" t="s">
        <v>1</v>
      </c>
      <c r="C1" s="2" t="s">
        <v>2</v>
      </c>
      <c r="D1" s="2" t="s">
        <v>1980</v>
      </c>
      <c r="E1" t="s">
        <v>3</v>
      </c>
      <c r="F1" t="s">
        <v>2439</v>
      </c>
      <c r="G1" t="s">
        <v>2440</v>
      </c>
      <c r="H1" t="s">
        <v>2441</v>
      </c>
      <c r="I1" t="s">
        <v>2442</v>
      </c>
      <c r="J1" t="s">
        <v>2443</v>
      </c>
      <c r="K1" t="s">
        <v>1722</v>
      </c>
      <c r="L1" t="s">
        <v>4</v>
      </c>
      <c r="M1" t="s">
        <v>5</v>
      </c>
      <c r="N1" t="s">
        <v>6</v>
      </c>
      <c r="O1" t="s">
        <v>2435</v>
      </c>
      <c r="P1" t="s">
        <v>2434</v>
      </c>
      <c r="Q1" t="s">
        <v>7</v>
      </c>
    </row>
    <row r="2" spans="1:17" x14ac:dyDescent="0.35">
      <c r="A2" t="s">
        <v>8</v>
      </c>
      <c r="B2">
        <v>1023575</v>
      </c>
      <c r="C2" s="2" t="s">
        <v>1228</v>
      </c>
      <c r="D2" s="2" t="str">
        <f>LEFT(TRIM(MID(SUBSTITUTE(tblShipments2[[#This Row],[Details]],CHAR(10)," "), FIND(CHAR(10),tblShipments2[[#This Row],[Details]])+1, 50)), 10)</f>
        <v>0506012905</v>
      </c>
      <c r="E2" t="s">
        <v>1229</v>
      </c>
      <c r="F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 t="str">
        <f>IF(tblShipments2[[#This Row],[EGM no]]="", "Missing EGM", "EGM Submitted")</f>
        <v>EGM Submitted</v>
      </c>
      <c r="H2" t="str">
        <f>IF(OR(ISNUMBER(SEARCH("Released",tblShipments2[[#This Row],[ROSL]])),
      ISNUMBER(SEARCH("Scroll",tblShipments2[[#This Row],[ROSL]])),
      ISNUMBER(SEARCH("Y",tblShipments2[[#This Row],[ROSL]]))),
   "Released",
   "Not Released")</f>
        <v>Released</v>
      </c>
      <c r="I2" t="str">
        <f>IF(OR(tblShipments2[[#This Row],[EGM no]]="", tblShipments2[[#This Row],[EGM no]]="N.A."), "Not Submitted", "Submitted")</f>
        <v>Submitted</v>
      </c>
      <c r="J2" t="str">
        <f>IF(LEFT(tblShipments2[[#This Row],[Gateway_Extracted]],2)="IN","Valid","Invalid")</f>
        <v>Valid</v>
      </c>
      <c r="K2" t="s">
        <v>1230</v>
      </c>
      <c r="L2" t="s">
        <v>1231</v>
      </c>
      <c r="M2" t="s">
        <v>31</v>
      </c>
      <c r="N2" t="s">
        <v>1232</v>
      </c>
      <c r="O2" t="str">
        <f>IFERROR("IN" &amp; _xlfn.TEXTBEFORE(_xlfn.TEXTAFTER(UPPER(tblShipments2[[#This Row],[Gateway_clean]]),"IN")," ",1),"")</f>
        <v>INNSA1</v>
      </c>
      <c r="P2" t="str">
        <f>SUBSTITUTE(tblShipments2[[#This Row],[Gateway]], CHAR(10), " ")</f>
        <v xml:space="preserve">AWB No. Gateway Port Gateway EGM No. Gateway EGM Date Gateway Site ID Error Code N.A.  INNSA1  139142  2017-11-20 00:00:00.0  INNSA1  S </v>
      </c>
      <c r="Q2" t="s">
        <v>1233</v>
      </c>
    </row>
    <row r="3" spans="1:17" x14ac:dyDescent="0.35">
      <c r="A3" t="s">
        <v>8</v>
      </c>
      <c r="B3">
        <v>1031757</v>
      </c>
      <c r="C3" s="2" t="s">
        <v>1234</v>
      </c>
      <c r="D3" s="2" t="str">
        <f>LEFT(TRIM(MID(SUBSTITUTE(tblShipments2[[#This Row],[Details]],CHAR(10)," "), FIND(CHAR(10),tblShipments2[[#This Row],[Details]])+1, 50)), 10)</f>
        <v>0507004761</v>
      </c>
      <c r="E3" t="s">
        <v>1235</v>
      </c>
      <c r="F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 t="str">
        <f>IF(tblShipments2[[#This Row],[EGM no]]="", "Missing EGM", "EGM Submitted")</f>
        <v>EGM Submitted</v>
      </c>
      <c r="H3" t="str">
        <f>IF(OR(ISNUMBER(SEARCH("Released",tblShipments2[[#This Row],[ROSL]])),
      ISNUMBER(SEARCH("Scroll",tblShipments2[[#This Row],[ROSL]])),
      ISNUMBER(SEARCH("Y",tblShipments2[[#This Row],[ROSL]]))),
   "Released",
   "Not Released")</f>
        <v>Released</v>
      </c>
      <c r="I3" t="str">
        <f>IF(OR(tblShipments2[[#This Row],[EGM no]]="", tblShipments2[[#This Row],[EGM no]]="N.A."), "Not Submitted", "Submitted")</f>
        <v>Submitted</v>
      </c>
      <c r="J3" t="str">
        <f>IF(LEFT(tblShipments2[[#This Row],[Gateway_Extracted]],2)="IN","Valid","Invalid")</f>
        <v>Valid</v>
      </c>
      <c r="K3" t="s">
        <v>1236</v>
      </c>
      <c r="L3" t="s">
        <v>1237</v>
      </c>
      <c r="M3" t="s">
        <v>13</v>
      </c>
      <c r="N3" t="s">
        <v>1238</v>
      </c>
      <c r="O3" t="str">
        <f>IFERROR("IN" &amp; _xlfn.TEXTBEFORE(_xlfn.TEXTAFTER(UPPER(tblShipments2[[#This Row],[Gateway_clean]]),"IN")," ",1),"")</f>
        <v>INNSA1</v>
      </c>
      <c r="P3" t="str">
        <f>SUBSTITUTE(tblShipments2[[#This Row],[Gateway]], CHAR(10), " ")</f>
        <v xml:space="preserve">AWB No. Gateway Port Gateway EGM No. Gateway EGM Date Gateway Site ID Error Code N.A.  INNSA1  137386  2017-10-23 00:00:00.0  INNSA1  S </v>
      </c>
      <c r="Q3" t="s">
        <v>1239</v>
      </c>
    </row>
    <row r="4" spans="1:17" x14ac:dyDescent="0.35">
      <c r="A4" t="s">
        <v>8</v>
      </c>
      <c r="B4">
        <v>1042281</v>
      </c>
      <c r="C4" s="2" t="s">
        <v>1234</v>
      </c>
      <c r="D4" s="2" t="str">
        <f>LEFT(TRIM(MID(SUBSTITUTE(tblShipments2[[#This Row],[Details]],CHAR(10)," "), FIND(CHAR(10),tblShipments2[[#This Row],[Details]])+1, 50)), 10)</f>
        <v>0515015504</v>
      </c>
      <c r="E4" t="s">
        <v>1240</v>
      </c>
      <c r="F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 t="str">
        <f>IF(tblShipments2[[#This Row],[EGM no]]="", "Missing EGM", "EGM Submitted")</f>
        <v>EGM Submitted</v>
      </c>
      <c r="H4" t="str">
        <f>IF(OR(ISNUMBER(SEARCH("Released",tblShipments2[[#This Row],[ROSL]])),
      ISNUMBER(SEARCH("Scroll",tblShipments2[[#This Row],[ROSL]])),
      ISNUMBER(SEARCH("Y",tblShipments2[[#This Row],[ROSL]]))),
   "Released",
   "Not Released")</f>
        <v>Released</v>
      </c>
      <c r="I4" t="str">
        <f>IF(OR(tblShipments2[[#This Row],[EGM no]]="", tblShipments2[[#This Row],[EGM no]]="N.A."), "Not Submitted", "Submitted")</f>
        <v>Submitted</v>
      </c>
      <c r="J4" t="str">
        <f>IF(LEFT(tblShipments2[[#This Row],[Gateway_Extracted]],2)="IN","Valid","Invalid")</f>
        <v>Valid</v>
      </c>
      <c r="K4" t="s">
        <v>1241</v>
      </c>
      <c r="L4" t="s">
        <v>1242</v>
      </c>
      <c r="M4" t="s">
        <v>13</v>
      </c>
      <c r="N4" t="s">
        <v>1243</v>
      </c>
      <c r="O4" t="str">
        <f>IFERROR("IN" &amp; _xlfn.TEXTBEFORE(_xlfn.TEXTAFTER(UPPER(tblShipments2[[#This Row],[Gateway_clean]]),"IN")," ",1),"")</f>
        <v>INMUN1</v>
      </c>
      <c r="P4" t="str">
        <f>SUBSTITUTE(tblShipments2[[#This Row],[Gateway]], CHAR(10), " ")</f>
        <v xml:space="preserve">AWB No. Gateway Port Gateway EGM No. Gateway EGM Date Gateway Site ID Error Code N.A.  INMUN1  140712  2017-12-15 00:00:00.0  INMUN1  S </v>
      </c>
      <c r="Q4" t="s">
        <v>1244</v>
      </c>
    </row>
    <row r="5" spans="1:17" x14ac:dyDescent="0.35">
      <c r="A5" t="s">
        <v>8</v>
      </c>
      <c r="B5">
        <v>1046425</v>
      </c>
      <c r="C5" s="2" t="s">
        <v>1234</v>
      </c>
      <c r="D5" s="2" t="str">
        <f>LEFT(TRIM(MID(SUBSTITUTE(tblShipments2[[#This Row],[Details]],CHAR(10)," "), FIND(CHAR(10),tblShipments2[[#This Row],[Details]])+1, 50)), 10)</f>
        <v>3091000621</v>
      </c>
      <c r="E5" t="s">
        <v>1245</v>
      </c>
      <c r="F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 t="str">
        <f>IF(tblShipments2[[#This Row],[EGM no]]="", "Missing EGM", "EGM Submitted")</f>
        <v>EGM Submitted</v>
      </c>
      <c r="H5" t="str">
        <f>IF(OR(ISNUMBER(SEARCH("Released",tblShipments2[[#This Row],[ROSL]])),
      ISNUMBER(SEARCH("Scroll",tblShipments2[[#This Row],[ROSL]])),
      ISNUMBER(SEARCH("Y",tblShipments2[[#This Row],[ROSL]]))),
   "Released",
   "Not Released")</f>
        <v>Released</v>
      </c>
      <c r="I5" t="str">
        <f>IF(OR(tblShipments2[[#This Row],[EGM no]]="", tblShipments2[[#This Row],[EGM no]]="N.A."), "Not Submitted", "Submitted")</f>
        <v>Submitted</v>
      </c>
      <c r="J5" t="str">
        <f>IF(LEFT(tblShipments2[[#This Row],[Gateway_Extracted]],2)="IN","Valid","Invalid")</f>
        <v>Valid</v>
      </c>
      <c r="K5" t="s">
        <v>1246</v>
      </c>
      <c r="L5" t="s">
        <v>1247</v>
      </c>
      <c r="M5" t="s">
        <v>1248</v>
      </c>
      <c r="N5" t="s">
        <v>1249</v>
      </c>
      <c r="O5" t="str">
        <f>IFERROR("IN" &amp; _xlfn.TEXTBEFORE(_xlfn.TEXTAFTER(UPPER(tblShipments2[[#This Row],[Gateway_clean]]),"IN")," ",1),"")</f>
        <v>INPAV1</v>
      </c>
      <c r="P5" t="str">
        <f>SUBSTITUTE(tblShipments2[[#This Row],[Gateway]], CHAR(10), " ")</f>
        <v xml:space="preserve">AWB No. Gateway Port Gateway EGM No. Gateway EGM Date Gateway Site ID Error Code N.A.  INPAV1  137999  2017-11-01 00:00:00.0  INPAV1  S </v>
      </c>
      <c r="Q5" t="s">
        <v>1250</v>
      </c>
    </row>
    <row r="6" spans="1:17" x14ac:dyDescent="0.35">
      <c r="A6" t="s">
        <v>8</v>
      </c>
      <c r="B6">
        <v>1054151</v>
      </c>
      <c r="C6" s="2" t="s">
        <v>1251</v>
      </c>
      <c r="D6" s="2" t="str">
        <f>LEFT(TRIM(MID(SUBSTITUTE(tblShipments2[[#This Row],[Details]],CHAR(10)," "), FIND(CHAR(10),tblShipments2[[#This Row],[Details]])+1, 50)), 10)</f>
        <v>0505000873</v>
      </c>
      <c r="E6" t="s">
        <v>1252</v>
      </c>
      <c r="F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 t="str">
        <f>IF(tblShipments2[[#This Row],[EGM no]]="", "Missing EGM", "EGM Submitted")</f>
        <v>EGM Submitted</v>
      </c>
      <c r="H6" t="str">
        <f>IF(OR(ISNUMBER(SEARCH("Released",tblShipments2[[#This Row],[ROSL]])),
      ISNUMBER(SEARCH("Scroll",tblShipments2[[#This Row],[ROSL]])),
      ISNUMBER(SEARCH("Y",tblShipments2[[#This Row],[ROSL]]))),
   "Released",
   "Not Released")</f>
        <v>Released</v>
      </c>
      <c r="I6" t="str">
        <f>IF(OR(tblShipments2[[#This Row],[EGM no]]="", tblShipments2[[#This Row],[EGM no]]="N.A."), "Not Submitted", "Submitted")</f>
        <v>Submitted</v>
      </c>
      <c r="J6" t="str">
        <f>IF(LEFT(tblShipments2[[#This Row],[Gateway_Extracted]],2)="IN","Valid","Invalid")</f>
        <v>Valid</v>
      </c>
      <c r="K6" t="s">
        <v>1253</v>
      </c>
      <c r="L6" t="s">
        <v>1254</v>
      </c>
      <c r="M6" t="s">
        <v>13</v>
      </c>
      <c r="N6" t="s">
        <v>1255</v>
      </c>
      <c r="O6" t="str">
        <f>IFERROR("IN" &amp; _xlfn.TEXTBEFORE(_xlfn.TEXTAFTER(UPPER(tblShipments2[[#This Row],[Gateway_clean]]),"IN")," ",1),"")</f>
        <v>INNSA1</v>
      </c>
      <c r="P6" t="str">
        <f>SUBSTITUTE(tblShipments2[[#This Row],[Gateway]], CHAR(10), " ")</f>
        <v xml:space="preserve">AWB No. Gateway Port Gateway EGM No. Gateway EGM Date Gateway Site ID Error Code N.A.  INNSA1  138641  2017-11-13 00:00:00.0  INNSA1  S </v>
      </c>
      <c r="Q6" t="s">
        <v>1256</v>
      </c>
    </row>
    <row r="7" spans="1:17" x14ac:dyDescent="0.35">
      <c r="A7" t="s">
        <v>8</v>
      </c>
      <c r="B7">
        <v>1062588</v>
      </c>
      <c r="C7" s="2" t="s">
        <v>1251</v>
      </c>
      <c r="D7" s="2" t="str">
        <f>LEFT(TRIM(MID(SUBSTITUTE(tblShipments2[[#This Row],[Details]],CHAR(10)," "), FIND(CHAR(10),tblShipments2[[#This Row],[Details]])+1, 50)), 10)</f>
        <v>1414003447</v>
      </c>
      <c r="E7" t="s">
        <v>1257</v>
      </c>
      <c r="F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 t="str">
        <f>IF(tblShipments2[[#This Row],[EGM no]]="", "Missing EGM", "EGM Submitted")</f>
        <v>EGM Submitted</v>
      </c>
      <c r="H7" t="str">
        <f>IF(OR(ISNUMBER(SEARCH("Released",tblShipments2[[#This Row],[ROSL]])),
      ISNUMBER(SEARCH("Scroll",tblShipments2[[#This Row],[ROSL]])),
      ISNUMBER(SEARCH("Y",tblShipments2[[#This Row],[ROSL]]))),
   "Released",
   "Not Released")</f>
        <v>Released</v>
      </c>
      <c r="I7" t="str">
        <f>IF(OR(tblShipments2[[#This Row],[EGM no]]="", tblShipments2[[#This Row],[EGM no]]="N.A."), "Not Submitted", "Submitted")</f>
        <v>Submitted</v>
      </c>
      <c r="J7" t="str">
        <f>IF(LEFT(tblShipments2[[#This Row],[Gateway_Extracted]],2)="IN","Valid","Invalid")</f>
        <v>Valid</v>
      </c>
      <c r="K7" t="s">
        <v>1258</v>
      </c>
      <c r="L7" t="s">
        <v>1259</v>
      </c>
      <c r="M7" t="s">
        <v>13</v>
      </c>
      <c r="N7" t="s">
        <v>1260</v>
      </c>
      <c r="O7" t="str">
        <f>IFERROR("IN" &amp; _xlfn.TEXTBEFORE(_xlfn.TEXTAFTER(UPPER(tblShipments2[[#This Row],[Gateway_clean]]),"IN")," ",1),"")</f>
        <v>INMUN1</v>
      </c>
      <c r="P7" t="str">
        <f>SUBSTITUTE(tblShipments2[[#This Row],[Gateway]], CHAR(10), " ")</f>
        <v xml:space="preserve">AWB No. Gateway Port Gateway EGM No. Gateway EGM Date Gateway Site ID Error Code N.A.  INMUN1  139344  2017-11-22 00:00:00.0  INMUN1  S </v>
      </c>
      <c r="Q7" t="s">
        <v>1261</v>
      </c>
    </row>
    <row r="8" spans="1:17" x14ac:dyDescent="0.35">
      <c r="A8" t="s">
        <v>8</v>
      </c>
      <c r="B8">
        <v>1064566</v>
      </c>
      <c r="C8" s="2" t="s">
        <v>1251</v>
      </c>
      <c r="D8" s="2" t="str">
        <f>LEFT(TRIM(MID(SUBSTITUTE(tblShipments2[[#This Row],[Details]],CHAR(10)," "), FIND(CHAR(10),tblShipments2[[#This Row],[Details]])+1, 50)), 10)</f>
        <v>0500075158</v>
      </c>
      <c r="E8" t="s">
        <v>1262</v>
      </c>
      <c r="F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 t="str">
        <f>IF(tblShipments2[[#This Row],[EGM no]]="", "Missing EGM", "EGM Submitted")</f>
        <v>EGM Submitted</v>
      </c>
      <c r="H8" t="str">
        <f>IF(OR(ISNUMBER(SEARCH("Released",tblShipments2[[#This Row],[ROSL]])),
      ISNUMBER(SEARCH("Scroll",tblShipments2[[#This Row],[ROSL]])),
      ISNUMBER(SEARCH("Y",tblShipments2[[#This Row],[ROSL]]))),
   "Released",
   "Not Released")</f>
        <v>Released</v>
      </c>
      <c r="I8" t="str">
        <f>IF(OR(tblShipments2[[#This Row],[EGM no]]="", tblShipments2[[#This Row],[EGM no]]="N.A."), "Not Submitted", "Submitted")</f>
        <v>Submitted</v>
      </c>
      <c r="J8" t="str">
        <f>IF(LEFT(tblShipments2[[#This Row],[Gateway_Extracted]],2)="IN","Valid","Invalid")</f>
        <v>Invalid</v>
      </c>
      <c r="K8" t="s">
        <v>1263</v>
      </c>
      <c r="L8" t="s">
        <v>1264</v>
      </c>
      <c r="M8" t="s">
        <v>1265</v>
      </c>
      <c r="N8" t="s">
        <v>1266</v>
      </c>
      <c r="O8" t="str">
        <f>IFERROR("IN" &amp; _xlfn.TEXTBEFORE(_xlfn.TEXTAFTER(UPPER(tblShipments2[[#This Row],[Gateway_clean]]),"IN")," ",1),"")</f>
        <v/>
      </c>
      <c r="P8" t="str">
        <f>SUBSTITUTE(tblShipments2[[#This Row],[Gateway]], CHAR(10), " ")</f>
        <v>Please Wait....</v>
      </c>
      <c r="Q8" t="s">
        <v>105</v>
      </c>
    </row>
    <row r="9" spans="1:17" x14ac:dyDescent="0.35">
      <c r="A9" t="s">
        <v>8</v>
      </c>
      <c r="B9">
        <v>1071189</v>
      </c>
      <c r="C9" s="2" t="s">
        <v>1251</v>
      </c>
      <c r="D9" s="2" t="str">
        <f>LEFT(TRIM(MID(SUBSTITUTE(tblShipments2[[#This Row],[Details]],CHAR(10)," "), FIND(CHAR(10),tblShipments2[[#This Row],[Details]])+1, 50)), 10)</f>
        <v>0509047491</v>
      </c>
      <c r="E9" t="s">
        <v>1267</v>
      </c>
      <c r="F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 t="str">
        <f>IF(tblShipments2[[#This Row],[EGM no]]="", "Missing EGM", "EGM Submitted")</f>
        <v>EGM Submitted</v>
      </c>
      <c r="H9" t="str">
        <f>IF(OR(ISNUMBER(SEARCH("Released",tblShipments2[[#This Row],[ROSL]])),
      ISNUMBER(SEARCH("Scroll",tblShipments2[[#This Row],[ROSL]])),
      ISNUMBER(SEARCH("Y",tblShipments2[[#This Row],[ROSL]]))),
   "Released",
   "Not Released")</f>
        <v>Released</v>
      </c>
      <c r="I9" t="str">
        <f>IF(OR(tblShipments2[[#This Row],[EGM no]]="", tblShipments2[[#This Row],[EGM no]]="N.A."), "Not Submitted", "Submitted")</f>
        <v>Submitted</v>
      </c>
      <c r="J9" t="str">
        <f>IF(LEFT(tblShipments2[[#This Row],[Gateway_Extracted]],2)="IN","Valid","Invalid")</f>
        <v>Valid</v>
      </c>
      <c r="K9" t="s">
        <v>1241</v>
      </c>
      <c r="L9" t="s">
        <v>1268</v>
      </c>
      <c r="M9" t="s">
        <v>13</v>
      </c>
      <c r="N9" t="s">
        <v>1269</v>
      </c>
      <c r="O9" t="str">
        <f>IFERROR("IN" &amp; _xlfn.TEXTBEFORE(_xlfn.TEXTAFTER(UPPER(tblShipments2[[#This Row],[Gateway_clean]]),"IN")," ",1),"")</f>
        <v>INNSA1</v>
      </c>
      <c r="P9" t="str">
        <f>SUBSTITUTE(tblShipments2[[#This Row],[Gateway]], CHAR(10), " ")</f>
        <v xml:space="preserve">AWB No. Gateway Port Gateway EGM No. Gateway EGM Date Gateway Site ID Error Code N.A.  INNSA1  139138  2017-11-20 00:00:00.0  INNSA1  S </v>
      </c>
      <c r="Q9" t="s">
        <v>1270</v>
      </c>
    </row>
    <row r="10" spans="1:17" x14ac:dyDescent="0.35">
      <c r="A10" t="s">
        <v>8</v>
      </c>
      <c r="B10">
        <v>1071710</v>
      </c>
      <c r="C10" s="2" t="s">
        <v>1251</v>
      </c>
      <c r="D10" s="2" t="str">
        <f>LEFT(TRIM(MID(SUBSTITUTE(tblShipments2[[#This Row],[Details]],CHAR(10)," "), FIND(CHAR(10),tblShipments2[[#This Row],[Details]])+1, 50)), 10)</f>
        <v>3307004344</v>
      </c>
      <c r="E10" t="s">
        <v>1271</v>
      </c>
      <c r="F1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 t="str">
        <f>IF(tblShipments2[[#This Row],[EGM no]]="", "Missing EGM", "EGM Submitted")</f>
        <v>EGM Submitted</v>
      </c>
      <c r="H10" t="str">
        <f>IF(OR(ISNUMBER(SEARCH("Released",tblShipments2[[#This Row],[ROSL]])),
      ISNUMBER(SEARCH("Scroll",tblShipments2[[#This Row],[ROSL]])),
      ISNUMBER(SEARCH("Y",tblShipments2[[#This Row],[ROSL]]))),
   "Released",
   "Not Released")</f>
        <v>Released</v>
      </c>
      <c r="I10" t="str">
        <f>IF(OR(tblShipments2[[#This Row],[EGM no]]="", tblShipments2[[#This Row],[EGM no]]="N.A."), "Not Submitted", "Submitted")</f>
        <v>Submitted</v>
      </c>
      <c r="J10" t="str">
        <f>IF(LEFT(tblShipments2[[#This Row],[Gateway_Extracted]],2)="IN","Valid","Invalid")</f>
        <v>Valid</v>
      </c>
      <c r="K10" t="s">
        <v>1241</v>
      </c>
      <c r="L10" t="s">
        <v>1272</v>
      </c>
      <c r="M10" t="s">
        <v>13</v>
      </c>
      <c r="N10" t="s">
        <v>1273</v>
      </c>
      <c r="O10" t="str">
        <f>IFERROR("IN" &amp; _xlfn.TEXTBEFORE(_xlfn.TEXTAFTER(UPPER(tblShipments2[[#This Row],[Gateway_clean]]),"IN")," ",1),"")</f>
        <v>INNSA1</v>
      </c>
      <c r="P10" t="str">
        <f>SUBSTITUTE(tblShipments2[[#This Row],[Gateway]], CHAR(10), " ")</f>
        <v xml:space="preserve">AWB No. Gateway Port Gateway EGM No. Gateway EGM Date Gateway Site ID Error Code N.A.  INNSA1  138478  2017-11-09 00:00:00.0  INNSA1  S </v>
      </c>
      <c r="Q10" t="s">
        <v>1274</v>
      </c>
    </row>
    <row r="11" spans="1:17" x14ac:dyDescent="0.35">
      <c r="A11" t="s">
        <v>8</v>
      </c>
      <c r="B11">
        <v>1072758</v>
      </c>
      <c r="C11" s="2" t="s">
        <v>1251</v>
      </c>
      <c r="D11" s="2" t="str">
        <f>LEFT(TRIM(MID(SUBSTITUTE(tblShipments2[[#This Row],[Details]],CHAR(10)," "), FIND(CHAR(10),tblShipments2[[#This Row],[Details]])+1, 50)), 10)</f>
        <v>0709012331</v>
      </c>
      <c r="E11" t="s">
        <v>1275</v>
      </c>
      <c r="F1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 t="str">
        <f>IF(tblShipments2[[#This Row],[EGM no]]="", "Missing EGM", "EGM Submitted")</f>
        <v>EGM Submitted</v>
      </c>
      <c r="H11" t="str">
        <f>IF(OR(ISNUMBER(SEARCH("Released",tblShipments2[[#This Row],[ROSL]])),
      ISNUMBER(SEARCH("Scroll",tblShipments2[[#This Row],[ROSL]])),
      ISNUMBER(SEARCH("Y",tblShipments2[[#This Row],[ROSL]]))),
   "Released",
   "Not Released")</f>
        <v>Released</v>
      </c>
      <c r="I11" t="str">
        <f>IF(OR(tblShipments2[[#This Row],[EGM no]]="", tblShipments2[[#This Row],[EGM no]]="N.A."), "Not Submitted", "Submitted")</f>
        <v>Submitted</v>
      </c>
      <c r="J11" t="str">
        <f>IF(LEFT(tblShipments2[[#This Row],[Gateway_Extracted]],2)="IN","Valid","Invalid")</f>
        <v>Valid</v>
      </c>
      <c r="K11" t="s">
        <v>1253</v>
      </c>
      <c r="L11" t="s">
        <v>1276</v>
      </c>
      <c r="M11" t="s">
        <v>13</v>
      </c>
      <c r="N11" t="s">
        <v>1277</v>
      </c>
      <c r="O11" t="str">
        <f>IFERROR("IN" &amp; _xlfn.TEXTBEFORE(_xlfn.TEXTAFTER(UPPER(tblShipments2[[#This Row],[Gateway_clean]]),"IN")," ",1),"")</f>
        <v>INMUN1</v>
      </c>
      <c r="P11" t="str">
        <f>SUBSTITUTE(tblShipments2[[#This Row],[Gateway]], CHAR(10), " ")</f>
        <v xml:space="preserve">AWB No. Gateway Port Gateway EGM No. Gateway EGM Date Gateway Site ID Error Code N.A.  INMUN1  139513  2017-11-24 00:00:00.0  INMUN1  S </v>
      </c>
      <c r="Q11" t="s">
        <v>1278</v>
      </c>
    </row>
    <row r="12" spans="1:17" x14ac:dyDescent="0.35">
      <c r="A12" t="s">
        <v>8</v>
      </c>
      <c r="B12">
        <v>1073185</v>
      </c>
      <c r="C12" s="2" t="s">
        <v>1251</v>
      </c>
      <c r="D12" s="2" t="str">
        <f>LEFT(TRIM(MID(SUBSTITUTE(tblShipments2[[#This Row],[Details]],CHAR(10)," "), FIND(CHAR(10),tblShipments2[[#This Row],[Details]])+1, 50)), 10)</f>
        <v>0598045783</v>
      </c>
      <c r="E12" t="s">
        <v>1279</v>
      </c>
      <c r="F1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 t="str">
        <f>IF(tblShipments2[[#This Row],[EGM no]]="", "Missing EGM", "EGM Submitted")</f>
        <v>EGM Submitted</v>
      </c>
      <c r="H12" t="str">
        <f>IF(OR(ISNUMBER(SEARCH("Released",tblShipments2[[#This Row],[ROSL]])),
      ISNUMBER(SEARCH("Scroll",tblShipments2[[#This Row],[ROSL]])),
      ISNUMBER(SEARCH("Y",tblShipments2[[#This Row],[ROSL]]))),
   "Released",
   "Not Released")</f>
        <v>Released</v>
      </c>
      <c r="I12" t="str">
        <f>IF(OR(tblShipments2[[#This Row],[EGM no]]="", tblShipments2[[#This Row],[EGM no]]="N.A."), "Not Submitted", "Submitted")</f>
        <v>Submitted</v>
      </c>
      <c r="J12" t="str">
        <f>IF(LEFT(tblShipments2[[#This Row],[Gateway_Extracted]],2)="IN","Valid","Invalid")</f>
        <v>Valid</v>
      </c>
      <c r="K12" t="s">
        <v>1280</v>
      </c>
      <c r="L12" t="s">
        <v>1281</v>
      </c>
      <c r="M12" t="s">
        <v>31</v>
      </c>
      <c r="N12" t="s">
        <v>1282</v>
      </c>
      <c r="O12" t="str">
        <f>IFERROR("IN" &amp; _xlfn.TEXTBEFORE(_xlfn.TEXTAFTER(UPPER(tblShipments2[[#This Row],[Gateway_clean]]),"IN")," ",1),"")</f>
        <v>INMUN1</v>
      </c>
      <c r="P12" t="str">
        <f>SUBSTITUTE(tblShipments2[[#This Row],[Gateway]], CHAR(10), " ")</f>
        <v xml:space="preserve">AWB No. Gateway Port Gateway EGM No. Gateway EGM Date Gateway Site ID Error Code N.A.  INMUN1  140625  2017-12-13 00:00:00.0  INMUN1  S </v>
      </c>
      <c r="Q12" t="s">
        <v>1283</v>
      </c>
    </row>
    <row r="13" spans="1:17" x14ac:dyDescent="0.35">
      <c r="A13" t="s">
        <v>8</v>
      </c>
      <c r="B13">
        <v>1090894</v>
      </c>
      <c r="C13" s="2" t="s">
        <v>1284</v>
      </c>
      <c r="D13" s="2" t="str">
        <f>LEFT(TRIM(MID(SUBSTITUTE(tblShipments2[[#This Row],[Details]],CHAR(10)," "), FIND(CHAR(10),tblShipments2[[#This Row],[Details]])+1, 50)), 10)</f>
        <v>0595059040</v>
      </c>
      <c r="E13" t="s">
        <v>1285</v>
      </c>
      <c r="F1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 t="str">
        <f>IF(tblShipments2[[#This Row],[EGM no]]="", "Missing EGM", "EGM Submitted")</f>
        <v>EGM Submitted</v>
      </c>
      <c r="H13" t="str">
        <f>IF(OR(ISNUMBER(SEARCH("Released",tblShipments2[[#This Row],[ROSL]])),
      ISNUMBER(SEARCH("Scroll",tblShipments2[[#This Row],[ROSL]])),
      ISNUMBER(SEARCH("Y",tblShipments2[[#This Row],[ROSL]]))),
   "Released",
   "Not Released")</f>
        <v>Released</v>
      </c>
      <c r="I13" t="str">
        <f>IF(OR(tblShipments2[[#This Row],[EGM no]]="", tblShipments2[[#This Row],[EGM no]]="N.A."), "Not Submitted", "Submitted")</f>
        <v>Submitted</v>
      </c>
      <c r="J13" t="str">
        <f>IF(LEFT(tblShipments2[[#This Row],[Gateway_Extracted]],2)="IN","Valid","Invalid")</f>
        <v>Valid</v>
      </c>
      <c r="K13" t="s">
        <v>1286</v>
      </c>
      <c r="L13" t="s">
        <v>1287</v>
      </c>
      <c r="M13" t="s">
        <v>13</v>
      </c>
      <c r="N13" t="s">
        <v>1288</v>
      </c>
      <c r="O13" t="str">
        <f>IFERROR("IN" &amp; _xlfn.TEXTBEFORE(_xlfn.TEXTAFTER(UPPER(tblShipments2[[#This Row],[Gateway_clean]]),"IN")," ",1),"")</f>
        <v>INNSA1</v>
      </c>
      <c r="P13" t="str">
        <f>SUBSTITUTE(tblShipments2[[#This Row],[Gateway]], CHAR(10), " ")</f>
        <v xml:space="preserve">AWB No. Gateway Port Gateway EGM No. Gateway EGM Date Gateway Site ID Error Code N.A.  INNSA1  N.A.  N.A.  N.A.  N.A. </v>
      </c>
      <c r="Q13" t="s">
        <v>26</v>
      </c>
    </row>
    <row r="14" spans="1:17" x14ac:dyDescent="0.35">
      <c r="A14" t="s">
        <v>8</v>
      </c>
      <c r="B14">
        <v>1099071</v>
      </c>
      <c r="C14" s="2" t="s">
        <v>1284</v>
      </c>
      <c r="D14" s="2" t="str">
        <f>LEFT(TRIM(MID(SUBSTITUTE(tblShipments2[[#This Row],[Details]],CHAR(10)," "), FIND(CHAR(10),tblShipments2[[#This Row],[Details]])+1, 50)), 10)</f>
        <v>0592023052</v>
      </c>
      <c r="E14" t="s">
        <v>1289</v>
      </c>
      <c r="F1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 t="str">
        <f>IF(tblShipments2[[#This Row],[EGM no]]="", "Missing EGM", "EGM Submitted")</f>
        <v>EGM Submitted</v>
      </c>
      <c r="H14" t="str">
        <f>IF(OR(ISNUMBER(SEARCH("Released",tblShipments2[[#This Row],[ROSL]])),
      ISNUMBER(SEARCH("Scroll",tblShipments2[[#This Row],[ROSL]])),
      ISNUMBER(SEARCH("Y",tblShipments2[[#This Row],[ROSL]]))),
   "Released",
   "Not Released")</f>
        <v>Released</v>
      </c>
      <c r="I14" t="str">
        <f>IF(OR(tblShipments2[[#This Row],[EGM no]]="", tblShipments2[[#This Row],[EGM no]]="N.A."), "Not Submitted", "Submitted")</f>
        <v>Submitted</v>
      </c>
      <c r="J14" t="str">
        <f>IF(LEFT(tblShipments2[[#This Row],[Gateway_Extracted]],2)="IN","Valid","Invalid")</f>
        <v>Valid</v>
      </c>
      <c r="K14" t="s">
        <v>1263</v>
      </c>
      <c r="L14" t="s">
        <v>1290</v>
      </c>
      <c r="M14" t="s">
        <v>13</v>
      </c>
      <c r="N14" t="s">
        <v>1291</v>
      </c>
      <c r="O14" t="str">
        <f>IFERROR("IN" &amp; _xlfn.TEXTBEFORE(_xlfn.TEXTAFTER(UPPER(tblShipments2[[#This Row],[Gateway_clean]]),"IN")," ",1),"")</f>
        <v>INNSA1</v>
      </c>
      <c r="P14" t="str">
        <f>SUBSTITUTE(tblShipments2[[#This Row],[Gateway]], CHAR(10), " ")</f>
        <v xml:space="preserve">AWB No. Gateway Port Gateway EGM No. Gateway EGM Date Gateway Site ID Error Code N.A.  INNSA1  139301  2017-11-22 00:00:00.0  INNSA1  S </v>
      </c>
      <c r="Q14" t="s">
        <v>1292</v>
      </c>
    </row>
    <row r="15" spans="1:17" x14ac:dyDescent="0.35">
      <c r="A15" t="s">
        <v>8</v>
      </c>
      <c r="B15">
        <v>1168946</v>
      </c>
      <c r="C15" s="2" t="s">
        <v>1293</v>
      </c>
      <c r="D15" s="2" t="str">
        <f>LEFT(TRIM(MID(SUBSTITUTE(tblShipments2[[#This Row],[Details]],CHAR(10)," "), FIND(CHAR(10),tblShipments2[[#This Row],[Details]])+1, 50)), 10)</f>
        <v>0504011057</v>
      </c>
      <c r="E15" t="s">
        <v>1294</v>
      </c>
      <c r="F1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 t="str">
        <f>IF(tblShipments2[[#This Row],[EGM no]]="", "Missing EGM", "EGM Submitted")</f>
        <v>EGM Submitted</v>
      </c>
      <c r="H15" t="str">
        <f>IF(OR(ISNUMBER(SEARCH("Released",tblShipments2[[#This Row],[ROSL]])),
      ISNUMBER(SEARCH("Scroll",tblShipments2[[#This Row],[ROSL]])),
      ISNUMBER(SEARCH("Y",tblShipments2[[#This Row],[ROSL]]))),
   "Released",
   "Not Released")</f>
        <v>Released</v>
      </c>
      <c r="I15" t="str">
        <f>IF(OR(tblShipments2[[#This Row],[EGM no]]="", tblShipments2[[#This Row],[EGM no]]="N.A."), "Not Submitted", "Submitted")</f>
        <v>Submitted</v>
      </c>
      <c r="J15" t="str">
        <f>IF(LEFT(tblShipments2[[#This Row],[Gateway_Extracted]],2)="IN","Valid","Invalid")</f>
        <v>Valid</v>
      </c>
      <c r="K15" t="s">
        <v>1225</v>
      </c>
      <c r="L15" t="s">
        <v>1295</v>
      </c>
      <c r="M15" t="s">
        <v>13</v>
      </c>
      <c r="N15" t="s">
        <v>1296</v>
      </c>
      <c r="O15" t="str">
        <f>IFERROR("IN" &amp; _xlfn.TEXTBEFORE(_xlfn.TEXTAFTER(UPPER(tblShipments2[[#This Row],[Gateway_clean]]),"IN")," ",1),"")</f>
        <v>INMUN1</v>
      </c>
      <c r="P15" t="str">
        <f>SUBSTITUTE(tblShipments2[[#This Row],[Gateway]], CHAR(10), " ")</f>
        <v xml:space="preserve">AWB No. Gateway Port Gateway EGM No. Gateway EGM Date Gateway Site ID Error Code N.A.  INMUN1  140199  2017-12-06 00:00:00.0  INMUN1  S </v>
      </c>
      <c r="Q15" t="s">
        <v>1297</v>
      </c>
    </row>
    <row r="16" spans="1:17" x14ac:dyDescent="0.35">
      <c r="A16" t="s">
        <v>8</v>
      </c>
      <c r="B16">
        <v>1181054</v>
      </c>
      <c r="C16" s="2" t="s">
        <v>1298</v>
      </c>
      <c r="D16" s="2" t="str">
        <f>LEFT(TRIM(MID(SUBSTITUTE(tblShipments2[[#This Row],[Details]],CHAR(10)," "), FIND(CHAR(10),tblShipments2[[#This Row],[Details]])+1, 50)), 10)</f>
        <v>0589043838</v>
      </c>
      <c r="E16" t="s">
        <v>1299</v>
      </c>
      <c r="F1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 t="str">
        <f>IF(tblShipments2[[#This Row],[EGM no]]="", "Missing EGM", "EGM Submitted")</f>
        <v>EGM Submitted</v>
      </c>
      <c r="H16" t="str">
        <f>IF(OR(ISNUMBER(SEARCH("Released",tblShipments2[[#This Row],[ROSL]])),
      ISNUMBER(SEARCH("Scroll",tblShipments2[[#This Row],[ROSL]])),
      ISNUMBER(SEARCH("Y",tblShipments2[[#This Row],[ROSL]]))),
   "Released",
   "Not Released")</f>
        <v>Released</v>
      </c>
      <c r="I16" t="str">
        <f>IF(OR(tblShipments2[[#This Row],[EGM no]]="", tblShipments2[[#This Row],[EGM no]]="N.A."), "Not Submitted", "Submitted")</f>
        <v>Submitted</v>
      </c>
      <c r="J16" t="str">
        <f>IF(LEFT(tblShipments2[[#This Row],[Gateway_Extracted]],2)="IN","Valid","Invalid")</f>
        <v>Valid</v>
      </c>
      <c r="K16" t="s">
        <v>1300</v>
      </c>
      <c r="L16" t="s">
        <v>1301</v>
      </c>
      <c r="M16" t="s">
        <v>13</v>
      </c>
      <c r="N16" t="s">
        <v>1302</v>
      </c>
      <c r="O16" t="str">
        <f>IFERROR("IN" &amp; _xlfn.TEXTBEFORE(_xlfn.TEXTAFTER(UPPER(tblShipments2[[#This Row],[Gateway_clean]]),"IN")," ",1),"")</f>
        <v>INNSA1</v>
      </c>
      <c r="P16" t="str">
        <f>SUBSTITUTE(tblShipments2[[#This Row],[Gateway]], CHAR(10), " ")</f>
        <v xml:space="preserve">AWB No. Gateway Port Gateway EGM No. Gateway EGM Date Gateway Site ID Error Code N.A.  INNSA1  139557  2017-11-27 00:00:00.0  INNSA1  S </v>
      </c>
      <c r="Q16" t="s">
        <v>1303</v>
      </c>
    </row>
    <row r="17" spans="1:17" x14ac:dyDescent="0.35">
      <c r="A17" t="s">
        <v>8</v>
      </c>
      <c r="B17">
        <v>1192194</v>
      </c>
      <c r="C17" s="2" t="s">
        <v>1298</v>
      </c>
      <c r="D17" s="2" t="str">
        <f>LEFT(TRIM(MID(SUBSTITUTE(tblShipments2[[#This Row],[Details]],CHAR(10)," "), FIND(CHAR(10),tblShipments2[[#This Row],[Details]])+1, 50)), 10)</f>
        <v>0507051360</v>
      </c>
      <c r="E17" t="s">
        <v>1304</v>
      </c>
      <c r="F1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 t="str">
        <f>IF(tblShipments2[[#This Row],[EGM no]]="", "Missing EGM", "EGM Submitted")</f>
        <v>EGM Submitted</v>
      </c>
      <c r="H17" t="str">
        <f>IF(OR(ISNUMBER(SEARCH("Released",tblShipments2[[#This Row],[ROSL]])),
      ISNUMBER(SEARCH("Scroll",tblShipments2[[#This Row],[ROSL]])),
      ISNUMBER(SEARCH("Y",tblShipments2[[#This Row],[ROSL]]))),
   "Released",
   "Not Released")</f>
        <v>Released</v>
      </c>
      <c r="I17" t="str">
        <f>IF(OR(tblShipments2[[#This Row],[EGM no]]="", tblShipments2[[#This Row],[EGM no]]="N.A."), "Not Submitted", "Submitted")</f>
        <v>Submitted</v>
      </c>
      <c r="J17" t="str">
        <f>IF(LEFT(tblShipments2[[#This Row],[Gateway_Extracted]],2)="IN","Valid","Invalid")</f>
        <v>Valid</v>
      </c>
      <c r="K17" t="s">
        <v>1305</v>
      </c>
      <c r="L17" t="s">
        <v>1306</v>
      </c>
      <c r="M17" t="s">
        <v>13</v>
      </c>
      <c r="N17" t="s">
        <v>1307</v>
      </c>
      <c r="O17" t="str">
        <f>IFERROR("IN" &amp; _xlfn.TEXTBEFORE(_xlfn.TEXTAFTER(UPPER(tblShipments2[[#This Row],[Gateway_clean]]),"IN")," ",1),"")</f>
        <v>INNSA1</v>
      </c>
      <c r="P17" t="str">
        <f>SUBSTITUTE(tblShipments2[[#This Row],[Gateway]], CHAR(10), " ")</f>
        <v xml:space="preserve">AWB No. Gateway Port Gateway EGM No. Gateway EGM Date Gateway Site ID Error Code N.A.  INNSA1  139647  2017-11-28 00:00:00.0  INNSA1  S </v>
      </c>
      <c r="Q17" t="s">
        <v>1308</v>
      </c>
    </row>
    <row r="18" spans="1:17" x14ac:dyDescent="0.35">
      <c r="A18" t="s">
        <v>8</v>
      </c>
      <c r="B18">
        <v>1197442</v>
      </c>
      <c r="C18" s="2" t="s">
        <v>1298</v>
      </c>
      <c r="D18" s="2" t="str">
        <f>LEFT(TRIM(MID(SUBSTITUTE(tblShipments2[[#This Row],[Details]],CHAR(10)," "), FIND(CHAR(10),tblShipments2[[#This Row],[Details]])+1, 50)), 10)</f>
        <v>0592006832</v>
      </c>
      <c r="E18" t="s">
        <v>1309</v>
      </c>
      <c r="F1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 t="str">
        <f>IF(tblShipments2[[#This Row],[EGM no]]="", "Missing EGM", "EGM Submitted")</f>
        <v>EGM Submitted</v>
      </c>
      <c r="H18" t="str">
        <f>IF(OR(ISNUMBER(SEARCH("Released",tblShipments2[[#This Row],[ROSL]])),
      ISNUMBER(SEARCH("Scroll",tblShipments2[[#This Row],[ROSL]])),
      ISNUMBER(SEARCH("Y",tblShipments2[[#This Row],[ROSL]]))),
   "Released",
   "Not Released")</f>
        <v>Released</v>
      </c>
      <c r="I18" t="str">
        <f>IF(OR(tblShipments2[[#This Row],[EGM no]]="", tblShipments2[[#This Row],[EGM no]]="N.A."), "Not Submitted", "Submitted")</f>
        <v>Submitted</v>
      </c>
      <c r="J18" t="str">
        <f>IF(LEFT(tblShipments2[[#This Row],[Gateway_Extracted]],2)="IN","Valid","Invalid")</f>
        <v>Valid</v>
      </c>
      <c r="K18" t="s">
        <v>1310</v>
      </c>
      <c r="L18" t="s">
        <v>1311</v>
      </c>
      <c r="M18" t="s">
        <v>31</v>
      </c>
      <c r="N18" t="s">
        <v>1312</v>
      </c>
      <c r="O18" t="str">
        <f>IFERROR("IN" &amp; _xlfn.TEXTBEFORE(_xlfn.TEXTAFTER(UPPER(tblShipments2[[#This Row],[Gateway_clean]]),"IN")," ",1),"")</f>
        <v>INNSA1</v>
      </c>
      <c r="P18" t="str">
        <f>SUBSTITUTE(tblShipments2[[#This Row],[Gateway]], CHAR(10), " ")</f>
        <v xml:space="preserve">AWB No. Gateway Port Gateway EGM No. Gateway EGM Date Gateway Site ID Error Code N.A.  INNSA1  139757  2017-11-29 00:00:00.0  INNSA1  S </v>
      </c>
      <c r="Q18" t="s">
        <v>1313</v>
      </c>
    </row>
    <row r="19" spans="1:17" x14ac:dyDescent="0.35">
      <c r="A19" t="s">
        <v>8</v>
      </c>
      <c r="B19">
        <v>1206147</v>
      </c>
      <c r="C19" s="2" t="s">
        <v>1314</v>
      </c>
      <c r="D19" s="2" t="str">
        <f>LEFT(TRIM(MID(SUBSTITUTE(tblShipments2[[#This Row],[Details]],CHAR(10)," "), FIND(CHAR(10),tblShipments2[[#This Row],[Details]])+1, 50)), 10)</f>
        <v>0510019439</v>
      </c>
      <c r="E19" t="s">
        <v>1315</v>
      </c>
      <c r="F1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 t="str">
        <f>IF(tblShipments2[[#This Row],[EGM no]]="", "Missing EGM", "EGM Submitted")</f>
        <v>EGM Submitted</v>
      </c>
      <c r="H19" t="str">
        <f>IF(OR(ISNUMBER(SEARCH("Released",tblShipments2[[#This Row],[ROSL]])),
      ISNUMBER(SEARCH("Scroll",tblShipments2[[#This Row],[ROSL]])),
      ISNUMBER(SEARCH("Y",tblShipments2[[#This Row],[ROSL]]))),
   "Released",
   "Not Released")</f>
        <v>Released</v>
      </c>
      <c r="I19" t="str">
        <f>IF(OR(tblShipments2[[#This Row],[EGM no]]="", tblShipments2[[#This Row],[EGM no]]="N.A."), "Not Submitted", "Submitted")</f>
        <v>Submitted</v>
      </c>
      <c r="J19" t="str">
        <f>IF(LEFT(tblShipments2[[#This Row],[Gateway_Extracted]],2)="IN","Valid","Invalid")</f>
        <v>Valid</v>
      </c>
      <c r="K19" t="s">
        <v>1316</v>
      </c>
      <c r="L19" t="s">
        <v>1317</v>
      </c>
      <c r="M19" t="s">
        <v>31</v>
      </c>
      <c r="N19" t="s">
        <v>1318</v>
      </c>
      <c r="O19" t="str">
        <f>IFERROR("IN" &amp; _xlfn.TEXTBEFORE(_xlfn.TEXTAFTER(UPPER(tblShipments2[[#This Row],[Gateway_clean]]),"IN")," ",1),"")</f>
        <v>INMUN1</v>
      </c>
      <c r="P19" t="str">
        <f>SUBSTITUTE(tblShipments2[[#This Row],[Gateway]], CHAR(10), " ")</f>
        <v xml:space="preserve">AWB No. Gateway Port Gateway EGM No. Gateway EGM Date Gateway Site ID Error Code N.A.  INMUN1  141045  2017-12-20 00:00:00.0  INMUN1  S </v>
      </c>
      <c r="Q19" t="s">
        <v>1319</v>
      </c>
    </row>
    <row r="20" spans="1:17" x14ac:dyDescent="0.35">
      <c r="A20" t="s">
        <v>8</v>
      </c>
      <c r="B20">
        <v>1220745</v>
      </c>
      <c r="C20" s="2" t="s">
        <v>1314</v>
      </c>
      <c r="D20" s="2" t="str">
        <f>LEFT(TRIM(MID(SUBSTITUTE(tblShipments2[[#This Row],[Details]],CHAR(10)," "), FIND(CHAR(10),tblShipments2[[#This Row],[Details]])+1, 50)), 10)</f>
        <v>0515933520</v>
      </c>
      <c r="E20" t="s">
        <v>1320</v>
      </c>
      <c r="F2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 t="str">
        <f>IF(tblShipments2[[#This Row],[EGM no]]="", "Missing EGM", "EGM Submitted")</f>
        <v>EGM Submitted</v>
      </c>
      <c r="H20" t="str">
        <f>IF(OR(ISNUMBER(SEARCH("Released",tblShipments2[[#This Row],[ROSL]])),
      ISNUMBER(SEARCH("Scroll",tblShipments2[[#This Row],[ROSL]])),
      ISNUMBER(SEARCH("Y",tblShipments2[[#This Row],[ROSL]]))),
   "Released",
   "Not Released")</f>
        <v>Released</v>
      </c>
      <c r="I20" t="str">
        <f>IF(OR(tblShipments2[[#This Row],[EGM no]]="", tblShipments2[[#This Row],[EGM no]]="N.A."), "Not Submitted", "Submitted")</f>
        <v>Submitted</v>
      </c>
      <c r="J20" t="str">
        <f>IF(LEFT(tblShipments2[[#This Row],[Gateway_Extracted]],2)="IN","Valid","Invalid")</f>
        <v>Valid</v>
      </c>
      <c r="K20" t="s">
        <v>1321</v>
      </c>
      <c r="L20" t="s">
        <v>1322</v>
      </c>
      <c r="M20" t="s">
        <v>13</v>
      </c>
      <c r="N20" t="s">
        <v>1323</v>
      </c>
      <c r="O20" t="str">
        <f>IFERROR("IN" &amp; _xlfn.TEXTBEFORE(_xlfn.TEXTAFTER(UPPER(tblShipments2[[#This Row],[Gateway_clean]]),"IN")," ",1),"")</f>
        <v>INNSA1</v>
      </c>
      <c r="P20" t="str">
        <f>SUBSTITUTE(tblShipments2[[#This Row],[Gateway]], CHAR(10), " ")</f>
        <v xml:space="preserve">AWB No. Gateway Port Gateway EGM No. Gateway EGM Date Gateway Site ID Error Code N.A.  INNSA1  138234  2017-11-06 00:00:00.0  INNSA1  S </v>
      </c>
      <c r="Q20" t="s">
        <v>1324</v>
      </c>
    </row>
    <row r="21" spans="1:17" x14ac:dyDescent="0.35">
      <c r="A21" t="s">
        <v>8</v>
      </c>
      <c r="B21">
        <v>1223298</v>
      </c>
      <c r="C21" s="2" t="s">
        <v>1314</v>
      </c>
      <c r="D21" s="2" t="str">
        <f>LEFT(TRIM(MID(SUBSTITUTE(tblShipments2[[#This Row],[Details]],CHAR(10)," "), FIND(CHAR(10),tblShipments2[[#This Row],[Details]])+1, 50)), 10)</f>
        <v>0514078901</v>
      </c>
      <c r="E21" t="s">
        <v>1325</v>
      </c>
      <c r="F2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 t="str">
        <f>IF(tblShipments2[[#This Row],[EGM no]]="", "Missing EGM", "EGM Submitted")</f>
        <v>EGM Submitted</v>
      </c>
      <c r="H21" t="str">
        <f>IF(OR(ISNUMBER(SEARCH("Released",tblShipments2[[#This Row],[ROSL]])),
      ISNUMBER(SEARCH("Scroll",tblShipments2[[#This Row],[ROSL]])),
      ISNUMBER(SEARCH("Y",tblShipments2[[#This Row],[ROSL]]))),
   "Released",
   "Not Released")</f>
        <v>Released</v>
      </c>
      <c r="I21" t="str">
        <f>IF(OR(tblShipments2[[#This Row],[EGM no]]="", tblShipments2[[#This Row],[EGM no]]="N.A."), "Not Submitted", "Submitted")</f>
        <v>Submitted</v>
      </c>
      <c r="J21" t="str">
        <f>IF(LEFT(tblShipments2[[#This Row],[Gateway_Extracted]],2)="IN","Valid","Invalid")</f>
        <v>Valid</v>
      </c>
      <c r="K21" t="s">
        <v>1326</v>
      </c>
      <c r="L21" t="s">
        <v>1327</v>
      </c>
      <c r="M21" t="s">
        <v>31</v>
      </c>
      <c r="N21" t="s">
        <v>1328</v>
      </c>
      <c r="O21" t="str">
        <f>IFERROR("IN" &amp; _xlfn.TEXTBEFORE(_xlfn.TEXTAFTER(UPPER(tblShipments2[[#This Row],[Gateway_clean]]),"IN")," ",1),"")</f>
        <v>INNSA1</v>
      </c>
      <c r="P21" t="str">
        <f>SUBSTITUTE(tblShipments2[[#This Row],[Gateway]], CHAR(10), " ")</f>
        <v xml:space="preserve">AWB No. Gateway Port Gateway EGM No. Gateway EGM Date Gateway Site ID Error Code N.A.  INNSA1  N.A.  N.A.  N.A.  N.A. </v>
      </c>
      <c r="Q21" t="s">
        <v>26</v>
      </c>
    </row>
    <row r="22" spans="1:17" x14ac:dyDescent="0.35">
      <c r="A22" t="s">
        <v>8</v>
      </c>
      <c r="B22">
        <v>1223301</v>
      </c>
      <c r="C22" s="2" t="s">
        <v>1314</v>
      </c>
      <c r="D22" s="2" t="str">
        <f>LEFT(TRIM(MID(SUBSTITUTE(tblShipments2[[#This Row],[Details]],CHAR(10)," "), FIND(CHAR(10),tblShipments2[[#This Row],[Details]])+1, 50)), 10)</f>
        <v>0514078901</v>
      </c>
      <c r="E22" t="s">
        <v>1329</v>
      </c>
      <c r="F2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 t="str">
        <f>IF(tblShipments2[[#This Row],[EGM no]]="", "Missing EGM", "EGM Submitted")</f>
        <v>EGM Submitted</v>
      </c>
      <c r="H22" t="str">
        <f>IF(OR(ISNUMBER(SEARCH("Released",tblShipments2[[#This Row],[ROSL]])),
      ISNUMBER(SEARCH("Scroll",tblShipments2[[#This Row],[ROSL]])),
      ISNUMBER(SEARCH("Y",tblShipments2[[#This Row],[ROSL]]))),
   "Released",
   "Not Released")</f>
        <v>Released</v>
      </c>
      <c r="I22" t="str">
        <f>IF(OR(tblShipments2[[#This Row],[EGM no]]="", tblShipments2[[#This Row],[EGM no]]="N.A."), "Not Submitted", "Submitted")</f>
        <v>Submitted</v>
      </c>
      <c r="J22" t="str">
        <f>IF(LEFT(tblShipments2[[#This Row],[Gateway_Extracted]],2)="IN","Valid","Invalid")</f>
        <v>Valid</v>
      </c>
      <c r="K22" t="s">
        <v>1326</v>
      </c>
      <c r="L22" t="s">
        <v>1327</v>
      </c>
      <c r="M22" t="s">
        <v>31</v>
      </c>
      <c r="N22" t="s">
        <v>1330</v>
      </c>
      <c r="O22" t="str">
        <f>IFERROR("IN" &amp; _xlfn.TEXTBEFORE(_xlfn.TEXTAFTER(UPPER(tblShipments2[[#This Row],[Gateway_clean]]),"IN")," ",1),"")</f>
        <v>INNSA1</v>
      </c>
      <c r="P22" t="str">
        <f>SUBSTITUTE(tblShipments2[[#This Row],[Gateway]], CHAR(10), " ")</f>
        <v xml:space="preserve">AWB No. Gateway Port Gateway EGM No. Gateway EGM Date Gateway Site ID Error Code N.A.  INNSA1  N.A.  N.A.  N.A.  N.A. </v>
      </c>
      <c r="Q22" t="s">
        <v>26</v>
      </c>
    </row>
    <row r="23" spans="1:17" x14ac:dyDescent="0.35">
      <c r="A23" t="s">
        <v>8</v>
      </c>
      <c r="B23">
        <v>1223387</v>
      </c>
      <c r="C23" s="2" t="s">
        <v>1314</v>
      </c>
      <c r="D23" s="2" t="str">
        <f>LEFT(TRIM(MID(SUBSTITUTE(tblShipments2[[#This Row],[Details]],CHAR(10)," "), FIND(CHAR(10),tblShipments2[[#This Row],[Details]])+1, 50)), 10)</f>
        <v>0511068212</v>
      </c>
      <c r="E23" t="s">
        <v>1331</v>
      </c>
      <c r="F2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 t="str">
        <f>IF(tblShipments2[[#This Row],[EGM no]]="", "Missing EGM", "EGM Submitted")</f>
        <v>EGM Submitted</v>
      </c>
      <c r="H23" t="str">
        <f>IF(OR(ISNUMBER(SEARCH("Released",tblShipments2[[#This Row],[ROSL]])),
      ISNUMBER(SEARCH("Scroll",tblShipments2[[#This Row],[ROSL]])),
      ISNUMBER(SEARCH("Y",tblShipments2[[#This Row],[ROSL]]))),
   "Released",
   "Not Released")</f>
        <v>Released</v>
      </c>
      <c r="I23" t="str">
        <f>IF(OR(tblShipments2[[#This Row],[EGM no]]="", tblShipments2[[#This Row],[EGM no]]="N.A."), "Not Submitted", "Submitted")</f>
        <v>Submitted</v>
      </c>
      <c r="J23" t="str">
        <f>IF(LEFT(tblShipments2[[#This Row],[Gateway_Extracted]],2)="IN","Valid","Invalid")</f>
        <v>Valid</v>
      </c>
      <c r="K23" t="s">
        <v>1332</v>
      </c>
      <c r="L23" t="s">
        <v>1333</v>
      </c>
      <c r="M23" t="s">
        <v>13</v>
      </c>
      <c r="N23" t="s">
        <v>1334</v>
      </c>
      <c r="O23" t="str">
        <f>IFERROR("IN" &amp; _xlfn.TEXTBEFORE(_xlfn.TEXTAFTER(UPPER(tblShipments2[[#This Row],[Gateway_clean]]),"IN")," ",1),"")</f>
        <v>INNSA1</v>
      </c>
      <c r="P23" t="str">
        <f>SUBSTITUTE(tblShipments2[[#This Row],[Gateway]], CHAR(10), " ")</f>
        <v xml:space="preserve">AWB No. Gateway Port Gateway EGM No. Gateway EGM Date Gateway Site ID Error Code N.A.  INNSA1  139773  2017-11-29 00:00:00.0  INNSA1  S </v>
      </c>
      <c r="Q23" t="s">
        <v>1335</v>
      </c>
    </row>
    <row r="24" spans="1:17" x14ac:dyDescent="0.35">
      <c r="A24" t="s">
        <v>8</v>
      </c>
      <c r="B24">
        <v>1235474</v>
      </c>
      <c r="C24" s="2" t="s">
        <v>1336</v>
      </c>
      <c r="D24" s="2" t="str">
        <f>LEFT(TRIM(MID(SUBSTITUTE(tblShipments2[[#This Row],[Details]],CHAR(10)," "), FIND(CHAR(10),tblShipments2[[#This Row],[Details]])+1, 50)), 10)</f>
        <v>3393002155</v>
      </c>
      <c r="E24" t="s">
        <v>1337</v>
      </c>
      <c r="F2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 t="str">
        <f>IF(tblShipments2[[#This Row],[EGM no]]="", "Missing EGM", "EGM Submitted")</f>
        <v>EGM Submitted</v>
      </c>
      <c r="H24" t="str">
        <f>IF(OR(ISNUMBER(SEARCH("Released",tblShipments2[[#This Row],[ROSL]])),
      ISNUMBER(SEARCH("Scroll",tblShipments2[[#This Row],[ROSL]])),
      ISNUMBER(SEARCH("Y",tblShipments2[[#This Row],[ROSL]]))),
   "Released",
   "Not Released")</f>
        <v>Released</v>
      </c>
      <c r="I24" t="str">
        <f>IF(OR(tblShipments2[[#This Row],[EGM no]]="", tblShipments2[[#This Row],[EGM no]]="N.A."), "Not Submitted", "Submitted")</f>
        <v>Submitted</v>
      </c>
      <c r="J24" t="str">
        <f>IF(LEFT(tblShipments2[[#This Row],[Gateway_Extracted]],2)="IN","Valid","Invalid")</f>
        <v>Valid</v>
      </c>
      <c r="K24" t="s">
        <v>1338</v>
      </c>
      <c r="L24" t="s">
        <v>1339</v>
      </c>
      <c r="M24" t="s">
        <v>13</v>
      </c>
      <c r="N24" t="s">
        <v>1340</v>
      </c>
      <c r="O24" t="str">
        <f>IFERROR("IN" &amp; _xlfn.TEXTBEFORE(_xlfn.TEXTAFTER(UPPER(tblShipments2[[#This Row],[Gateway_clean]]),"IN")," ",1),"")</f>
        <v>INMUN1</v>
      </c>
      <c r="P24" t="str">
        <f>SUBSTITUTE(tblShipments2[[#This Row],[Gateway]], CHAR(10), " ")</f>
        <v xml:space="preserve">AWB No. Gateway Port Gateway EGM No. Gateway EGM Date Gateway Site ID Error Code N.A.  INMUN1  138172  2017-11-03 00:00:00.0  INMUN1  S </v>
      </c>
      <c r="Q24" t="s">
        <v>1341</v>
      </c>
    </row>
    <row r="25" spans="1:17" x14ac:dyDescent="0.35">
      <c r="A25" t="s">
        <v>8</v>
      </c>
      <c r="B25">
        <v>1247813</v>
      </c>
      <c r="C25" s="2" t="s">
        <v>1336</v>
      </c>
      <c r="D25" s="2" t="str">
        <f>LEFT(TRIM(MID(SUBSTITUTE(tblShipments2[[#This Row],[Details]],CHAR(10)," "), FIND(CHAR(10),tblShipments2[[#This Row],[Details]])+1, 50)), 10)</f>
        <v>3003005391</v>
      </c>
      <c r="E25" t="s">
        <v>1342</v>
      </c>
      <c r="F2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 t="str">
        <f>IF(tblShipments2[[#This Row],[EGM no]]="", "Missing EGM", "EGM Submitted")</f>
        <v>EGM Submitted</v>
      </c>
      <c r="H25" t="str">
        <f>IF(OR(ISNUMBER(SEARCH("Released",tblShipments2[[#This Row],[ROSL]])),
      ISNUMBER(SEARCH("Scroll",tblShipments2[[#This Row],[ROSL]])),
      ISNUMBER(SEARCH("Y",tblShipments2[[#This Row],[ROSL]]))),
   "Released",
   "Not Released")</f>
        <v>Released</v>
      </c>
      <c r="I25" t="str">
        <f>IF(OR(tblShipments2[[#This Row],[EGM no]]="", tblShipments2[[#This Row],[EGM no]]="N.A."), "Not Submitted", "Submitted")</f>
        <v>Submitted</v>
      </c>
      <c r="J25" t="str">
        <f>IF(LEFT(tblShipments2[[#This Row],[Gateway_Extracted]],2)="IN","Valid","Invalid")</f>
        <v>Valid</v>
      </c>
      <c r="K25" t="s">
        <v>1343</v>
      </c>
      <c r="L25" t="s">
        <v>1344</v>
      </c>
      <c r="M25" t="s">
        <v>13</v>
      </c>
      <c r="N25" t="s">
        <v>1345</v>
      </c>
      <c r="O25" t="str">
        <f>IFERROR("IN" &amp; _xlfn.TEXTBEFORE(_xlfn.TEXTAFTER(UPPER(tblShipments2[[#This Row],[Gateway_clean]]),"IN")," ",1),"")</f>
        <v>INPAV1</v>
      </c>
      <c r="P25" t="str">
        <f>SUBSTITUTE(tblShipments2[[#This Row],[Gateway]], CHAR(10), " ")</f>
        <v xml:space="preserve">AWB No. Gateway Port Gateway EGM No. Gateway EGM Date Gateway Site ID Error Code N.A.  INPAV1  139653  2017-11-28 00:00:00.0  INPAV1  S </v>
      </c>
      <c r="Q25" t="s">
        <v>1346</v>
      </c>
    </row>
    <row r="26" spans="1:17" x14ac:dyDescent="0.35">
      <c r="A26" t="s">
        <v>8</v>
      </c>
      <c r="B26">
        <v>1249499</v>
      </c>
      <c r="C26" s="2" t="s">
        <v>1336</v>
      </c>
      <c r="D26" s="2" t="str">
        <f>LEFT(TRIM(MID(SUBSTITUTE(tblShipments2[[#This Row],[Details]],CHAR(10)," "), FIND(CHAR(10),tblShipments2[[#This Row],[Details]])+1, 50)), 10)</f>
        <v>0500075158</v>
      </c>
      <c r="E26" t="s">
        <v>1347</v>
      </c>
      <c r="F2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 t="str">
        <f>IF(tblShipments2[[#This Row],[EGM no]]="", "Missing EGM", "EGM Submitted")</f>
        <v>EGM Submitted</v>
      </c>
      <c r="H26" t="str">
        <f>IF(OR(ISNUMBER(SEARCH("Released",tblShipments2[[#This Row],[ROSL]])),
      ISNUMBER(SEARCH("Scroll",tblShipments2[[#This Row],[ROSL]])),
      ISNUMBER(SEARCH("Y",tblShipments2[[#This Row],[ROSL]]))),
   "Released",
   "Not Released")</f>
        <v>Released</v>
      </c>
      <c r="I26" t="str">
        <f>IF(OR(tblShipments2[[#This Row],[EGM no]]="", tblShipments2[[#This Row],[EGM no]]="N.A."), "Not Submitted", "Submitted")</f>
        <v>Submitted</v>
      </c>
      <c r="J26" t="str">
        <f>IF(LEFT(tblShipments2[[#This Row],[Gateway_Extracted]],2)="IN","Valid","Invalid")</f>
        <v>Valid</v>
      </c>
      <c r="K26" t="s">
        <v>1343</v>
      </c>
      <c r="L26" t="s">
        <v>1348</v>
      </c>
      <c r="M26" t="s">
        <v>1349</v>
      </c>
      <c r="N26" t="s">
        <v>1350</v>
      </c>
      <c r="O26" t="str">
        <f>IFERROR("IN" &amp; _xlfn.TEXTBEFORE(_xlfn.TEXTAFTER(UPPER(tblShipments2[[#This Row],[Gateway_clean]]),"IN")," ",1),"")</f>
        <v>INMUN1</v>
      </c>
      <c r="P26" t="str">
        <f>SUBSTITUTE(tblShipments2[[#This Row],[Gateway]], CHAR(10), " ")</f>
        <v xml:space="preserve">AWB No. Gateway Port Gateway EGM No. Gateway EGM Date Gateway Site ID Error Code N.A.  INMUN1  138172  2017-11-03 00:00:00.0  INMUN1  S </v>
      </c>
      <c r="Q26" t="s">
        <v>1341</v>
      </c>
    </row>
    <row r="27" spans="1:17" x14ac:dyDescent="0.35">
      <c r="A27" t="s">
        <v>8</v>
      </c>
      <c r="B27">
        <v>1249514</v>
      </c>
      <c r="C27" s="2" t="s">
        <v>1336</v>
      </c>
      <c r="D27" s="2" t="str">
        <f>LEFT(TRIM(MID(SUBSTITUTE(tblShipments2[[#This Row],[Details]],CHAR(10)," "), FIND(CHAR(10),tblShipments2[[#This Row],[Details]])+1, 50)), 10)</f>
        <v>0500075158</v>
      </c>
      <c r="E27" t="s">
        <v>1351</v>
      </c>
      <c r="F2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 t="str">
        <f>IF(tblShipments2[[#This Row],[EGM no]]="", "Missing EGM", "EGM Submitted")</f>
        <v>EGM Submitted</v>
      </c>
      <c r="H27" t="str">
        <f>IF(OR(ISNUMBER(SEARCH("Released",tblShipments2[[#This Row],[ROSL]])),
      ISNUMBER(SEARCH("Scroll",tblShipments2[[#This Row],[ROSL]])),
      ISNUMBER(SEARCH("Y",tblShipments2[[#This Row],[ROSL]]))),
   "Released",
   "Not Released")</f>
        <v>Released</v>
      </c>
      <c r="I27" t="str">
        <f>IF(OR(tblShipments2[[#This Row],[EGM no]]="", tblShipments2[[#This Row],[EGM no]]="N.A."), "Not Submitted", "Submitted")</f>
        <v>Submitted</v>
      </c>
      <c r="J27" t="str">
        <f>IF(LEFT(tblShipments2[[#This Row],[Gateway_Extracted]],2)="IN","Valid","Invalid")</f>
        <v>Valid</v>
      </c>
      <c r="K27" t="s">
        <v>1343</v>
      </c>
      <c r="L27" t="s">
        <v>1348</v>
      </c>
      <c r="M27" t="s">
        <v>1352</v>
      </c>
      <c r="N27" t="s">
        <v>1353</v>
      </c>
      <c r="O27" t="str">
        <f>IFERROR("IN" &amp; _xlfn.TEXTBEFORE(_xlfn.TEXTAFTER(UPPER(tblShipments2[[#This Row],[Gateway_clean]]),"IN")," ",1),"")</f>
        <v>INMUN1</v>
      </c>
      <c r="P27" t="str">
        <f>SUBSTITUTE(tblShipments2[[#This Row],[Gateway]], CHAR(10), " ")</f>
        <v xml:space="preserve">AWB No. Gateway Port Gateway EGM No. Gateway EGM Date Gateway Site ID Error Code N.A.  INMUN1  138172  2017-11-03 00:00:00.0  INMUN1  S </v>
      </c>
      <c r="Q27" t="s">
        <v>1341</v>
      </c>
    </row>
    <row r="28" spans="1:17" x14ac:dyDescent="0.35">
      <c r="A28" t="s">
        <v>8</v>
      </c>
      <c r="B28">
        <v>1252402</v>
      </c>
      <c r="C28" s="2" t="s">
        <v>1336</v>
      </c>
      <c r="D28" s="2" t="str">
        <f>LEFT(TRIM(MID(SUBSTITUTE(tblShipments2[[#This Row],[Details]],CHAR(10)," "), FIND(CHAR(10),tblShipments2[[#This Row],[Details]])+1, 50)), 10)</f>
        <v>0509003061</v>
      </c>
      <c r="E28" t="s">
        <v>1354</v>
      </c>
      <c r="F2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 t="str">
        <f>IF(tblShipments2[[#This Row],[EGM no]]="", "Missing EGM", "EGM Submitted")</f>
        <v>EGM Submitted</v>
      </c>
      <c r="H28" t="str">
        <f>IF(OR(ISNUMBER(SEARCH("Released",tblShipments2[[#This Row],[ROSL]])),
      ISNUMBER(SEARCH("Scroll",tblShipments2[[#This Row],[ROSL]])),
      ISNUMBER(SEARCH("Y",tblShipments2[[#This Row],[ROSL]]))),
   "Released",
   "Not Released")</f>
        <v>Released</v>
      </c>
      <c r="I28" t="str">
        <f>IF(OR(tblShipments2[[#This Row],[EGM no]]="", tblShipments2[[#This Row],[EGM no]]="N.A."), "Not Submitted", "Submitted")</f>
        <v>Submitted</v>
      </c>
      <c r="J28" t="str">
        <f>IF(LEFT(tblShipments2[[#This Row],[Gateway_Extracted]],2)="IN","Valid","Invalid")</f>
        <v>Valid</v>
      </c>
      <c r="K28" t="s">
        <v>1355</v>
      </c>
      <c r="L28" t="s">
        <v>1356</v>
      </c>
      <c r="M28" t="s">
        <v>13</v>
      </c>
      <c r="N28" t="s">
        <v>1357</v>
      </c>
      <c r="O28" t="str">
        <f>IFERROR("IN" &amp; _xlfn.TEXTBEFORE(_xlfn.TEXTAFTER(UPPER(tblShipments2[[#This Row],[Gateway_clean]]),"IN")," ",1),"")</f>
        <v>INMUN1</v>
      </c>
      <c r="P28" t="str">
        <f>SUBSTITUTE(tblShipments2[[#This Row],[Gateway]], CHAR(10), " ")</f>
        <v xml:space="preserve">AWB No. Gateway Port Gateway EGM No. Gateway EGM Date Gateway Site ID Error Code N.A.  INMUN1  138681  2017-11-13 00:00:00.0  INMUN1  S </v>
      </c>
      <c r="Q28" t="s">
        <v>1358</v>
      </c>
    </row>
    <row r="29" spans="1:17" x14ac:dyDescent="0.35">
      <c r="A29" t="s">
        <v>8</v>
      </c>
      <c r="B29">
        <v>1254519</v>
      </c>
      <c r="C29" s="2" t="s">
        <v>1336</v>
      </c>
      <c r="D29" s="2" t="str">
        <f>LEFT(TRIM(MID(SUBSTITUTE(tblShipments2[[#This Row],[Details]],CHAR(10)," "), FIND(CHAR(10),tblShipments2[[#This Row],[Details]])+1, 50)), 10)</f>
        <v>0509003061</v>
      </c>
      <c r="E29" t="s">
        <v>1359</v>
      </c>
      <c r="F2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 t="str">
        <f>IF(tblShipments2[[#This Row],[EGM no]]="", "Missing EGM", "EGM Submitted")</f>
        <v>EGM Submitted</v>
      </c>
      <c r="H29" t="str">
        <f>IF(OR(ISNUMBER(SEARCH("Released",tblShipments2[[#This Row],[ROSL]])),
      ISNUMBER(SEARCH("Scroll",tblShipments2[[#This Row],[ROSL]])),
      ISNUMBER(SEARCH("Y",tblShipments2[[#This Row],[ROSL]]))),
   "Released",
   "Not Released")</f>
        <v>Released</v>
      </c>
      <c r="I29" t="str">
        <f>IF(OR(tblShipments2[[#This Row],[EGM no]]="", tblShipments2[[#This Row],[EGM no]]="N.A."), "Not Submitted", "Submitted")</f>
        <v>Submitted</v>
      </c>
      <c r="J29" t="str">
        <f>IF(LEFT(tblShipments2[[#This Row],[Gateway_Extracted]],2)="IN","Valid","Invalid")</f>
        <v>Valid</v>
      </c>
      <c r="K29" t="s">
        <v>1360</v>
      </c>
      <c r="L29" t="s">
        <v>1356</v>
      </c>
      <c r="M29" t="s">
        <v>13</v>
      </c>
      <c r="N29" t="s">
        <v>1361</v>
      </c>
      <c r="O29" t="str">
        <f>IFERROR("IN" &amp; _xlfn.TEXTBEFORE(_xlfn.TEXTAFTER(UPPER(tblShipments2[[#This Row],[Gateway_clean]]),"IN")," ",1),"")</f>
        <v>INMUN1</v>
      </c>
      <c r="P29" t="str">
        <f>SUBSTITUTE(tblShipments2[[#This Row],[Gateway]], CHAR(10), " ")</f>
        <v xml:space="preserve">AWB No. Gateway Port Gateway EGM No. Gateway EGM Date Gateway Site ID Error Code N.A.  INMUN1  138991  2017-11-17 00:00:00.0  INMUN1  S </v>
      </c>
      <c r="Q29" t="s">
        <v>1362</v>
      </c>
    </row>
    <row r="30" spans="1:17" x14ac:dyDescent="0.35">
      <c r="A30" t="s">
        <v>8</v>
      </c>
      <c r="B30">
        <v>1254838</v>
      </c>
      <c r="C30" s="2" t="s">
        <v>1336</v>
      </c>
      <c r="D30" s="2" t="str">
        <f>LEFT(TRIM(MID(SUBSTITUTE(tblShipments2[[#This Row],[Details]],CHAR(10)," "), FIND(CHAR(10),tblShipments2[[#This Row],[Details]])+1, 50)), 10)</f>
        <v>0512064172</v>
      </c>
      <c r="E30" t="s">
        <v>1363</v>
      </c>
      <c r="F3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 t="str">
        <f>IF(tblShipments2[[#This Row],[EGM no]]="", "Missing EGM", "EGM Submitted")</f>
        <v>EGM Submitted</v>
      </c>
      <c r="H30" t="str">
        <f>IF(OR(ISNUMBER(SEARCH("Released",tblShipments2[[#This Row],[ROSL]])),
      ISNUMBER(SEARCH("Scroll",tblShipments2[[#This Row],[ROSL]])),
      ISNUMBER(SEARCH("Y",tblShipments2[[#This Row],[ROSL]]))),
   "Released",
   "Not Released")</f>
        <v>Released</v>
      </c>
      <c r="I30" t="str">
        <f>IF(OR(tblShipments2[[#This Row],[EGM no]]="", tblShipments2[[#This Row],[EGM no]]="N.A."), "Not Submitted", "Submitted")</f>
        <v>Submitted</v>
      </c>
      <c r="J30" t="str">
        <f>IF(LEFT(tblShipments2[[#This Row],[Gateway_Extracted]],2)="IN","Valid","Invalid")</f>
        <v>Valid</v>
      </c>
      <c r="K30" t="s">
        <v>1364</v>
      </c>
      <c r="L30" t="s">
        <v>1365</v>
      </c>
      <c r="M30" t="s">
        <v>1366</v>
      </c>
      <c r="N30" t="s">
        <v>1367</v>
      </c>
      <c r="O30" t="str">
        <f>IFERROR("IN" &amp; _xlfn.TEXTBEFORE(_xlfn.TEXTAFTER(UPPER(tblShipments2[[#This Row],[Gateway_clean]]),"IN")," ",1),"")</f>
        <v>INMUN1</v>
      </c>
      <c r="P30" t="str">
        <f>SUBSTITUTE(tblShipments2[[#This Row],[Gateway]], CHAR(10), " ")</f>
        <v xml:space="preserve">AWB No. Gateway Port Gateway EGM No. Gateway EGM Date Gateway Site ID Error Code N.A.  INMUN1  140232  2017-12-07 00:00:00.0  INMUN1  S </v>
      </c>
      <c r="Q30" t="s">
        <v>1368</v>
      </c>
    </row>
    <row r="31" spans="1:17" x14ac:dyDescent="0.35">
      <c r="A31" t="s">
        <v>8</v>
      </c>
      <c r="B31">
        <v>1255601</v>
      </c>
      <c r="C31" s="2" t="s">
        <v>1336</v>
      </c>
      <c r="D31" s="2" t="str">
        <f>LEFT(TRIM(MID(SUBSTITUTE(tblShipments2[[#This Row],[Details]],CHAR(10)," "), FIND(CHAR(10),tblShipments2[[#This Row],[Details]])+1, 50)), 10)</f>
        <v>0513021612</v>
      </c>
      <c r="E31" t="s">
        <v>1369</v>
      </c>
      <c r="F3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 t="str">
        <f>IF(tblShipments2[[#This Row],[EGM no]]="", "Missing EGM", "EGM Submitted")</f>
        <v>EGM Submitted</v>
      </c>
      <c r="H31" t="str">
        <f>IF(OR(ISNUMBER(SEARCH("Released",tblShipments2[[#This Row],[ROSL]])),
      ISNUMBER(SEARCH("Scroll",tblShipments2[[#This Row],[ROSL]])),
      ISNUMBER(SEARCH("Y",tblShipments2[[#This Row],[ROSL]]))),
   "Released",
   "Not Released")</f>
        <v>Released</v>
      </c>
      <c r="I31" t="str">
        <f>IF(OR(tblShipments2[[#This Row],[EGM no]]="", tblShipments2[[#This Row],[EGM no]]="N.A."), "Not Submitted", "Submitted")</f>
        <v>Submitted</v>
      </c>
      <c r="J31" t="str">
        <f>IF(LEFT(tblShipments2[[#This Row],[Gateway_Extracted]],2)="IN","Valid","Invalid")</f>
        <v>Valid</v>
      </c>
      <c r="K31" t="s">
        <v>1364</v>
      </c>
      <c r="L31" t="s">
        <v>1370</v>
      </c>
      <c r="M31" t="s">
        <v>13</v>
      </c>
      <c r="N31" t="s">
        <v>1371</v>
      </c>
      <c r="O31" t="str">
        <f>IFERROR("IN" &amp; _xlfn.TEXTBEFORE(_xlfn.TEXTAFTER(UPPER(tblShipments2[[#This Row],[Gateway_clean]]),"IN")," ",1),"")</f>
        <v>INNSA1</v>
      </c>
      <c r="P31" t="str">
        <f>SUBSTITUTE(tblShipments2[[#This Row],[Gateway]], CHAR(10), " ")</f>
        <v xml:space="preserve">AWB No. Gateway Port Gateway EGM No. Gateway EGM Date Gateway Site ID Error Code N.A.  INNSA1  139792  2017-11-30 00:00:00.0  INNSA1  S </v>
      </c>
      <c r="Q31" t="s">
        <v>1372</v>
      </c>
    </row>
    <row r="32" spans="1:17" x14ac:dyDescent="0.35">
      <c r="A32" t="s">
        <v>8</v>
      </c>
      <c r="B32">
        <v>1269121</v>
      </c>
      <c r="C32" s="2" t="s">
        <v>1373</v>
      </c>
      <c r="D32" s="2" t="str">
        <f>LEFT(TRIM(MID(SUBSTITUTE(tblShipments2[[#This Row],[Details]],CHAR(10)," "), FIND(CHAR(10),tblShipments2[[#This Row],[Details]])+1, 50)), 10)</f>
        <v>0516526065</v>
      </c>
      <c r="E32" t="s">
        <v>1374</v>
      </c>
      <c r="F3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 t="str">
        <f>IF(tblShipments2[[#This Row],[EGM no]]="", "Missing EGM", "EGM Submitted")</f>
        <v>EGM Submitted</v>
      </c>
      <c r="H32" t="str">
        <f>IF(OR(ISNUMBER(SEARCH("Released",tblShipments2[[#This Row],[ROSL]])),
      ISNUMBER(SEARCH("Scroll",tblShipments2[[#This Row],[ROSL]])),
      ISNUMBER(SEARCH("Y",tblShipments2[[#This Row],[ROSL]]))),
   "Released",
   "Not Released")</f>
        <v>Released</v>
      </c>
      <c r="I32" t="str">
        <f>IF(OR(tblShipments2[[#This Row],[EGM no]]="", tblShipments2[[#This Row],[EGM no]]="N.A."), "Not Submitted", "Submitted")</f>
        <v>Submitted</v>
      </c>
      <c r="J32" t="str">
        <f>IF(LEFT(tblShipments2[[#This Row],[Gateway_Extracted]],2)="IN","Valid","Invalid")</f>
        <v>Valid</v>
      </c>
      <c r="K32" t="s">
        <v>1364</v>
      </c>
      <c r="L32" t="s">
        <v>1375</v>
      </c>
      <c r="M32" t="s">
        <v>13</v>
      </c>
      <c r="N32" t="s">
        <v>1376</v>
      </c>
      <c r="O32" t="str">
        <f>IFERROR("IN" &amp; _xlfn.TEXTBEFORE(_xlfn.TEXTAFTER(UPPER(tblShipments2[[#This Row],[Gateway_clean]]),"IN")," ",1),"")</f>
        <v>INPAV1</v>
      </c>
      <c r="P32" t="str">
        <f>SUBSTITUTE(tblShipments2[[#This Row],[Gateway]], CHAR(10), " ")</f>
        <v xml:space="preserve">AWB No. Gateway Port Gateway EGM No. Gateway EGM Date Gateway Site ID Error Code N.A.  INPAV1  139963  2017-12-04 00:00:00.0  INPAV1  S </v>
      </c>
      <c r="Q32" t="s">
        <v>1377</v>
      </c>
    </row>
    <row r="33" spans="1:17" x14ac:dyDescent="0.35">
      <c r="A33" t="s">
        <v>8</v>
      </c>
      <c r="B33">
        <v>1274037</v>
      </c>
      <c r="C33" s="2" t="s">
        <v>1373</v>
      </c>
      <c r="D33" s="2" t="str">
        <f>LEFT(TRIM(MID(SUBSTITUTE(tblShipments2[[#This Row],[Details]],CHAR(10)," "), FIND(CHAR(10),tblShipments2[[#This Row],[Details]])+1, 50)), 10)</f>
        <v>0504077104</v>
      </c>
      <c r="E33" t="s">
        <v>1378</v>
      </c>
      <c r="F3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 t="str">
        <f>IF(tblShipments2[[#This Row],[EGM no]]="", "Missing EGM", "EGM Submitted")</f>
        <v>EGM Submitted</v>
      </c>
      <c r="H33" t="str">
        <f>IF(OR(ISNUMBER(SEARCH("Released",tblShipments2[[#This Row],[ROSL]])),
      ISNUMBER(SEARCH("Scroll",tblShipments2[[#This Row],[ROSL]])),
      ISNUMBER(SEARCH("Y",tblShipments2[[#This Row],[ROSL]]))),
   "Released",
   "Not Released")</f>
        <v>Released</v>
      </c>
      <c r="I33" t="str">
        <f>IF(OR(tblShipments2[[#This Row],[EGM no]]="", tblShipments2[[#This Row],[EGM no]]="N.A."), "Not Submitted", "Submitted")</f>
        <v>Submitted</v>
      </c>
      <c r="J33" t="str">
        <f>IF(LEFT(tblShipments2[[#This Row],[Gateway_Extracted]],2)="IN","Valid","Invalid")</f>
        <v>Valid</v>
      </c>
      <c r="K33" t="s">
        <v>1379</v>
      </c>
      <c r="L33" t="s">
        <v>1380</v>
      </c>
      <c r="M33" t="s">
        <v>13</v>
      </c>
      <c r="N33" t="s">
        <v>1381</v>
      </c>
      <c r="O33" t="str">
        <f>IFERROR("IN" &amp; _xlfn.TEXTBEFORE(_xlfn.TEXTAFTER(UPPER(tblShipments2[[#This Row],[Gateway_clean]]),"IN")," ",1),"")</f>
        <v>INMUN1</v>
      </c>
      <c r="P33" t="str">
        <f>SUBSTITUTE(tblShipments2[[#This Row],[Gateway]], CHAR(10), " ")</f>
        <v xml:space="preserve">AWB No. Gateway Port Gateway EGM No. Gateway EGM Date Gateway Site ID Error Code N.A.  INMUN1  140925  2017-12-19 00:00:00.0  INMUN1  S </v>
      </c>
      <c r="Q33" t="s">
        <v>1382</v>
      </c>
    </row>
    <row r="34" spans="1:17" x14ac:dyDescent="0.35">
      <c r="A34" t="s">
        <v>8</v>
      </c>
      <c r="B34">
        <v>1277877</v>
      </c>
      <c r="C34" s="2" t="s">
        <v>1373</v>
      </c>
      <c r="D34" s="2" t="str">
        <f>LEFT(TRIM(MID(SUBSTITUTE(tblShipments2[[#This Row],[Details]],CHAR(10)," "), FIND(CHAR(10),tblShipments2[[#This Row],[Details]])+1, 50)), 10)</f>
        <v>0588062359</v>
      </c>
      <c r="E34" t="s">
        <v>1383</v>
      </c>
      <c r="F3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 t="str">
        <f>IF(tblShipments2[[#This Row],[EGM no]]="", "Missing EGM", "EGM Submitted")</f>
        <v>EGM Submitted</v>
      </c>
      <c r="H34" t="str">
        <f>IF(OR(ISNUMBER(SEARCH("Released",tblShipments2[[#This Row],[ROSL]])),
      ISNUMBER(SEARCH("Scroll",tblShipments2[[#This Row],[ROSL]])),
      ISNUMBER(SEARCH("Y",tblShipments2[[#This Row],[ROSL]]))),
   "Released",
   "Not Released")</f>
        <v>Released</v>
      </c>
      <c r="I34" t="str">
        <f>IF(OR(tblShipments2[[#This Row],[EGM no]]="", tblShipments2[[#This Row],[EGM no]]="N.A."), "Not Submitted", "Submitted")</f>
        <v>Submitted</v>
      </c>
      <c r="J34" t="str">
        <f>IF(LEFT(tblShipments2[[#This Row],[Gateway_Extracted]],2)="IN","Valid","Invalid")</f>
        <v>Valid</v>
      </c>
      <c r="K34" t="s">
        <v>1379</v>
      </c>
      <c r="L34" t="s">
        <v>1384</v>
      </c>
      <c r="M34" t="s">
        <v>1385</v>
      </c>
      <c r="N34" t="s">
        <v>1386</v>
      </c>
      <c r="O34" t="str">
        <f>IFERROR("IN" &amp; _xlfn.TEXTBEFORE(_xlfn.TEXTAFTER(UPPER(tblShipments2[[#This Row],[Gateway_clean]]),"IN")," ",1),"")</f>
        <v>INNSA1</v>
      </c>
      <c r="P34" t="str">
        <f>SUBSTITUTE(tblShipments2[[#This Row],[Gateway]], CHAR(10), " ")</f>
        <v xml:space="preserve">AWB No. Gateway Port Gateway EGM No. Gateway EGM Date Gateway Site ID Error Code N.A.  INNSA1  140047  2017-12-05 00:00:00.0  INNSA1  S </v>
      </c>
      <c r="Q34" t="s">
        <v>1387</v>
      </c>
    </row>
    <row r="35" spans="1:17" x14ac:dyDescent="0.35">
      <c r="A35" t="s">
        <v>8</v>
      </c>
      <c r="B35">
        <v>1277880</v>
      </c>
      <c r="C35" s="2" t="s">
        <v>1373</v>
      </c>
      <c r="D35" s="2" t="str">
        <f>LEFT(TRIM(MID(SUBSTITUTE(tblShipments2[[#This Row],[Details]],CHAR(10)," "), FIND(CHAR(10),tblShipments2[[#This Row],[Details]])+1, 50)), 10)</f>
        <v>0588062359</v>
      </c>
      <c r="E35" t="s">
        <v>1388</v>
      </c>
      <c r="F3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 t="str">
        <f>IF(tblShipments2[[#This Row],[EGM no]]="", "Missing EGM", "EGM Submitted")</f>
        <v>EGM Submitted</v>
      </c>
      <c r="H35" t="str">
        <f>IF(OR(ISNUMBER(SEARCH("Released",tblShipments2[[#This Row],[ROSL]])),
      ISNUMBER(SEARCH("Scroll",tblShipments2[[#This Row],[ROSL]])),
      ISNUMBER(SEARCH("Y",tblShipments2[[#This Row],[ROSL]]))),
   "Released",
   "Not Released")</f>
        <v>Released</v>
      </c>
      <c r="I35" t="str">
        <f>IF(OR(tblShipments2[[#This Row],[EGM no]]="", tblShipments2[[#This Row],[EGM no]]="N.A."), "Not Submitted", "Submitted")</f>
        <v>Submitted</v>
      </c>
      <c r="J35" t="str">
        <f>IF(LEFT(tblShipments2[[#This Row],[Gateway_Extracted]],2)="IN","Valid","Invalid")</f>
        <v>Valid</v>
      </c>
      <c r="K35" t="s">
        <v>1389</v>
      </c>
      <c r="L35" t="s">
        <v>1384</v>
      </c>
      <c r="M35" t="s">
        <v>1390</v>
      </c>
      <c r="N35" t="s">
        <v>1391</v>
      </c>
      <c r="O35" t="str">
        <f>IFERROR("IN" &amp; _xlfn.TEXTBEFORE(_xlfn.TEXTAFTER(UPPER(tblShipments2[[#This Row],[Gateway_clean]]),"IN")," ",1),"")</f>
        <v>INNSA1</v>
      </c>
      <c r="P35" t="str">
        <f>SUBSTITUTE(tblShipments2[[#This Row],[Gateway]], CHAR(10), " ")</f>
        <v xml:space="preserve">AWB No. Gateway Port Gateway EGM No. Gateway EGM Date Gateway Site ID Error Code N.A.  INNSA1  140047  2017-12-05 00:00:00.0  INNSA1  S </v>
      </c>
      <c r="Q35" t="s">
        <v>1387</v>
      </c>
    </row>
    <row r="36" spans="1:17" x14ac:dyDescent="0.35">
      <c r="A36" t="s">
        <v>8</v>
      </c>
      <c r="B36">
        <v>1277951</v>
      </c>
      <c r="C36" s="2" t="s">
        <v>1373</v>
      </c>
      <c r="D36" s="2" t="str">
        <f>LEFT(TRIM(MID(SUBSTITUTE(tblShipments2[[#This Row],[Details]],CHAR(10)," "), FIND(CHAR(10),tblShipments2[[#This Row],[Details]])+1, 50)), 10)</f>
        <v>0588062359</v>
      </c>
      <c r="E36" t="s">
        <v>1392</v>
      </c>
      <c r="F3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 t="str">
        <f>IF(tblShipments2[[#This Row],[EGM no]]="", "Missing EGM", "EGM Submitted")</f>
        <v>EGM Submitted</v>
      </c>
      <c r="H36" t="str">
        <f>IF(OR(ISNUMBER(SEARCH("Released",tblShipments2[[#This Row],[ROSL]])),
      ISNUMBER(SEARCH("Scroll",tblShipments2[[#This Row],[ROSL]])),
      ISNUMBER(SEARCH("Y",tblShipments2[[#This Row],[ROSL]]))),
   "Released",
   "Not Released")</f>
        <v>Released</v>
      </c>
      <c r="I36" t="str">
        <f>IF(OR(tblShipments2[[#This Row],[EGM no]]="", tblShipments2[[#This Row],[EGM no]]="N.A."), "Not Submitted", "Submitted")</f>
        <v>Submitted</v>
      </c>
      <c r="J36" t="str">
        <f>IF(LEFT(tblShipments2[[#This Row],[Gateway_Extracted]],2)="IN","Valid","Invalid")</f>
        <v>Valid</v>
      </c>
      <c r="K36" t="s">
        <v>1389</v>
      </c>
      <c r="L36" t="s">
        <v>1384</v>
      </c>
      <c r="M36" t="s">
        <v>1390</v>
      </c>
      <c r="N36" t="s">
        <v>1391</v>
      </c>
      <c r="O36" t="str">
        <f>IFERROR("IN" &amp; _xlfn.TEXTBEFORE(_xlfn.TEXTAFTER(UPPER(tblShipments2[[#This Row],[Gateway_clean]]),"IN")," ",1),"")</f>
        <v>INNSA1</v>
      </c>
      <c r="P36" t="str">
        <f>SUBSTITUTE(tblShipments2[[#This Row],[Gateway]], CHAR(10), " ")</f>
        <v xml:space="preserve">AWB No. Gateway Port Gateway EGM No. Gateway EGM Date Gateway Site ID Error Code N.A.  INNSA1  140047  2017-12-05 00:00:00.0  INNSA1  S </v>
      </c>
      <c r="Q36" t="s">
        <v>1387</v>
      </c>
    </row>
    <row r="37" spans="1:17" x14ac:dyDescent="0.35">
      <c r="A37" t="s">
        <v>8</v>
      </c>
      <c r="B37">
        <v>1310855</v>
      </c>
      <c r="C37" s="2" t="s">
        <v>1393</v>
      </c>
      <c r="D37" s="2" t="str">
        <f>LEFT(TRIM(MID(SUBSTITUTE(tblShipments2[[#This Row],[Details]],CHAR(10)," "), FIND(CHAR(10),tblShipments2[[#This Row],[Details]])+1, 50)), 10)</f>
        <v>0516954725</v>
      </c>
      <c r="E37" t="s">
        <v>1394</v>
      </c>
      <c r="F3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 t="str">
        <f>IF(tblShipments2[[#This Row],[EGM no]]="", "Missing EGM", "EGM Submitted")</f>
        <v>EGM Submitted</v>
      </c>
      <c r="H37" t="str">
        <f>IF(OR(ISNUMBER(SEARCH("Released",tblShipments2[[#This Row],[ROSL]])),
      ISNUMBER(SEARCH("Scroll",tblShipments2[[#This Row],[ROSL]])),
      ISNUMBER(SEARCH("Y",tblShipments2[[#This Row],[ROSL]]))),
   "Released",
   "Not Released")</f>
        <v>Released</v>
      </c>
      <c r="I37" t="str">
        <f>IF(OR(tblShipments2[[#This Row],[EGM no]]="", tblShipments2[[#This Row],[EGM no]]="N.A."), "Not Submitted", "Submitted")</f>
        <v>Submitted</v>
      </c>
      <c r="J37" t="str">
        <f>IF(LEFT(tblShipments2[[#This Row],[Gateway_Extracted]],2)="IN","Valid","Invalid")</f>
        <v>Valid</v>
      </c>
      <c r="K37" t="s">
        <v>1395</v>
      </c>
      <c r="L37" t="s">
        <v>1396</v>
      </c>
      <c r="M37" t="s">
        <v>31</v>
      </c>
      <c r="N37" t="s">
        <v>1397</v>
      </c>
      <c r="O37" t="str">
        <f>IFERROR("IN" &amp; _xlfn.TEXTBEFORE(_xlfn.TEXTAFTER(UPPER(tblShipments2[[#This Row],[Gateway_clean]]),"IN")," ",1),"")</f>
        <v>INNSA1</v>
      </c>
      <c r="P37" t="str">
        <f>SUBSTITUTE(tblShipments2[[#This Row],[Gateway]], CHAR(10), " ")</f>
        <v xml:space="preserve">AWB No. Gateway Port Gateway EGM No. Gateway EGM Date Gateway Site ID Error Code N.A.  INNSA1  140041  2017-12-05 00:00:00.0  INNSA1  S </v>
      </c>
      <c r="Q37" t="s">
        <v>1398</v>
      </c>
    </row>
    <row r="38" spans="1:17" x14ac:dyDescent="0.35">
      <c r="A38" t="s">
        <v>8</v>
      </c>
      <c r="B38">
        <v>1317115</v>
      </c>
      <c r="C38" s="2" t="s">
        <v>1393</v>
      </c>
      <c r="D38" s="2" t="str">
        <f>LEFT(TRIM(MID(SUBSTITUTE(tblShipments2[[#This Row],[Details]],CHAR(10)," "), FIND(CHAR(10),tblShipments2[[#This Row],[Details]])+1, 50)), 10)</f>
        <v>0588062359</v>
      </c>
      <c r="E38" t="s">
        <v>1399</v>
      </c>
      <c r="F3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8" t="str">
        <f>IF(tblShipments2[[#This Row],[EGM no]]="", "Missing EGM", "EGM Submitted")</f>
        <v>EGM Submitted</v>
      </c>
      <c r="H38" t="str">
        <f>IF(OR(ISNUMBER(SEARCH("Released",tblShipments2[[#This Row],[ROSL]])),
      ISNUMBER(SEARCH("Scroll",tblShipments2[[#This Row],[ROSL]])),
      ISNUMBER(SEARCH("Y",tblShipments2[[#This Row],[ROSL]]))),
   "Released",
   "Not Released")</f>
        <v>Released</v>
      </c>
      <c r="I38" t="str">
        <f>IF(OR(tblShipments2[[#This Row],[EGM no]]="", tblShipments2[[#This Row],[EGM no]]="N.A."), "Not Submitted", "Submitted")</f>
        <v>Submitted</v>
      </c>
      <c r="J38" t="str">
        <f>IF(LEFT(tblShipments2[[#This Row],[Gateway_Extracted]],2)="IN","Valid","Invalid")</f>
        <v>Valid</v>
      </c>
      <c r="K38" t="s">
        <v>1379</v>
      </c>
      <c r="L38" t="s">
        <v>1384</v>
      </c>
      <c r="M38" t="s">
        <v>1400</v>
      </c>
      <c r="N38" t="s">
        <v>1401</v>
      </c>
      <c r="O38" t="str">
        <f>IFERROR("IN" &amp; _xlfn.TEXTBEFORE(_xlfn.TEXTAFTER(UPPER(tblShipments2[[#This Row],[Gateway_clean]]),"IN")," ",1),"")</f>
        <v>INNSA1</v>
      </c>
      <c r="P38" t="str">
        <f>SUBSTITUTE(tblShipments2[[#This Row],[Gateway]], CHAR(10), " ")</f>
        <v xml:space="preserve">AWB No. Gateway Port Gateway EGM No. Gateway EGM Date Gateway Site ID Error Code N.A.  INNSA1  140047  2017-12-05 00:00:00.0  INNSA1  S </v>
      </c>
      <c r="Q38" t="s">
        <v>1387</v>
      </c>
    </row>
    <row r="39" spans="1:17" x14ac:dyDescent="0.35">
      <c r="A39" t="s">
        <v>8</v>
      </c>
      <c r="B39">
        <v>1318155</v>
      </c>
      <c r="C39" s="2" t="s">
        <v>1393</v>
      </c>
      <c r="D39" s="2" t="str">
        <f>LEFT(TRIM(MID(SUBSTITUTE(tblShipments2[[#This Row],[Details]],CHAR(10)," "), FIND(CHAR(10),tblShipments2[[#This Row],[Details]])+1, 50)), 10)</f>
        <v>0588062359</v>
      </c>
      <c r="E39" t="s">
        <v>1402</v>
      </c>
      <c r="F3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9" t="str">
        <f>IF(tblShipments2[[#This Row],[EGM no]]="", "Missing EGM", "EGM Submitted")</f>
        <v>EGM Submitted</v>
      </c>
      <c r="H39" t="str">
        <f>IF(OR(ISNUMBER(SEARCH("Released",tblShipments2[[#This Row],[ROSL]])),
      ISNUMBER(SEARCH("Scroll",tblShipments2[[#This Row],[ROSL]])),
      ISNUMBER(SEARCH("Y",tblShipments2[[#This Row],[ROSL]]))),
   "Released",
   "Not Released")</f>
        <v>Released</v>
      </c>
      <c r="I39" t="str">
        <f>IF(OR(tblShipments2[[#This Row],[EGM no]]="", tblShipments2[[#This Row],[EGM no]]="N.A."), "Not Submitted", "Submitted")</f>
        <v>Submitted</v>
      </c>
      <c r="J39" t="str">
        <f>IF(LEFT(tblShipments2[[#This Row],[Gateway_Extracted]],2)="IN","Valid","Invalid")</f>
        <v>Valid</v>
      </c>
      <c r="K39" t="s">
        <v>1379</v>
      </c>
      <c r="L39" t="s">
        <v>1403</v>
      </c>
      <c r="M39" t="s">
        <v>1404</v>
      </c>
      <c r="N39" t="s">
        <v>1405</v>
      </c>
      <c r="O39" t="str">
        <f>IFERROR("IN" &amp; _xlfn.TEXTBEFORE(_xlfn.TEXTAFTER(UPPER(tblShipments2[[#This Row],[Gateway_clean]]),"IN")," ",1),"")</f>
        <v>INNSA1</v>
      </c>
      <c r="P39" t="str">
        <f>SUBSTITUTE(tblShipments2[[#This Row],[Gateway]], CHAR(10), " ")</f>
        <v xml:space="preserve">AWB No. Gateway Port Gateway EGM No. Gateway EGM Date Gateway Site ID Error Code N.A.  INNSA1  140047  2017-12-05 00:00:00.0  INNSA1  S </v>
      </c>
      <c r="Q39" t="s">
        <v>1387</v>
      </c>
    </row>
    <row r="40" spans="1:17" x14ac:dyDescent="0.35">
      <c r="A40" t="s">
        <v>8</v>
      </c>
      <c r="B40">
        <v>1318294</v>
      </c>
      <c r="C40" s="2" t="s">
        <v>1393</v>
      </c>
      <c r="D40" s="2" t="str">
        <f>LEFT(TRIM(MID(SUBSTITUTE(tblShipments2[[#This Row],[Details]],CHAR(10)," "), FIND(CHAR(10),tblShipments2[[#This Row],[Details]])+1, 50)), 10)</f>
        <v>2203003405</v>
      </c>
      <c r="E40" t="s">
        <v>1406</v>
      </c>
      <c r="F4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0" t="str">
        <f>IF(tblShipments2[[#This Row],[EGM no]]="", "Missing EGM", "EGM Submitted")</f>
        <v>EGM Submitted</v>
      </c>
      <c r="H40" t="str">
        <f>IF(OR(ISNUMBER(SEARCH("Released",tblShipments2[[#This Row],[ROSL]])),
      ISNUMBER(SEARCH("Scroll",tblShipments2[[#This Row],[ROSL]])),
      ISNUMBER(SEARCH("Y",tblShipments2[[#This Row],[ROSL]]))),
   "Released",
   "Not Released")</f>
        <v>Released</v>
      </c>
      <c r="I40" t="str">
        <f>IF(OR(tblShipments2[[#This Row],[EGM no]]="", tblShipments2[[#This Row],[EGM no]]="N.A."), "Not Submitted", "Submitted")</f>
        <v>Submitted</v>
      </c>
      <c r="J40" t="str">
        <f>IF(LEFT(tblShipments2[[#This Row],[Gateway_Extracted]],2)="IN","Valid","Invalid")</f>
        <v>Valid</v>
      </c>
      <c r="K40" t="s">
        <v>1355</v>
      </c>
      <c r="L40" t="s">
        <v>1407</v>
      </c>
      <c r="M40" t="s">
        <v>13</v>
      </c>
      <c r="N40" t="s">
        <v>1408</v>
      </c>
      <c r="O40" t="str">
        <f>IFERROR("IN" &amp; _xlfn.TEXTBEFORE(_xlfn.TEXTAFTER(UPPER(tblShipments2[[#This Row],[Gateway_clean]]),"IN")," ",1),"")</f>
        <v>INMUN1</v>
      </c>
      <c r="P40" t="str">
        <f>SUBSTITUTE(tblShipments2[[#This Row],[Gateway]], CHAR(10), " ")</f>
        <v xml:space="preserve">AWB No. Gateway Port Gateway EGM No. Gateway EGM Date Gateway Site ID Error Code N.A.  INMUN1  139070  2017-11-17 00:00:00.0  INMUN1  S </v>
      </c>
      <c r="Q40" t="s">
        <v>1409</v>
      </c>
    </row>
    <row r="41" spans="1:17" x14ac:dyDescent="0.35">
      <c r="A41" t="s">
        <v>8</v>
      </c>
      <c r="B41">
        <v>1323400</v>
      </c>
      <c r="C41" s="2" t="s">
        <v>1393</v>
      </c>
      <c r="D41" s="2" t="str">
        <f>LEFT(TRIM(MID(SUBSTITUTE(tblShipments2[[#This Row],[Details]],CHAR(10)," "), FIND(CHAR(10),tblShipments2[[#This Row],[Details]])+1, 50)), 10)</f>
        <v>0505000873</v>
      </c>
      <c r="E41" t="s">
        <v>1410</v>
      </c>
      <c r="F4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1" t="str">
        <f>IF(tblShipments2[[#This Row],[EGM no]]="", "Missing EGM", "EGM Submitted")</f>
        <v>EGM Submitted</v>
      </c>
      <c r="H41" t="str">
        <f>IF(OR(ISNUMBER(SEARCH("Released",tblShipments2[[#This Row],[ROSL]])),
      ISNUMBER(SEARCH("Scroll",tblShipments2[[#This Row],[ROSL]])),
      ISNUMBER(SEARCH("Y",tblShipments2[[#This Row],[ROSL]]))),
   "Released",
   "Not Released")</f>
        <v>Released</v>
      </c>
      <c r="I41" t="str">
        <f>IF(OR(tblShipments2[[#This Row],[EGM no]]="", tblShipments2[[#This Row],[EGM no]]="N.A."), "Not Submitted", "Submitted")</f>
        <v>Submitted</v>
      </c>
      <c r="J41" t="str">
        <f>IF(LEFT(tblShipments2[[#This Row],[Gateway_Extracted]],2)="IN","Valid","Invalid")</f>
        <v>Valid</v>
      </c>
      <c r="K41" t="s">
        <v>1411</v>
      </c>
      <c r="L41" t="s">
        <v>1412</v>
      </c>
      <c r="M41" t="s">
        <v>13</v>
      </c>
      <c r="N41" t="s">
        <v>1413</v>
      </c>
      <c r="O41" t="str">
        <f>IFERROR("IN" &amp; _xlfn.TEXTBEFORE(_xlfn.TEXTAFTER(UPPER(tblShipments2[[#This Row],[Gateway_clean]]),"IN")," ",1),"")</f>
        <v>INNSA1</v>
      </c>
      <c r="P41" t="str">
        <f>SUBSTITUTE(tblShipments2[[#This Row],[Gateway]], CHAR(10), " ")</f>
        <v xml:space="preserve">AWB No. Gateway Port Gateway EGM No. Gateway EGM Date Gateway Site ID Error Code N.A.  INNSA1  139999  2017-12-04 00:00:00.0  INNSA1  S </v>
      </c>
      <c r="Q41" t="s">
        <v>1414</v>
      </c>
    </row>
    <row r="42" spans="1:17" x14ac:dyDescent="0.35">
      <c r="A42" t="s">
        <v>8</v>
      </c>
      <c r="B42">
        <v>1341857</v>
      </c>
      <c r="C42" s="2" t="s">
        <v>1415</v>
      </c>
      <c r="D42" s="2" t="str">
        <f>LEFT(TRIM(MID(SUBSTITUTE(tblShipments2[[#This Row],[Details]],CHAR(10)," "), FIND(CHAR(10),tblShipments2[[#This Row],[Details]])+1, 50)), 10)</f>
        <v>3000004394</v>
      </c>
      <c r="E42" t="s">
        <v>1416</v>
      </c>
      <c r="F4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2" t="str">
        <f>IF(tblShipments2[[#This Row],[EGM no]]="", "Missing EGM", "EGM Submitted")</f>
        <v>EGM Submitted</v>
      </c>
      <c r="H42" t="str">
        <f>IF(OR(ISNUMBER(SEARCH("Released",tblShipments2[[#This Row],[ROSL]])),
      ISNUMBER(SEARCH("Scroll",tblShipments2[[#This Row],[ROSL]])),
      ISNUMBER(SEARCH("Y",tblShipments2[[#This Row],[ROSL]]))),
   "Released",
   "Not Released")</f>
        <v>Released</v>
      </c>
      <c r="I42" t="str">
        <f>IF(OR(tblShipments2[[#This Row],[EGM no]]="", tblShipments2[[#This Row],[EGM no]]="N.A."), "Not Submitted", "Submitted")</f>
        <v>Submitted</v>
      </c>
      <c r="J42" t="str">
        <f>IF(LEFT(tblShipments2[[#This Row],[Gateway_Extracted]],2)="IN","Valid","Invalid")</f>
        <v>Valid</v>
      </c>
      <c r="K42" t="s">
        <v>1417</v>
      </c>
      <c r="L42" t="s">
        <v>1418</v>
      </c>
      <c r="M42" t="s">
        <v>1419</v>
      </c>
      <c r="N42" t="s">
        <v>1420</v>
      </c>
      <c r="O42" t="str">
        <f>IFERROR("IN" &amp; _xlfn.TEXTBEFORE(_xlfn.TEXTAFTER(UPPER(tblShipments2[[#This Row],[Gateway_clean]]),"IN")," ",1),"")</f>
        <v>INNSA1</v>
      </c>
      <c r="P42" t="str">
        <f>SUBSTITUTE(tblShipments2[[#This Row],[Gateway]], CHAR(10), " ")</f>
        <v xml:space="preserve">AWB No. Gateway Port Gateway EGM No. Gateway EGM Date Gateway Site ID Error Code N.A.  INNSA1  138232  2017-11-06 00:00:00.0  INNSA1  N </v>
      </c>
      <c r="Q42" t="s">
        <v>1421</v>
      </c>
    </row>
    <row r="43" spans="1:17" x14ac:dyDescent="0.35">
      <c r="A43" t="s">
        <v>8</v>
      </c>
      <c r="B43">
        <v>1349436</v>
      </c>
      <c r="C43" s="2" t="s">
        <v>1415</v>
      </c>
      <c r="D43" s="2" t="str">
        <f>LEFT(TRIM(MID(SUBSTITUTE(tblShipments2[[#This Row],[Details]],CHAR(10)," "), FIND(CHAR(10),tblShipments2[[#This Row],[Details]])+1, 50)), 10)</f>
        <v>0504019392</v>
      </c>
      <c r="E43" t="s">
        <v>1422</v>
      </c>
      <c r="F4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3" t="str">
        <f>IF(tblShipments2[[#This Row],[EGM no]]="", "Missing EGM", "EGM Submitted")</f>
        <v>EGM Submitted</v>
      </c>
      <c r="H43" t="str">
        <f>IF(OR(ISNUMBER(SEARCH("Released",tblShipments2[[#This Row],[ROSL]])),
      ISNUMBER(SEARCH("Scroll",tblShipments2[[#This Row],[ROSL]])),
      ISNUMBER(SEARCH("Y",tblShipments2[[#This Row],[ROSL]]))),
   "Released",
   "Not Released")</f>
        <v>Released</v>
      </c>
      <c r="I43" t="str">
        <f>IF(OR(tblShipments2[[#This Row],[EGM no]]="", tblShipments2[[#This Row],[EGM no]]="N.A."), "Not Submitted", "Submitted")</f>
        <v>Submitted</v>
      </c>
      <c r="J43" t="str">
        <f>IF(LEFT(tblShipments2[[#This Row],[Gateway_Extracted]],2)="IN","Valid","Invalid")</f>
        <v>Valid</v>
      </c>
      <c r="K43" t="s">
        <v>1379</v>
      </c>
      <c r="L43" t="s">
        <v>1423</v>
      </c>
      <c r="M43" t="s">
        <v>13</v>
      </c>
      <c r="N43" t="s">
        <v>1424</v>
      </c>
      <c r="O43" t="str">
        <f>IFERROR("IN" &amp; _xlfn.TEXTBEFORE(_xlfn.TEXTAFTER(UPPER(tblShipments2[[#This Row],[Gateway_clean]]),"IN")," ",1),"")</f>
        <v>INNSA1</v>
      </c>
      <c r="P43" t="str">
        <f>SUBSTITUTE(tblShipments2[[#This Row],[Gateway]], CHAR(10), " ")</f>
        <v xml:space="preserve">AWB No. Gateway Port Gateway EGM No. Gateway EGM Date Gateway Site ID Error Code N.A.  INNSA1  140472  2017-12-12 00:00:00.0  INNSA1  S </v>
      </c>
      <c r="Q43" t="s">
        <v>1425</v>
      </c>
    </row>
    <row r="44" spans="1:17" x14ac:dyDescent="0.35">
      <c r="A44" t="s">
        <v>8</v>
      </c>
      <c r="B44">
        <v>1349513</v>
      </c>
      <c r="C44" s="2" t="s">
        <v>1415</v>
      </c>
      <c r="D44" s="2" t="str">
        <f>LEFT(TRIM(MID(SUBSTITUTE(tblShipments2[[#This Row],[Details]],CHAR(10)," "), FIND(CHAR(10),tblShipments2[[#This Row],[Details]])+1, 50)), 10)</f>
        <v>0501016481</v>
      </c>
      <c r="E44" t="s">
        <v>1426</v>
      </c>
      <c r="F4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4" t="str">
        <f>IF(tblShipments2[[#This Row],[EGM no]]="", "Missing EGM", "EGM Submitted")</f>
        <v>EGM Submitted</v>
      </c>
      <c r="H44" t="str">
        <f>IF(OR(ISNUMBER(SEARCH("Released",tblShipments2[[#This Row],[ROSL]])),
      ISNUMBER(SEARCH("Scroll",tblShipments2[[#This Row],[ROSL]])),
      ISNUMBER(SEARCH("Y",tblShipments2[[#This Row],[ROSL]]))),
   "Released",
   "Not Released")</f>
        <v>Released</v>
      </c>
      <c r="I44" t="str">
        <f>IF(OR(tblShipments2[[#This Row],[EGM no]]="", tblShipments2[[#This Row],[EGM no]]="N.A."), "Not Submitted", "Submitted")</f>
        <v>Submitted</v>
      </c>
      <c r="J44" t="str">
        <f>IF(LEFT(tblShipments2[[#This Row],[Gateway_Extracted]],2)="IN","Valid","Invalid")</f>
        <v>Valid</v>
      </c>
      <c r="K44" t="s">
        <v>1427</v>
      </c>
      <c r="L44" t="s">
        <v>1428</v>
      </c>
      <c r="M44" t="s">
        <v>13</v>
      </c>
      <c r="N44" t="s">
        <v>1429</v>
      </c>
      <c r="O44" t="str">
        <f>IFERROR("IN" &amp; _xlfn.TEXTBEFORE(_xlfn.TEXTAFTER(UPPER(tblShipments2[[#This Row],[Gateway_clean]]),"IN")," ",1),"")</f>
        <v>INNSA1</v>
      </c>
      <c r="P44" t="str">
        <f>SUBSTITUTE(tblShipments2[[#This Row],[Gateway]], CHAR(10), " ")</f>
        <v xml:space="preserve">AWB No. Gateway Port Gateway EGM No. Gateway EGM Date Gateway Site ID Error Code N.A.  INNSA1  139986  2017-12-04 00:00:00.0  INNSA1  S </v>
      </c>
      <c r="Q44" t="s">
        <v>1430</v>
      </c>
    </row>
    <row r="45" spans="1:17" x14ac:dyDescent="0.35">
      <c r="A45" t="s">
        <v>8</v>
      </c>
      <c r="B45">
        <v>1350667</v>
      </c>
      <c r="C45" s="2" t="s">
        <v>1415</v>
      </c>
      <c r="D45" s="2" t="str">
        <f>LEFT(TRIM(MID(SUBSTITUTE(tblShipments2[[#This Row],[Details]],CHAR(10)," "), FIND(CHAR(10),tblShipments2[[#This Row],[Details]])+1, 50)), 10)</f>
        <v>0588128180</v>
      </c>
      <c r="E45" t="s">
        <v>1431</v>
      </c>
      <c r="F4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5" t="str">
        <f>IF(tblShipments2[[#This Row],[EGM no]]="", "Missing EGM", "EGM Submitted")</f>
        <v>EGM Submitted</v>
      </c>
      <c r="H45" t="str">
        <f>IF(OR(ISNUMBER(SEARCH("Released",tblShipments2[[#This Row],[ROSL]])),
      ISNUMBER(SEARCH("Scroll",tblShipments2[[#This Row],[ROSL]])),
      ISNUMBER(SEARCH("Y",tblShipments2[[#This Row],[ROSL]]))),
   "Released",
   "Not Released")</f>
        <v>Released</v>
      </c>
      <c r="I45" t="str">
        <f>IF(OR(tblShipments2[[#This Row],[EGM no]]="", tblShipments2[[#This Row],[EGM no]]="N.A."), "Not Submitted", "Submitted")</f>
        <v>Submitted</v>
      </c>
      <c r="J45" t="str">
        <f>IF(LEFT(tblShipments2[[#This Row],[Gateway_Extracted]],2)="IN","Valid","Invalid")</f>
        <v>Valid</v>
      </c>
      <c r="K45" t="s">
        <v>1432</v>
      </c>
      <c r="L45" t="s">
        <v>1433</v>
      </c>
      <c r="M45" t="s">
        <v>13</v>
      </c>
      <c r="N45" t="s">
        <v>1434</v>
      </c>
      <c r="O45" t="str">
        <f>IFERROR("IN" &amp; _xlfn.TEXTBEFORE(_xlfn.TEXTAFTER(UPPER(tblShipments2[[#This Row],[Gateway_clean]]),"IN")," ",1),"")</f>
        <v>INMUN1</v>
      </c>
      <c r="P45" t="str">
        <f>SUBSTITUTE(tblShipments2[[#This Row],[Gateway]], CHAR(10), " ")</f>
        <v xml:space="preserve">AWB No. Gateway Port Gateway EGM No. Gateway EGM Date Gateway Site ID Error Code N.A.  INMUN1  140703  2017-12-14 00:00:00.0  INMUN1  S </v>
      </c>
      <c r="Q45" t="s">
        <v>1435</v>
      </c>
    </row>
    <row r="46" spans="1:17" x14ac:dyDescent="0.35">
      <c r="A46" t="s">
        <v>8</v>
      </c>
      <c r="B46">
        <v>1364053</v>
      </c>
      <c r="C46" s="2" t="s">
        <v>1436</v>
      </c>
      <c r="D46" s="2" t="str">
        <f>LEFT(TRIM(MID(SUBSTITUTE(tblShipments2[[#This Row],[Details]],CHAR(10)," "), FIND(CHAR(10),tblShipments2[[#This Row],[Details]])+1, 50)), 10)</f>
        <v>0504077171</v>
      </c>
      <c r="E46" t="s">
        <v>1437</v>
      </c>
      <c r="F4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6" t="str">
        <f>IF(tblShipments2[[#This Row],[EGM no]]="", "Missing EGM", "EGM Submitted")</f>
        <v>EGM Submitted</v>
      </c>
      <c r="H46" t="str">
        <f>IF(OR(ISNUMBER(SEARCH("Released",tblShipments2[[#This Row],[ROSL]])),
      ISNUMBER(SEARCH("Scroll",tblShipments2[[#This Row],[ROSL]])),
      ISNUMBER(SEARCH("Y",tblShipments2[[#This Row],[ROSL]]))),
   "Released",
   "Not Released")</f>
        <v>Released</v>
      </c>
      <c r="I46" t="str">
        <f>IF(OR(tblShipments2[[#This Row],[EGM no]]="", tblShipments2[[#This Row],[EGM no]]="N.A."), "Not Submitted", "Submitted")</f>
        <v>Submitted</v>
      </c>
      <c r="J46" t="str">
        <f>IF(LEFT(tblShipments2[[#This Row],[Gateway_Extracted]],2)="IN","Valid","Invalid")</f>
        <v>Valid</v>
      </c>
      <c r="K46" t="s">
        <v>1438</v>
      </c>
      <c r="L46" t="s">
        <v>1439</v>
      </c>
      <c r="M46" t="s">
        <v>31</v>
      </c>
      <c r="N46" t="s">
        <v>1440</v>
      </c>
      <c r="O46" t="str">
        <f>IFERROR("IN" &amp; _xlfn.TEXTBEFORE(_xlfn.TEXTAFTER(UPPER(tblShipments2[[#This Row],[Gateway_clean]]),"IN")," ",1),"")</f>
        <v>INMUN1</v>
      </c>
      <c r="P46" t="str">
        <f>SUBSTITUTE(tblShipments2[[#This Row],[Gateway]], CHAR(10), " ")</f>
        <v xml:space="preserve">AWB No. Gateway Port Gateway EGM No. Gateway EGM Date Gateway Site ID Error Code N.A.  INMUN1  140290  2017-12-07 00:00:00.0  INMUN1  S </v>
      </c>
      <c r="Q46" t="s">
        <v>1441</v>
      </c>
    </row>
    <row r="47" spans="1:17" x14ac:dyDescent="0.35">
      <c r="A47" t="s">
        <v>8</v>
      </c>
      <c r="B47">
        <v>1367821</v>
      </c>
      <c r="C47" s="2" t="s">
        <v>1436</v>
      </c>
      <c r="D47" s="2" t="str">
        <f>LEFT(TRIM(MID(SUBSTITUTE(tblShipments2[[#This Row],[Details]],CHAR(10)," "), FIND(CHAR(10),tblShipments2[[#This Row],[Details]])+1, 50)), 10)</f>
        <v>0514067969</v>
      </c>
      <c r="E47" t="s">
        <v>1442</v>
      </c>
      <c r="F4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7" t="str">
        <f>IF(tblShipments2[[#This Row],[EGM no]]="", "Missing EGM", "EGM Submitted")</f>
        <v>EGM Submitted</v>
      </c>
      <c r="H47" t="str">
        <f>IF(OR(ISNUMBER(SEARCH("Released",tblShipments2[[#This Row],[ROSL]])),
      ISNUMBER(SEARCH("Scroll",tblShipments2[[#This Row],[ROSL]])),
      ISNUMBER(SEARCH("Y",tblShipments2[[#This Row],[ROSL]]))),
   "Released",
   "Not Released")</f>
        <v>Released</v>
      </c>
      <c r="I47" t="str">
        <f>IF(OR(tblShipments2[[#This Row],[EGM no]]="", tblShipments2[[#This Row],[EGM no]]="N.A."), "Not Submitted", "Submitted")</f>
        <v>Submitted</v>
      </c>
      <c r="J47" t="str">
        <f>IF(LEFT(tblShipments2[[#This Row],[Gateway_Extracted]],2)="IN","Valid","Invalid")</f>
        <v>Valid</v>
      </c>
      <c r="K47" t="s">
        <v>1443</v>
      </c>
      <c r="L47" t="s">
        <v>1444</v>
      </c>
      <c r="M47" t="s">
        <v>13</v>
      </c>
      <c r="N47" t="s">
        <v>1445</v>
      </c>
      <c r="O47" t="str">
        <f>IFERROR("IN" &amp; _xlfn.TEXTBEFORE(_xlfn.TEXTAFTER(UPPER(tblShipments2[[#This Row],[Gateway_clean]]),"IN")," ",1),"")</f>
        <v>INNSA1</v>
      </c>
      <c r="P47" t="str">
        <f>SUBSTITUTE(tblShipments2[[#This Row],[Gateway]], CHAR(10), " ")</f>
        <v xml:space="preserve">AWB No. Gateway Port Gateway EGM No. Gateway EGM Date Gateway Site ID Error Code N.A.  INNSA1  140726  2017-12-15 00:00:00.0  INNSA1  C </v>
      </c>
      <c r="Q47" t="s">
        <v>1446</v>
      </c>
    </row>
    <row r="48" spans="1:17" x14ac:dyDescent="0.35">
      <c r="A48" t="s">
        <v>8</v>
      </c>
      <c r="B48">
        <v>1381867</v>
      </c>
      <c r="C48" s="2" t="s">
        <v>1436</v>
      </c>
      <c r="D48" s="2" t="str">
        <f>LEFT(TRIM(MID(SUBSTITUTE(tblShipments2[[#This Row],[Details]],CHAR(10)," "), FIND(CHAR(10),tblShipments2[[#This Row],[Details]])+1, 50)), 10)</f>
        <v>0500050139</v>
      </c>
      <c r="E48" t="s">
        <v>1447</v>
      </c>
      <c r="F4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8" t="str">
        <f>IF(tblShipments2[[#This Row],[EGM no]]="", "Missing EGM", "EGM Submitted")</f>
        <v>EGM Submitted</v>
      </c>
      <c r="H48" t="str">
        <f>IF(OR(ISNUMBER(SEARCH("Released",tblShipments2[[#This Row],[ROSL]])),
      ISNUMBER(SEARCH("Scroll",tblShipments2[[#This Row],[ROSL]])),
      ISNUMBER(SEARCH("Y",tblShipments2[[#This Row],[ROSL]]))),
   "Released",
   "Not Released")</f>
        <v>Released</v>
      </c>
      <c r="I48" t="str">
        <f>IF(OR(tblShipments2[[#This Row],[EGM no]]="", tblShipments2[[#This Row],[EGM no]]="N.A."), "Not Submitted", "Submitted")</f>
        <v>Submitted</v>
      </c>
      <c r="J48" t="str">
        <f>IF(LEFT(tblShipments2[[#This Row],[Gateway_Extracted]],2)="IN","Valid","Invalid")</f>
        <v>Valid</v>
      </c>
      <c r="K48" t="s">
        <v>1389</v>
      </c>
      <c r="L48" t="s">
        <v>1448</v>
      </c>
      <c r="M48" t="s">
        <v>31</v>
      </c>
      <c r="N48" t="s">
        <v>1449</v>
      </c>
      <c r="O48" t="str">
        <f>IFERROR("IN" &amp; _xlfn.TEXTBEFORE(_xlfn.TEXTAFTER(UPPER(tblShipments2[[#This Row],[Gateway_clean]]),"IN")," ",1),"")</f>
        <v>INPAV1</v>
      </c>
      <c r="P48" t="str">
        <f>SUBSTITUTE(tblShipments2[[#This Row],[Gateway]], CHAR(10), " ")</f>
        <v xml:space="preserve">AWB No. Gateway Port Gateway EGM No. Gateway EGM Date Gateway Site ID Error Code N.A.  INPAV1  139963  2017-12-04 00:00:00.0  INPAV1  S </v>
      </c>
      <c r="Q48" t="s">
        <v>1377</v>
      </c>
    </row>
    <row r="49" spans="1:17" x14ac:dyDescent="0.35">
      <c r="A49" t="s">
        <v>8</v>
      </c>
      <c r="B49">
        <v>1386534</v>
      </c>
      <c r="C49" s="2" t="s">
        <v>1450</v>
      </c>
      <c r="D49" s="2" t="str">
        <f>LEFT(TRIM(MID(SUBSTITUTE(tblShipments2[[#This Row],[Details]],CHAR(10)," "), FIND(CHAR(10),tblShipments2[[#This Row],[Details]])+1, 50)), 10)</f>
        <v>0504077171</v>
      </c>
      <c r="E49" t="s">
        <v>1451</v>
      </c>
      <c r="F4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49" t="str">
        <f>IF(tblShipments2[[#This Row],[EGM no]]="", "Missing EGM", "EGM Submitted")</f>
        <v>EGM Submitted</v>
      </c>
      <c r="H49" t="str">
        <f>IF(OR(ISNUMBER(SEARCH("Released",tblShipments2[[#This Row],[ROSL]])),
      ISNUMBER(SEARCH("Scroll",tblShipments2[[#This Row],[ROSL]])),
      ISNUMBER(SEARCH("Y",tblShipments2[[#This Row],[ROSL]]))),
   "Released",
   "Not Released")</f>
        <v>Released</v>
      </c>
      <c r="I49" t="str">
        <f>IF(OR(tblShipments2[[#This Row],[EGM no]]="", tblShipments2[[#This Row],[EGM no]]="N.A."), "Not Submitted", "Submitted")</f>
        <v>Submitted</v>
      </c>
      <c r="J49" t="str">
        <f>IF(LEFT(tblShipments2[[#This Row],[Gateway_Extracted]],2)="IN","Valid","Invalid")</f>
        <v>Valid</v>
      </c>
      <c r="K49" t="s">
        <v>1438</v>
      </c>
      <c r="L49" t="s">
        <v>1452</v>
      </c>
      <c r="M49" t="s">
        <v>31</v>
      </c>
      <c r="N49" t="s">
        <v>1453</v>
      </c>
      <c r="O49" t="str">
        <f>IFERROR("IN" &amp; _xlfn.TEXTBEFORE(_xlfn.TEXTAFTER(UPPER(tblShipments2[[#This Row],[Gateway_clean]]),"IN")," ",1),"")</f>
        <v>INPAV1</v>
      </c>
      <c r="P49" t="str">
        <f>SUBSTITUTE(tblShipments2[[#This Row],[Gateway]], CHAR(10), " ")</f>
        <v xml:space="preserve">AWB No. Gateway Port Gateway EGM No. Gateway EGM Date Gateway Site ID Error Code N.A.  INPAV1  140083  2017-12-05 00:00:00.0  INPAV1  S </v>
      </c>
      <c r="Q49" t="s">
        <v>1454</v>
      </c>
    </row>
    <row r="50" spans="1:17" x14ac:dyDescent="0.35">
      <c r="A50" t="s">
        <v>8</v>
      </c>
      <c r="B50">
        <v>1411047</v>
      </c>
      <c r="C50" s="2" t="s">
        <v>1450</v>
      </c>
      <c r="D50" s="2" t="str">
        <f>LEFT(TRIM(MID(SUBSTITUTE(tblShipments2[[#This Row],[Details]],CHAR(10)," "), FIND(CHAR(10),tblShipments2[[#This Row],[Details]])+1, 50)), 10)</f>
        <v>0504077171</v>
      </c>
      <c r="E50" t="s">
        <v>1455</v>
      </c>
      <c r="F5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0" t="str">
        <f>IF(tblShipments2[[#This Row],[EGM no]]="", "Missing EGM", "EGM Submitted")</f>
        <v>EGM Submitted</v>
      </c>
      <c r="H50" t="str">
        <f>IF(OR(ISNUMBER(SEARCH("Released",tblShipments2[[#This Row],[ROSL]])),
      ISNUMBER(SEARCH("Scroll",tblShipments2[[#This Row],[ROSL]])),
      ISNUMBER(SEARCH("Y",tblShipments2[[#This Row],[ROSL]]))),
   "Released",
   "Not Released")</f>
        <v>Released</v>
      </c>
      <c r="I50" t="str">
        <f>IF(OR(tblShipments2[[#This Row],[EGM no]]="", tblShipments2[[#This Row],[EGM no]]="N.A."), "Not Submitted", "Submitted")</f>
        <v>Submitted</v>
      </c>
      <c r="J50" t="str">
        <f>IF(LEFT(tblShipments2[[#This Row],[Gateway_Extracted]],2)="IN","Valid","Invalid")</f>
        <v>Valid</v>
      </c>
      <c r="K50" t="s">
        <v>1456</v>
      </c>
      <c r="L50" t="s">
        <v>1457</v>
      </c>
      <c r="M50" t="s">
        <v>31</v>
      </c>
      <c r="N50" t="s">
        <v>1458</v>
      </c>
      <c r="O50" t="str">
        <f>IFERROR("IN" &amp; _xlfn.TEXTBEFORE(_xlfn.TEXTAFTER(UPPER(tblShipments2[[#This Row],[Gateway_clean]]),"IN")," ",1),"")</f>
        <v>INPAV1</v>
      </c>
      <c r="P50" t="str">
        <f>SUBSTITUTE(tblShipments2[[#This Row],[Gateway]], CHAR(10), " ")</f>
        <v xml:space="preserve">AWB No. Gateway Port Gateway EGM No. Gateway EGM Date Gateway Site ID Error Code N.A.  INPAV1  140083  2017-12-05 00:00:00.0  INPAV1  S </v>
      </c>
      <c r="Q50" t="s">
        <v>1454</v>
      </c>
    </row>
    <row r="51" spans="1:17" x14ac:dyDescent="0.35">
      <c r="A51" t="s">
        <v>8</v>
      </c>
      <c r="B51">
        <v>1466520</v>
      </c>
      <c r="C51" s="2" t="s">
        <v>1459</v>
      </c>
      <c r="D51" s="2" t="str">
        <f>LEFT(TRIM(MID(SUBSTITUTE(tblShipments2[[#This Row],[Details]],CHAR(10)," "), FIND(CHAR(10),tblShipments2[[#This Row],[Details]])+1, 50)), 10)</f>
        <v>0501016481</v>
      </c>
      <c r="E51" t="s">
        <v>1460</v>
      </c>
      <c r="F5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1" t="str">
        <f>IF(tblShipments2[[#This Row],[EGM no]]="", "Missing EGM", "EGM Submitted")</f>
        <v>EGM Submitted</v>
      </c>
      <c r="H51" t="str">
        <f>IF(OR(ISNUMBER(SEARCH("Released",tblShipments2[[#This Row],[ROSL]])),
      ISNUMBER(SEARCH("Scroll",tblShipments2[[#This Row],[ROSL]])),
      ISNUMBER(SEARCH("Y",tblShipments2[[#This Row],[ROSL]]))),
   "Released",
   "Not Released")</f>
        <v>Released</v>
      </c>
      <c r="I51" t="str">
        <f>IF(OR(tblShipments2[[#This Row],[EGM no]]="", tblShipments2[[#This Row],[EGM no]]="N.A."), "Not Submitted", "Submitted")</f>
        <v>Submitted</v>
      </c>
      <c r="J51" t="str">
        <f>IF(LEFT(tblShipments2[[#This Row],[Gateway_Extracted]],2)="IN","Valid","Invalid")</f>
        <v>Valid</v>
      </c>
      <c r="K51" t="s">
        <v>1461</v>
      </c>
      <c r="L51" t="s">
        <v>1462</v>
      </c>
      <c r="M51" t="s">
        <v>13</v>
      </c>
      <c r="N51" t="s">
        <v>1463</v>
      </c>
      <c r="O51" t="str">
        <f>IFERROR("IN" &amp; _xlfn.TEXTBEFORE(_xlfn.TEXTAFTER(UPPER(tblShipments2[[#This Row],[Gateway_clean]]),"IN")," ",1),"")</f>
        <v>INNSA1</v>
      </c>
      <c r="P51" t="str">
        <f>SUBSTITUTE(tblShipments2[[#This Row],[Gateway]], CHAR(10), " ")</f>
        <v xml:space="preserve">AWB No. Gateway Port Gateway EGM No. Gateway EGM Date Gateway Site ID Error Code N.A.  INNSA1  140677  2017-12-14 00:00:00.0  INNSA1  S </v>
      </c>
      <c r="Q51" t="s">
        <v>1464</v>
      </c>
    </row>
    <row r="52" spans="1:17" x14ac:dyDescent="0.35">
      <c r="A52" t="s">
        <v>8</v>
      </c>
      <c r="B52">
        <v>1468626</v>
      </c>
      <c r="C52" s="2" t="s">
        <v>1459</v>
      </c>
      <c r="D52" s="2" t="str">
        <f>LEFT(TRIM(MID(SUBSTITUTE(tblShipments2[[#This Row],[Details]],CHAR(10)," "), FIND(CHAR(10),tblShipments2[[#This Row],[Details]])+1, 50)), 10)</f>
        <v>0514025026</v>
      </c>
      <c r="E52" t="s">
        <v>1465</v>
      </c>
      <c r="F5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2" t="str">
        <f>IF(tblShipments2[[#This Row],[EGM no]]="", "Missing EGM", "EGM Submitted")</f>
        <v>EGM Submitted</v>
      </c>
      <c r="H52" t="str">
        <f>IF(OR(ISNUMBER(SEARCH("Released",tblShipments2[[#This Row],[ROSL]])),
      ISNUMBER(SEARCH("Scroll",tblShipments2[[#This Row],[ROSL]])),
      ISNUMBER(SEARCH("Y",tblShipments2[[#This Row],[ROSL]]))),
   "Released",
   "Not Released")</f>
        <v>Released</v>
      </c>
      <c r="I52" t="str">
        <f>IF(OR(tblShipments2[[#This Row],[EGM no]]="", tblShipments2[[#This Row],[EGM no]]="N.A."), "Not Submitted", "Submitted")</f>
        <v>Submitted</v>
      </c>
      <c r="J52" t="str">
        <f>IF(LEFT(tblShipments2[[#This Row],[Gateway_Extracted]],2)="IN","Valid","Invalid")</f>
        <v>Valid</v>
      </c>
      <c r="K52" t="s">
        <v>1466</v>
      </c>
      <c r="L52" t="s">
        <v>1467</v>
      </c>
      <c r="M52" t="s">
        <v>13</v>
      </c>
      <c r="N52" t="s">
        <v>1468</v>
      </c>
      <c r="O52" t="str">
        <f>IFERROR("IN" &amp; _xlfn.TEXTBEFORE(_xlfn.TEXTAFTER(UPPER(tblShipments2[[#This Row],[Gateway_clean]]),"IN")," ",1),"")</f>
        <v>INNSA1</v>
      </c>
      <c r="P52" t="str">
        <f>SUBSTITUTE(tblShipments2[[#This Row],[Gateway]], CHAR(10), " ")</f>
        <v xml:space="preserve">AWB No. Gateway Port Gateway EGM No. Gateway EGM Date Gateway Site ID Error Code N.A.  INNSA1  140365  2017-12-08 00:00:00.0  INNSA1  N </v>
      </c>
      <c r="Q52" t="s">
        <v>1469</v>
      </c>
    </row>
    <row r="53" spans="1:17" x14ac:dyDescent="0.35">
      <c r="A53" t="s">
        <v>8</v>
      </c>
      <c r="B53">
        <v>1469621</v>
      </c>
      <c r="C53" s="2" t="s">
        <v>1459</v>
      </c>
      <c r="D53" s="2" t="str">
        <f>LEFT(TRIM(MID(SUBSTITUTE(tblShipments2[[#This Row],[Details]],CHAR(10)," "), FIND(CHAR(10),tblShipments2[[#This Row],[Details]])+1, 50)), 10)</f>
        <v>0598059113</v>
      </c>
      <c r="E53" t="s">
        <v>1470</v>
      </c>
      <c r="F5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3" t="str">
        <f>IF(tblShipments2[[#This Row],[EGM no]]="", "Missing EGM", "EGM Submitted")</f>
        <v>EGM Submitted</v>
      </c>
      <c r="H53" t="str">
        <f>IF(OR(ISNUMBER(SEARCH("Released",tblShipments2[[#This Row],[ROSL]])),
      ISNUMBER(SEARCH("Scroll",tblShipments2[[#This Row],[ROSL]])),
      ISNUMBER(SEARCH("Y",tblShipments2[[#This Row],[ROSL]]))),
   "Released",
   "Not Released")</f>
        <v>Released</v>
      </c>
      <c r="I53" t="str">
        <f>IF(OR(tblShipments2[[#This Row],[EGM no]]="", tblShipments2[[#This Row],[EGM no]]="N.A."), "Not Submitted", "Submitted")</f>
        <v>Submitted</v>
      </c>
      <c r="J53" t="str">
        <f>IF(LEFT(tblShipments2[[#This Row],[Gateway_Extracted]],2)="IN","Valid","Invalid")</f>
        <v>Valid</v>
      </c>
      <c r="K53" t="s">
        <v>1471</v>
      </c>
      <c r="L53" t="s">
        <v>1472</v>
      </c>
      <c r="M53" t="s">
        <v>13</v>
      </c>
      <c r="N53" t="s">
        <v>1473</v>
      </c>
      <c r="O53" t="str">
        <f>IFERROR("IN" &amp; _xlfn.TEXTBEFORE(_xlfn.TEXTAFTER(UPPER(tblShipments2[[#This Row],[Gateway_clean]]),"IN")," ",1),"")</f>
        <v>INMUN1</v>
      </c>
      <c r="P53" t="str">
        <f>SUBSTITUTE(tblShipments2[[#This Row],[Gateway]], CHAR(10), " ")</f>
        <v xml:space="preserve">AWB No. Gateway Port Gateway EGM No. Gateway EGM Date Gateway Site ID Error Code N.A.  INMUN1  141077  2017-12-21 00:00:00.0  INMUN1  S </v>
      </c>
      <c r="Q53" t="s">
        <v>1474</v>
      </c>
    </row>
    <row r="54" spans="1:17" x14ac:dyDescent="0.35">
      <c r="A54" t="s">
        <v>8</v>
      </c>
      <c r="B54">
        <v>1471253</v>
      </c>
      <c r="C54" s="2" t="s">
        <v>1459</v>
      </c>
      <c r="D54" s="2" t="str">
        <f>LEFT(TRIM(MID(SUBSTITUTE(tblShipments2[[#This Row],[Details]],CHAR(10)," "), FIND(CHAR(10),tblShipments2[[#This Row],[Details]])+1, 50)), 10)</f>
        <v>0500050139</v>
      </c>
      <c r="E54" t="s">
        <v>1475</v>
      </c>
      <c r="F5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4" t="str">
        <f>IF(tblShipments2[[#This Row],[EGM no]]="", "Missing EGM", "EGM Submitted")</f>
        <v>EGM Submitted</v>
      </c>
      <c r="H54" t="str">
        <f>IF(OR(ISNUMBER(SEARCH("Released",tblShipments2[[#This Row],[ROSL]])),
      ISNUMBER(SEARCH("Scroll",tblShipments2[[#This Row],[ROSL]])),
      ISNUMBER(SEARCH("Y",tblShipments2[[#This Row],[ROSL]]))),
   "Released",
   "Not Released")</f>
        <v>Released</v>
      </c>
      <c r="I54" t="str">
        <f>IF(OR(tblShipments2[[#This Row],[EGM no]]="", tblShipments2[[#This Row],[EGM no]]="N.A."), "Not Submitted", "Submitted")</f>
        <v>Submitted</v>
      </c>
      <c r="J54" t="str">
        <f>IF(LEFT(tblShipments2[[#This Row],[Gateway_Extracted]],2)="IN","Valid","Invalid")</f>
        <v>Valid</v>
      </c>
      <c r="K54" t="s">
        <v>1476</v>
      </c>
      <c r="L54" t="s">
        <v>1477</v>
      </c>
      <c r="M54" t="s">
        <v>31</v>
      </c>
      <c r="N54" t="s">
        <v>1478</v>
      </c>
      <c r="O54" t="str">
        <f>IFERROR("IN" &amp; _xlfn.TEXTBEFORE(_xlfn.TEXTAFTER(UPPER(tblShipments2[[#This Row],[Gateway_clean]]),"IN")," ",1),"")</f>
        <v>INPAV1</v>
      </c>
      <c r="P54" t="str">
        <f>SUBSTITUTE(tblShipments2[[#This Row],[Gateway]], CHAR(10), " ")</f>
        <v xml:space="preserve">AWB No. Gateway Port Gateway EGM No. Gateway EGM Date Gateway Site ID Error Code N.A.  INPAV1  139966  2017-12-04 00:00:00.0  INPAV1  S </v>
      </c>
      <c r="Q54" t="s">
        <v>1479</v>
      </c>
    </row>
    <row r="55" spans="1:17" x14ac:dyDescent="0.35">
      <c r="A55" t="s">
        <v>8</v>
      </c>
      <c r="B55">
        <v>1474614</v>
      </c>
      <c r="C55" s="2" t="s">
        <v>1459</v>
      </c>
      <c r="D55" s="2" t="str">
        <f>LEFT(TRIM(MID(SUBSTITUTE(tblShipments2[[#This Row],[Details]],CHAR(10)," "), FIND(CHAR(10),tblShipments2[[#This Row],[Details]])+1, 50)), 10)</f>
        <v>0593033043</v>
      </c>
      <c r="E55" t="s">
        <v>1480</v>
      </c>
      <c r="F5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5" t="str">
        <f>IF(tblShipments2[[#This Row],[EGM no]]="", "Missing EGM", "EGM Submitted")</f>
        <v>EGM Submitted</v>
      </c>
      <c r="H55" t="str">
        <f>IF(OR(ISNUMBER(SEARCH("Released",tblShipments2[[#This Row],[ROSL]])),
      ISNUMBER(SEARCH("Scroll",tblShipments2[[#This Row],[ROSL]])),
      ISNUMBER(SEARCH("Y",tblShipments2[[#This Row],[ROSL]]))),
   "Released",
   "Not Released")</f>
        <v>Released</v>
      </c>
      <c r="I55" t="str">
        <f>IF(OR(tblShipments2[[#This Row],[EGM no]]="", tblShipments2[[#This Row],[EGM no]]="N.A."), "Not Submitted", "Submitted")</f>
        <v>Submitted</v>
      </c>
      <c r="J55" t="str">
        <f>IF(LEFT(tblShipments2[[#This Row],[Gateway_Extracted]],2)="IN","Valid","Invalid")</f>
        <v>Valid</v>
      </c>
      <c r="K55" t="s">
        <v>1481</v>
      </c>
      <c r="L55" t="s">
        <v>1482</v>
      </c>
      <c r="M55" t="s">
        <v>31</v>
      </c>
      <c r="N55" t="s">
        <v>1483</v>
      </c>
      <c r="O55" t="str">
        <f>IFERROR("IN" &amp; _xlfn.TEXTBEFORE(_xlfn.TEXTAFTER(UPPER(tblShipments2[[#This Row],[Gateway_clean]]),"IN")," ",1),"")</f>
        <v>INMUN1</v>
      </c>
      <c r="P55" t="str">
        <f>SUBSTITUTE(tblShipments2[[#This Row],[Gateway]], CHAR(10), " ")</f>
        <v xml:space="preserve">AWB No. Gateway Port Gateway EGM No. Gateway EGM Date Gateway Site ID Error Code N.A.  INMUN1  141426  2017-12-27 00:00:00.0  INMUN1  S </v>
      </c>
      <c r="Q55" t="s">
        <v>1484</v>
      </c>
    </row>
    <row r="56" spans="1:17" x14ac:dyDescent="0.35">
      <c r="A56" t="s">
        <v>8</v>
      </c>
      <c r="B56">
        <v>1486982</v>
      </c>
      <c r="C56" s="2" t="s">
        <v>1485</v>
      </c>
      <c r="D56" s="2" t="str">
        <f>LEFT(TRIM(MID(SUBSTITUTE(tblShipments2[[#This Row],[Details]],CHAR(10)," "), FIND(CHAR(10),tblShipments2[[#This Row],[Details]])+1, 50)), 10)</f>
        <v>0504077171</v>
      </c>
      <c r="E56" t="s">
        <v>1486</v>
      </c>
      <c r="F5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6" t="str">
        <f>IF(tblShipments2[[#This Row],[EGM no]]="", "Missing EGM", "EGM Submitted")</f>
        <v>EGM Submitted</v>
      </c>
      <c r="H56" t="str">
        <f>IF(OR(ISNUMBER(SEARCH("Released",tblShipments2[[#This Row],[ROSL]])),
      ISNUMBER(SEARCH("Scroll",tblShipments2[[#This Row],[ROSL]])),
      ISNUMBER(SEARCH("Y",tblShipments2[[#This Row],[ROSL]]))),
   "Released",
   "Not Released")</f>
        <v>Released</v>
      </c>
      <c r="I56" t="str">
        <f>IF(OR(tblShipments2[[#This Row],[EGM no]]="", tblShipments2[[#This Row],[EGM no]]="N.A."), "Not Submitted", "Submitted")</f>
        <v>Submitted</v>
      </c>
      <c r="J56" t="str">
        <f>IF(LEFT(tblShipments2[[#This Row],[Gateway_Extracted]],2)="IN","Valid","Invalid")</f>
        <v>Valid</v>
      </c>
      <c r="K56" t="s">
        <v>1487</v>
      </c>
      <c r="L56" t="s">
        <v>1488</v>
      </c>
      <c r="M56" t="s">
        <v>31</v>
      </c>
      <c r="N56" t="s">
        <v>1489</v>
      </c>
      <c r="O56" t="str">
        <f>IFERROR("IN" &amp; _xlfn.TEXTBEFORE(_xlfn.TEXTAFTER(UPPER(tblShipments2[[#This Row],[Gateway_clean]]),"IN")," ",1),"")</f>
        <v>INPAV1</v>
      </c>
      <c r="P56" t="str">
        <f>SUBSTITUTE(tblShipments2[[#This Row],[Gateway]], CHAR(10), " ")</f>
        <v xml:space="preserve">AWB No. Gateway Port Gateway EGM No. Gateway EGM Date Gateway Site ID Error Code N.A.  INPAV1  140831  2017-12-18 00:00:00.0  INPAV1  S </v>
      </c>
      <c r="Q56" t="s">
        <v>1490</v>
      </c>
    </row>
    <row r="57" spans="1:17" x14ac:dyDescent="0.35">
      <c r="A57" t="s">
        <v>8</v>
      </c>
      <c r="B57">
        <v>1487575</v>
      </c>
      <c r="C57" s="2" t="s">
        <v>1485</v>
      </c>
      <c r="D57" s="2" t="str">
        <f>LEFT(TRIM(MID(SUBSTITUTE(tblShipments2[[#This Row],[Details]],CHAR(10)," "), FIND(CHAR(10),tblShipments2[[#This Row],[Details]])+1, 50)), 10)</f>
        <v>0595008844</v>
      </c>
      <c r="E57" t="s">
        <v>1491</v>
      </c>
      <c r="F5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7" t="str">
        <f>IF(tblShipments2[[#This Row],[EGM no]]="", "Missing EGM", "EGM Submitted")</f>
        <v>EGM Submitted</v>
      </c>
      <c r="H57" t="str">
        <f>IF(OR(ISNUMBER(SEARCH("Released",tblShipments2[[#This Row],[ROSL]])),
      ISNUMBER(SEARCH("Scroll",tblShipments2[[#This Row],[ROSL]])),
      ISNUMBER(SEARCH("Y",tblShipments2[[#This Row],[ROSL]]))),
   "Released",
   "Not Released")</f>
        <v>Released</v>
      </c>
      <c r="I57" t="str">
        <f>IF(OR(tblShipments2[[#This Row],[EGM no]]="", tblShipments2[[#This Row],[EGM no]]="N.A."), "Not Submitted", "Submitted")</f>
        <v>Submitted</v>
      </c>
      <c r="J57" t="str">
        <f>IF(LEFT(tblShipments2[[#This Row],[Gateway_Extracted]],2)="IN","Valid","Invalid")</f>
        <v>Valid</v>
      </c>
      <c r="K57" t="s">
        <v>1492</v>
      </c>
      <c r="L57" t="s">
        <v>1493</v>
      </c>
      <c r="M57" t="s">
        <v>13</v>
      </c>
      <c r="N57" t="s">
        <v>1494</v>
      </c>
      <c r="O57" t="str">
        <f>IFERROR("IN" &amp; _xlfn.TEXTBEFORE(_xlfn.TEXTAFTER(UPPER(tblShipments2[[#This Row],[Gateway_clean]]),"IN")," ",1),"")</f>
        <v>INMUN1</v>
      </c>
      <c r="P57" t="str">
        <f>SUBSTITUTE(tblShipments2[[#This Row],[Gateway]], CHAR(10), " ")</f>
        <v xml:space="preserve">AWB No. Gateway Port Gateway EGM No. Gateway EGM Date Gateway Site ID Error Code N.A.  INMUN1  140930  2017-12-19 00:00:00.0  INMUN1  S </v>
      </c>
      <c r="Q57" t="s">
        <v>1495</v>
      </c>
    </row>
    <row r="58" spans="1:17" x14ac:dyDescent="0.35">
      <c r="A58" t="s">
        <v>8</v>
      </c>
      <c r="B58">
        <v>1487979</v>
      </c>
      <c r="C58" s="2" t="s">
        <v>1485</v>
      </c>
      <c r="D58" s="2" t="str">
        <f>LEFT(TRIM(MID(SUBSTITUTE(tblShipments2[[#This Row],[Details]],CHAR(10)," "), FIND(CHAR(10),tblShipments2[[#This Row],[Details]])+1, 50)), 10)</f>
        <v>0505075172</v>
      </c>
      <c r="E58" t="s">
        <v>1496</v>
      </c>
      <c r="F5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8" t="str">
        <f>IF(tblShipments2[[#This Row],[EGM no]]="", "Missing EGM", "EGM Submitted")</f>
        <v>EGM Submitted</v>
      </c>
      <c r="H58" t="str">
        <f>IF(OR(ISNUMBER(SEARCH("Released",tblShipments2[[#This Row],[ROSL]])),
      ISNUMBER(SEARCH("Scroll",tblShipments2[[#This Row],[ROSL]])),
      ISNUMBER(SEARCH("Y",tblShipments2[[#This Row],[ROSL]]))),
   "Released",
   "Not Released")</f>
        <v>Released</v>
      </c>
      <c r="I58" t="str">
        <f>IF(OR(tblShipments2[[#This Row],[EGM no]]="", tblShipments2[[#This Row],[EGM no]]="N.A."), "Not Submitted", "Submitted")</f>
        <v>Submitted</v>
      </c>
      <c r="J58" t="str">
        <f>IF(LEFT(tblShipments2[[#This Row],[Gateway_Extracted]],2)="IN","Valid","Invalid")</f>
        <v>Valid</v>
      </c>
      <c r="K58" t="s">
        <v>1497</v>
      </c>
      <c r="L58" t="s">
        <v>1467</v>
      </c>
      <c r="M58" t="s">
        <v>13</v>
      </c>
      <c r="N58" t="s">
        <v>1498</v>
      </c>
      <c r="O58" t="str">
        <f>IFERROR("IN" &amp; _xlfn.TEXTBEFORE(_xlfn.TEXTAFTER(UPPER(tblShipments2[[#This Row],[Gateway_clean]]),"IN")," ",1),"")</f>
        <v>INNSA1</v>
      </c>
      <c r="P58" t="str">
        <f>SUBSTITUTE(tblShipments2[[#This Row],[Gateway]], CHAR(10), " ")</f>
        <v xml:space="preserve">AWB No. Gateway Port Gateway EGM No. Gateway EGM Date Gateway Site ID Error Code N.A.  INNSA1  140365  2017-12-08 00:00:00.0  INNSA1  N </v>
      </c>
      <c r="Q58" t="s">
        <v>1469</v>
      </c>
    </row>
    <row r="59" spans="1:17" x14ac:dyDescent="0.35">
      <c r="A59" t="s">
        <v>8</v>
      </c>
      <c r="B59">
        <v>1509191</v>
      </c>
      <c r="C59" s="2" t="s">
        <v>1499</v>
      </c>
      <c r="D59" s="2" t="str">
        <f>LEFT(TRIM(MID(SUBSTITUTE(tblShipments2[[#This Row],[Details]],CHAR(10)," "), FIND(CHAR(10),tblShipments2[[#This Row],[Details]])+1, 50)), 10)</f>
        <v>0515934062</v>
      </c>
      <c r="E59" t="s">
        <v>1500</v>
      </c>
      <c r="F5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59" t="str">
        <f>IF(tblShipments2[[#This Row],[EGM no]]="", "Missing EGM", "EGM Submitted")</f>
        <v>EGM Submitted</v>
      </c>
      <c r="H59" t="str">
        <f>IF(OR(ISNUMBER(SEARCH("Released",tblShipments2[[#This Row],[ROSL]])),
      ISNUMBER(SEARCH("Scroll",tblShipments2[[#This Row],[ROSL]])),
      ISNUMBER(SEARCH("Y",tblShipments2[[#This Row],[ROSL]]))),
   "Released",
   "Not Released")</f>
        <v>Released</v>
      </c>
      <c r="I59" t="str">
        <f>IF(OR(tblShipments2[[#This Row],[EGM no]]="", tblShipments2[[#This Row],[EGM no]]="N.A."), "Not Submitted", "Submitted")</f>
        <v>Submitted</v>
      </c>
      <c r="J59" t="str">
        <f>IF(LEFT(tblShipments2[[#This Row],[Gateway_Extracted]],2)="IN","Valid","Invalid")</f>
        <v>Invalid</v>
      </c>
      <c r="K59" t="s">
        <v>1501</v>
      </c>
      <c r="L59" t="s">
        <v>1502</v>
      </c>
      <c r="M59" t="s">
        <v>13</v>
      </c>
      <c r="N59" t="s">
        <v>1503</v>
      </c>
      <c r="O59" t="str">
        <f>IFERROR("IN" &amp; _xlfn.TEXTBEFORE(_xlfn.TEXTAFTER(UPPER(tblShipments2[[#This Row],[Gateway_clean]]),"IN")," ",1),"")</f>
        <v/>
      </c>
      <c r="P59" t="str">
        <f>SUBSTITUTE(tblShipments2[[#This Row],[Gateway]], CHAR(10), " ")</f>
        <v>Please Wait....</v>
      </c>
      <c r="Q59" t="s">
        <v>105</v>
      </c>
    </row>
    <row r="60" spans="1:17" x14ac:dyDescent="0.35">
      <c r="A60" t="s">
        <v>8</v>
      </c>
      <c r="B60">
        <v>1512374</v>
      </c>
      <c r="C60" s="2" t="s">
        <v>1499</v>
      </c>
      <c r="D60" s="2" t="str">
        <f>LEFT(TRIM(MID(SUBSTITUTE(tblShipments2[[#This Row],[Details]],CHAR(10)," "), FIND(CHAR(10),tblShipments2[[#This Row],[Details]])+1, 50)), 10)</f>
        <v>0508028078</v>
      </c>
      <c r="E60" t="s">
        <v>1504</v>
      </c>
      <c r="F6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0" t="str">
        <f>IF(tblShipments2[[#This Row],[EGM no]]="", "Missing EGM", "EGM Submitted")</f>
        <v>EGM Submitted</v>
      </c>
      <c r="H60" t="str">
        <f>IF(OR(ISNUMBER(SEARCH("Released",tblShipments2[[#This Row],[ROSL]])),
      ISNUMBER(SEARCH("Scroll",tblShipments2[[#This Row],[ROSL]])),
      ISNUMBER(SEARCH("Y",tblShipments2[[#This Row],[ROSL]]))),
   "Released",
   "Not Released")</f>
        <v>Released</v>
      </c>
      <c r="I60" t="str">
        <f>IF(OR(tblShipments2[[#This Row],[EGM no]]="", tblShipments2[[#This Row],[EGM no]]="N.A."), "Not Submitted", "Submitted")</f>
        <v>Submitted</v>
      </c>
      <c r="J60" t="str">
        <f>IF(LEFT(tblShipments2[[#This Row],[Gateway_Extracted]],2)="IN","Valid","Invalid")</f>
        <v>Valid</v>
      </c>
      <c r="K60" t="s">
        <v>1505</v>
      </c>
      <c r="L60" t="s">
        <v>1506</v>
      </c>
      <c r="M60" t="s">
        <v>13</v>
      </c>
      <c r="N60" t="s">
        <v>1507</v>
      </c>
      <c r="O60" t="str">
        <f>IFERROR("IN" &amp; _xlfn.TEXTBEFORE(_xlfn.TEXTAFTER(UPPER(tblShipments2[[#This Row],[Gateway_clean]]),"IN")," ",1),"")</f>
        <v>INNSA1</v>
      </c>
      <c r="P60" t="str">
        <f>SUBSTITUTE(tblShipments2[[#This Row],[Gateway]], CHAR(10), " ")</f>
        <v xml:space="preserve">AWB No. Gateway Port Gateway EGM No. Gateway EGM Date Gateway Site ID Error Code N.A.  INNSA1  140677  2017-12-14 00:00:00.0  INNSA1  S </v>
      </c>
      <c r="Q60" t="s">
        <v>1464</v>
      </c>
    </row>
    <row r="61" spans="1:17" x14ac:dyDescent="0.35">
      <c r="A61" t="s">
        <v>8</v>
      </c>
      <c r="B61">
        <v>1521533</v>
      </c>
      <c r="C61" s="2" t="s">
        <v>1499</v>
      </c>
      <c r="D61" s="2" t="str">
        <f>LEFT(TRIM(MID(SUBSTITUTE(tblShipments2[[#This Row],[Details]],CHAR(10)," "), FIND(CHAR(10),tblShipments2[[#This Row],[Details]])+1, 50)), 10)</f>
        <v>0504011057</v>
      </c>
      <c r="E61" t="s">
        <v>1508</v>
      </c>
      <c r="F6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1" t="str">
        <f>IF(tblShipments2[[#This Row],[EGM no]]="", "Missing EGM", "EGM Submitted")</f>
        <v>EGM Submitted</v>
      </c>
      <c r="H61" t="str">
        <f>IF(OR(ISNUMBER(SEARCH("Released",tblShipments2[[#This Row],[ROSL]])),
      ISNUMBER(SEARCH("Scroll",tblShipments2[[#This Row],[ROSL]])),
      ISNUMBER(SEARCH("Y",tblShipments2[[#This Row],[ROSL]]))),
   "Released",
   "Not Released")</f>
        <v>Released</v>
      </c>
      <c r="I61" t="str">
        <f>IF(OR(tblShipments2[[#This Row],[EGM no]]="", tblShipments2[[#This Row],[EGM no]]="N.A."), "Not Submitted", "Submitted")</f>
        <v>Submitted</v>
      </c>
      <c r="J61" t="str">
        <f>IF(LEFT(tblShipments2[[#This Row],[Gateway_Extracted]],2)="IN","Valid","Invalid")</f>
        <v>Valid</v>
      </c>
      <c r="K61" t="s">
        <v>1471</v>
      </c>
      <c r="L61" t="s">
        <v>1509</v>
      </c>
      <c r="M61" t="s">
        <v>13</v>
      </c>
      <c r="N61" t="s">
        <v>1510</v>
      </c>
      <c r="O61" t="str">
        <f>IFERROR("IN" &amp; _xlfn.TEXTBEFORE(_xlfn.TEXTAFTER(UPPER(tblShipments2[[#This Row],[Gateway_clean]]),"IN")," ",1),"")</f>
        <v>INMUN1</v>
      </c>
      <c r="P61" t="str">
        <f>SUBSTITUTE(tblShipments2[[#This Row],[Gateway]], CHAR(10), " ")</f>
        <v xml:space="preserve">AWB No. Gateway Port Gateway EGM No. Gateway EGM Date Gateway Site ID Error Code N.A.  INMUN1  140931  2017-12-19 00:00:00.0  INMUN1  S </v>
      </c>
      <c r="Q61" t="s">
        <v>1511</v>
      </c>
    </row>
    <row r="62" spans="1:17" x14ac:dyDescent="0.35">
      <c r="A62" t="s">
        <v>8</v>
      </c>
      <c r="B62">
        <v>1523411</v>
      </c>
      <c r="C62" s="2" t="s">
        <v>1499</v>
      </c>
      <c r="D62" s="2" t="str">
        <f>LEFT(TRIM(MID(SUBSTITUTE(tblShipments2[[#This Row],[Details]],CHAR(10)," "), FIND(CHAR(10),tblShipments2[[#This Row],[Details]])+1, 50)), 10)</f>
        <v>1306014115</v>
      </c>
      <c r="E62" t="s">
        <v>1512</v>
      </c>
      <c r="F6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2" t="str">
        <f>IF(tblShipments2[[#This Row],[EGM no]]="", "Missing EGM", "EGM Submitted")</f>
        <v>EGM Submitted</v>
      </c>
      <c r="H62" t="str">
        <f>IF(OR(ISNUMBER(SEARCH("Released",tblShipments2[[#This Row],[ROSL]])),
      ISNUMBER(SEARCH("Scroll",tblShipments2[[#This Row],[ROSL]])),
      ISNUMBER(SEARCH("Y",tblShipments2[[#This Row],[ROSL]]))),
   "Released",
   "Not Released")</f>
        <v>Released</v>
      </c>
      <c r="I62" t="str">
        <f>IF(OR(tblShipments2[[#This Row],[EGM no]]="", tblShipments2[[#This Row],[EGM no]]="N.A."), "Not Submitted", "Submitted")</f>
        <v>Submitted</v>
      </c>
      <c r="J62" t="str">
        <f>IF(LEFT(tblShipments2[[#This Row],[Gateway_Extracted]],2)="IN","Valid","Invalid")</f>
        <v>Valid</v>
      </c>
      <c r="K62" t="s">
        <v>1513</v>
      </c>
      <c r="L62" t="s">
        <v>1514</v>
      </c>
      <c r="M62" t="s">
        <v>13</v>
      </c>
      <c r="N62" t="s">
        <v>1515</v>
      </c>
      <c r="O62" t="str">
        <f>IFERROR("IN" &amp; _xlfn.TEXTBEFORE(_xlfn.TEXTAFTER(UPPER(tblShipments2[[#This Row],[Gateway_clean]]),"IN")," ",1),"")</f>
        <v>INMUN1</v>
      </c>
      <c r="P62" t="str">
        <f>SUBSTITUTE(tblShipments2[[#This Row],[Gateway]], CHAR(10), " ")</f>
        <v xml:space="preserve">AWB No. Gateway Port Gateway EGM No. Gateway EGM Date Gateway Site ID Error Code N.A.  INMUN1  N.A.  N.A.  N.A.  N.A. </v>
      </c>
      <c r="Q62" t="s">
        <v>244</v>
      </c>
    </row>
    <row r="63" spans="1:17" x14ac:dyDescent="0.35">
      <c r="A63" t="s">
        <v>8</v>
      </c>
      <c r="B63">
        <v>1546285</v>
      </c>
      <c r="C63" s="2" t="s">
        <v>1516</v>
      </c>
      <c r="D63" s="2" t="str">
        <f>LEFT(TRIM(MID(SUBSTITUTE(tblShipments2[[#This Row],[Details]],CHAR(10)," "), FIND(CHAR(10),tblShipments2[[#This Row],[Details]])+1, 50)), 10)</f>
        <v>3104003254</v>
      </c>
      <c r="E63" t="s">
        <v>1517</v>
      </c>
      <c r="F6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3" t="str">
        <f>IF(tblShipments2[[#This Row],[EGM no]]="", "Missing EGM", "EGM Submitted")</f>
        <v>EGM Submitted</v>
      </c>
      <c r="H63" t="str">
        <f>IF(OR(ISNUMBER(SEARCH("Released",tblShipments2[[#This Row],[ROSL]])),
      ISNUMBER(SEARCH("Scroll",tblShipments2[[#This Row],[ROSL]])),
      ISNUMBER(SEARCH("Y",tblShipments2[[#This Row],[ROSL]]))),
   "Released",
   "Not Released")</f>
        <v>Released</v>
      </c>
      <c r="I63" t="str">
        <f>IF(OR(tblShipments2[[#This Row],[EGM no]]="", tblShipments2[[#This Row],[EGM no]]="N.A."), "Not Submitted", "Submitted")</f>
        <v>Submitted</v>
      </c>
      <c r="J63" t="str">
        <f>IF(LEFT(tblShipments2[[#This Row],[Gateway_Extracted]],2)="IN","Valid","Invalid")</f>
        <v>Valid</v>
      </c>
      <c r="K63" t="s">
        <v>1497</v>
      </c>
      <c r="L63" t="s">
        <v>1518</v>
      </c>
      <c r="M63" t="s">
        <v>13</v>
      </c>
      <c r="N63" t="s">
        <v>1519</v>
      </c>
      <c r="O63" t="str">
        <f>IFERROR("IN" &amp; _xlfn.TEXTBEFORE(_xlfn.TEXTAFTER(UPPER(tblShipments2[[#This Row],[Gateway_clean]]),"IN")," ",1),"")</f>
        <v>INMUN1</v>
      </c>
      <c r="P63" t="str">
        <f>SUBSTITUTE(tblShipments2[[#This Row],[Gateway]], CHAR(10), " ")</f>
        <v xml:space="preserve">AWB No. Gateway Port Gateway EGM No. Gateway EGM Date Gateway Site ID Error Code N.A.  INMUN1  141045  2017-12-20 00:00:00.0  INMUN1  S </v>
      </c>
      <c r="Q63" t="s">
        <v>1319</v>
      </c>
    </row>
    <row r="64" spans="1:17" x14ac:dyDescent="0.35">
      <c r="A64" t="s">
        <v>8</v>
      </c>
      <c r="B64">
        <v>1547350</v>
      </c>
      <c r="C64" s="2" t="s">
        <v>1516</v>
      </c>
      <c r="D64" s="2" t="str">
        <f>LEFT(TRIM(MID(SUBSTITUTE(tblShipments2[[#This Row],[Details]],CHAR(10)," "), FIND(CHAR(10),tblShipments2[[#This Row],[Details]])+1, 50)), 10)</f>
        <v>0504077171</v>
      </c>
      <c r="E64" t="s">
        <v>1520</v>
      </c>
      <c r="F6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4" t="str">
        <f>IF(tblShipments2[[#This Row],[EGM no]]="", "Missing EGM", "EGM Submitted")</f>
        <v>EGM Submitted</v>
      </c>
      <c r="H64" t="str">
        <f>IF(OR(ISNUMBER(SEARCH("Released",tblShipments2[[#This Row],[ROSL]])),
      ISNUMBER(SEARCH("Scroll",tblShipments2[[#This Row],[ROSL]])),
      ISNUMBER(SEARCH("Y",tblShipments2[[#This Row],[ROSL]]))),
   "Released",
   "Not Released")</f>
        <v>Released</v>
      </c>
      <c r="I64" t="str">
        <f>IF(OR(tblShipments2[[#This Row],[EGM no]]="", tblShipments2[[#This Row],[EGM no]]="N.A."), "Not Submitted", "Submitted")</f>
        <v>Submitted</v>
      </c>
      <c r="J64" t="str">
        <f>IF(LEFT(tblShipments2[[#This Row],[Gateway_Extracted]],2)="IN","Valid","Invalid")</f>
        <v>Valid</v>
      </c>
      <c r="K64" t="s">
        <v>1521</v>
      </c>
      <c r="L64" t="s">
        <v>1522</v>
      </c>
      <c r="M64" t="s">
        <v>31</v>
      </c>
      <c r="N64" t="s">
        <v>1523</v>
      </c>
      <c r="O64" t="str">
        <f>IFERROR("IN" &amp; _xlfn.TEXTBEFORE(_xlfn.TEXTAFTER(UPPER(tblShipments2[[#This Row],[Gateway_clean]]),"IN")," ",1),"")</f>
        <v>INPAV1</v>
      </c>
      <c r="P64" t="str">
        <f>SUBSTITUTE(tblShipments2[[#This Row],[Gateway]], CHAR(10), " ")</f>
        <v xml:space="preserve">AWB No. Gateway Port Gateway EGM No. Gateway EGM Date Gateway Site ID Error Code N.A.  INPAV1  140831  2017-12-18 00:00:00.0  INPAV1  S </v>
      </c>
      <c r="Q64" t="s">
        <v>1490</v>
      </c>
    </row>
    <row r="65" spans="1:17" x14ac:dyDescent="0.35">
      <c r="A65" t="s">
        <v>8</v>
      </c>
      <c r="B65">
        <v>1551135</v>
      </c>
      <c r="C65" s="2" t="s">
        <v>1516</v>
      </c>
      <c r="D65" s="2" t="str">
        <f>LEFT(TRIM(MID(SUBSTITUTE(tblShipments2[[#This Row],[Details]],CHAR(10)," "), FIND(CHAR(10),tblShipments2[[#This Row],[Details]])+1, 50)), 10)</f>
        <v>0500050139</v>
      </c>
      <c r="E65" t="s">
        <v>1524</v>
      </c>
      <c r="F6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5" t="str">
        <f>IF(tblShipments2[[#This Row],[EGM no]]="", "Missing EGM", "EGM Submitted")</f>
        <v>EGM Submitted</v>
      </c>
      <c r="H65" t="str">
        <f>IF(OR(ISNUMBER(SEARCH("Released",tblShipments2[[#This Row],[ROSL]])),
      ISNUMBER(SEARCH("Scroll",tblShipments2[[#This Row],[ROSL]])),
      ISNUMBER(SEARCH("Y",tblShipments2[[#This Row],[ROSL]]))),
   "Released",
   "Not Released")</f>
        <v>Released</v>
      </c>
      <c r="I65" t="str">
        <f>IF(OR(tblShipments2[[#This Row],[EGM no]]="", tblShipments2[[#This Row],[EGM no]]="N.A."), "Not Submitted", "Submitted")</f>
        <v>Submitted</v>
      </c>
      <c r="J65" t="str">
        <f>IF(LEFT(tblShipments2[[#This Row],[Gateway_Extracted]],2)="IN","Valid","Invalid")</f>
        <v>Valid</v>
      </c>
      <c r="K65" t="s">
        <v>1481</v>
      </c>
      <c r="L65" t="s">
        <v>1525</v>
      </c>
      <c r="M65" t="s">
        <v>31</v>
      </c>
      <c r="N65" t="s">
        <v>1526</v>
      </c>
      <c r="O65" t="str">
        <f>IFERROR("IN" &amp; _xlfn.TEXTBEFORE(_xlfn.TEXTAFTER(UPPER(tblShipments2[[#This Row],[Gateway_clean]]),"IN")," ",1),"")</f>
        <v>INNSA1</v>
      </c>
      <c r="P65" t="str">
        <f>SUBSTITUTE(tblShipments2[[#This Row],[Gateway]], CHAR(10), " ")</f>
        <v xml:space="preserve">AWB No. Gateway Port Gateway EGM No. Gateway EGM Date Gateway Site ID Error Code N.A.  INNSA1  138758  2017-11-14 00:00:00.0  INNSA1  S </v>
      </c>
      <c r="Q65" t="s">
        <v>1527</v>
      </c>
    </row>
    <row r="66" spans="1:17" x14ac:dyDescent="0.35">
      <c r="A66" t="s">
        <v>8</v>
      </c>
      <c r="B66">
        <v>1566061</v>
      </c>
      <c r="C66" s="2" t="s">
        <v>1528</v>
      </c>
      <c r="D66" s="2" t="str">
        <f>LEFT(TRIM(MID(SUBSTITUTE(tblShipments2[[#This Row],[Details]],CHAR(10)," "), FIND(CHAR(10),tblShipments2[[#This Row],[Details]])+1, 50)), 10)</f>
        <v>0713000201</v>
      </c>
      <c r="E66" t="s">
        <v>1529</v>
      </c>
      <c r="F6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6" t="str">
        <f>IF(tblShipments2[[#This Row],[EGM no]]="", "Missing EGM", "EGM Submitted")</f>
        <v>EGM Submitted</v>
      </c>
      <c r="H66" t="str">
        <f>IF(OR(ISNUMBER(SEARCH("Released",tblShipments2[[#This Row],[ROSL]])),
      ISNUMBER(SEARCH("Scroll",tblShipments2[[#This Row],[ROSL]])),
      ISNUMBER(SEARCH("Y",tblShipments2[[#This Row],[ROSL]]))),
   "Released",
   "Not Released")</f>
        <v>Released</v>
      </c>
      <c r="I66" t="str">
        <f>IF(OR(tblShipments2[[#This Row],[EGM no]]="", tblShipments2[[#This Row],[EGM no]]="N.A."), "Not Submitted", "Submitted")</f>
        <v>Submitted</v>
      </c>
      <c r="J66" t="str">
        <f>IF(LEFT(tblShipments2[[#This Row],[Gateway_Extracted]],2)="IN","Valid","Invalid")</f>
        <v>Invalid</v>
      </c>
      <c r="K66" t="s">
        <v>1530</v>
      </c>
      <c r="L66" t="s">
        <v>1531</v>
      </c>
      <c r="M66" t="s">
        <v>31</v>
      </c>
      <c r="N66" t="s">
        <v>1532</v>
      </c>
      <c r="O66" t="str">
        <f>IFERROR("IN" &amp; _xlfn.TEXTBEFORE(_xlfn.TEXTAFTER(UPPER(tblShipments2[[#This Row],[Gateway_clean]]),"IN")," ",1),"")</f>
        <v/>
      </c>
      <c r="P66" t="str">
        <f>SUBSTITUTE(tblShipments2[[#This Row],[Gateway]], CHAR(10), " ")</f>
        <v>Please Wait....</v>
      </c>
      <c r="Q66" t="s">
        <v>105</v>
      </c>
    </row>
    <row r="67" spans="1:17" x14ac:dyDescent="0.35">
      <c r="A67" t="s">
        <v>8</v>
      </c>
      <c r="B67">
        <v>1568268</v>
      </c>
      <c r="C67" s="2" t="s">
        <v>1528</v>
      </c>
      <c r="D67" s="2" t="str">
        <f>LEFT(TRIM(MID(SUBSTITUTE(tblShipments2[[#This Row],[Details]],CHAR(10)," "), FIND(CHAR(10),tblShipments2[[#This Row],[Details]])+1, 50)), 10)</f>
        <v>0589053850</v>
      </c>
      <c r="E67" t="s">
        <v>1533</v>
      </c>
      <c r="F6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7" t="str">
        <f>IF(tblShipments2[[#This Row],[EGM no]]="", "Missing EGM", "EGM Submitted")</f>
        <v>EGM Submitted</v>
      </c>
      <c r="H67" t="str">
        <f>IF(OR(ISNUMBER(SEARCH("Released",tblShipments2[[#This Row],[ROSL]])),
      ISNUMBER(SEARCH("Scroll",tblShipments2[[#This Row],[ROSL]])),
      ISNUMBER(SEARCH("Y",tblShipments2[[#This Row],[ROSL]]))),
   "Released",
   "Not Released")</f>
        <v>Released</v>
      </c>
      <c r="I67" t="str">
        <f>IF(OR(tblShipments2[[#This Row],[EGM no]]="", tblShipments2[[#This Row],[EGM no]]="N.A."), "Not Submitted", "Submitted")</f>
        <v>Submitted</v>
      </c>
      <c r="J67" t="str">
        <f>IF(LEFT(tblShipments2[[#This Row],[Gateway_Extracted]],2)="IN","Valid","Invalid")</f>
        <v>Valid</v>
      </c>
      <c r="K67" t="s">
        <v>1461</v>
      </c>
      <c r="L67" t="s">
        <v>1534</v>
      </c>
      <c r="M67" t="s">
        <v>13</v>
      </c>
      <c r="N67" t="s">
        <v>1535</v>
      </c>
      <c r="O67" t="str">
        <f>IFERROR("IN" &amp; _xlfn.TEXTBEFORE(_xlfn.TEXTAFTER(UPPER(tblShipments2[[#This Row],[Gateway_clean]]),"IN")," ",1),"")</f>
        <v>INNSA1</v>
      </c>
      <c r="P67" t="str">
        <f>SUBSTITUTE(tblShipments2[[#This Row],[Gateway]], CHAR(10), " ")</f>
        <v xml:space="preserve">AWB No. Gateway Port Gateway EGM No. Gateway EGM Date Gateway Site ID Error Code N.A.  INNSA1  140487  2017-12-12 00:00:00.0  INNSA1  S </v>
      </c>
      <c r="Q67" t="s">
        <v>1536</v>
      </c>
    </row>
    <row r="68" spans="1:17" x14ac:dyDescent="0.35">
      <c r="A68" t="s">
        <v>8</v>
      </c>
      <c r="B68">
        <v>1579668</v>
      </c>
      <c r="C68" s="2" t="s">
        <v>1528</v>
      </c>
      <c r="D68" s="2" t="str">
        <f>LEFT(TRIM(MID(SUBSTITUTE(tblShipments2[[#This Row],[Details]],CHAR(10)," "), FIND(CHAR(10),tblShipments2[[#This Row],[Details]])+1, 50)), 10)</f>
        <v>0516526065</v>
      </c>
      <c r="E68" t="s">
        <v>1537</v>
      </c>
      <c r="F6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8" t="str">
        <f>IF(tblShipments2[[#This Row],[EGM no]]="", "Missing EGM", "EGM Submitted")</f>
        <v>EGM Submitted</v>
      </c>
      <c r="H68" t="str">
        <f>IF(OR(ISNUMBER(SEARCH("Released",tblShipments2[[#This Row],[ROSL]])),
      ISNUMBER(SEARCH("Scroll",tblShipments2[[#This Row],[ROSL]])),
      ISNUMBER(SEARCH("Y",tblShipments2[[#This Row],[ROSL]]))),
   "Released",
   "Not Released")</f>
        <v>Released</v>
      </c>
      <c r="I68" t="str">
        <f>IF(OR(tblShipments2[[#This Row],[EGM no]]="", tblShipments2[[#This Row],[EGM no]]="N.A."), "Not Submitted", "Submitted")</f>
        <v>Submitted</v>
      </c>
      <c r="J68" t="str">
        <f>IF(LEFT(tblShipments2[[#This Row],[Gateway_Extracted]],2)="IN","Valid","Invalid")</f>
        <v>Valid</v>
      </c>
      <c r="K68" t="s">
        <v>1538</v>
      </c>
      <c r="L68" t="s">
        <v>1539</v>
      </c>
      <c r="M68" t="s">
        <v>13</v>
      </c>
      <c r="N68" t="s">
        <v>1540</v>
      </c>
      <c r="O68" t="str">
        <f>IFERROR("IN" &amp; _xlfn.TEXTBEFORE(_xlfn.TEXTAFTER(UPPER(tblShipments2[[#This Row],[Gateway_clean]]),"IN")," ",1),"")</f>
        <v>INNSA1</v>
      </c>
      <c r="P68" t="str">
        <f>SUBSTITUTE(tblShipments2[[#This Row],[Gateway]], CHAR(10), " ")</f>
        <v xml:space="preserve">AWB No. Gateway Port Gateway EGM No. Gateway EGM Date Gateway Site ID Error Code N.A.  INNSA1  140586  2017-12-12 00:00:00.0  INNSA1  S </v>
      </c>
      <c r="Q68" t="s">
        <v>1541</v>
      </c>
    </row>
    <row r="69" spans="1:17" x14ac:dyDescent="0.35">
      <c r="A69" t="s">
        <v>8</v>
      </c>
      <c r="B69">
        <v>1580068</v>
      </c>
      <c r="C69" s="2" t="s">
        <v>1528</v>
      </c>
      <c r="D69" s="2" t="str">
        <f>LEFT(TRIM(MID(SUBSTITUTE(tblShipments2[[#This Row],[Details]],CHAR(10)," "), FIND(CHAR(10),tblShipments2[[#This Row],[Details]])+1, 50)), 10)</f>
        <v>3011014116</v>
      </c>
      <c r="E69" t="s">
        <v>1542</v>
      </c>
      <c r="F6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69" t="str">
        <f>IF(tblShipments2[[#This Row],[EGM no]]="", "Missing EGM", "EGM Submitted")</f>
        <v>EGM Submitted</v>
      </c>
      <c r="H69" t="str">
        <f>IF(OR(ISNUMBER(SEARCH("Released",tblShipments2[[#This Row],[ROSL]])),
      ISNUMBER(SEARCH("Scroll",tblShipments2[[#This Row],[ROSL]])),
      ISNUMBER(SEARCH("Y",tblShipments2[[#This Row],[ROSL]]))),
   "Released",
   "Not Released")</f>
        <v>Released</v>
      </c>
      <c r="I69" t="str">
        <f>IF(OR(tblShipments2[[#This Row],[EGM no]]="", tblShipments2[[#This Row],[EGM no]]="N.A."), "Not Submitted", "Submitted")</f>
        <v>Submitted</v>
      </c>
      <c r="J69" t="str">
        <f>IF(LEFT(tblShipments2[[#This Row],[Gateway_Extracted]],2)="IN","Valid","Invalid")</f>
        <v>Valid</v>
      </c>
      <c r="K69" t="s">
        <v>1543</v>
      </c>
      <c r="L69" t="s">
        <v>1544</v>
      </c>
      <c r="M69" t="s">
        <v>13</v>
      </c>
      <c r="N69" t="s">
        <v>1545</v>
      </c>
      <c r="O69" t="str">
        <f>IFERROR("IN" &amp; _xlfn.TEXTBEFORE(_xlfn.TEXTAFTER(UPPER(tblShipments2[[#This Row],[Gateway_clean]]),"IN")," ",1),"")</f>
        <v>INNSA1</v>
      </c>
      <c r="P69" t="str">
        <f>SUBSTITUTE(tblShipments2[[#This Row],[Gateway]], CHAR(10), " ")</f>
        <v xml:space="preserve">AWB No. Gateway Port Gateway EGM No. Gateway EGM Date Gateway Site ID Error Code N.A.  INNSA1  140402  2017-12-11 00:00:00.0  INNSA1  S </v>
      </c>
      <c r="Q69" t="s">
        <v>1546</v>
      </c>
    </row>
    <row r="70" spans="1:17" x14ac:dyDescent="0.35">
      <c r="A70" t="s">
        <v>8</v>
      </c>
      <c r="B70">
        <v>1609603</v>
      </c>
      <c r="C70" s="2" t="s">
        <v>1547</v>
      </c>
      <c r="D70" s="2" t="str">
        <f>LEFT(TRIM(MID(SUBSTITUTE(tblShipments2[[#This Row],[Details]],CHAR(10)," "), FIND(CHAR(10),tblShipments2[[#This Row],[Details]])+1, 50)), 10)</f>
        <v>0504077171</v>
      </c>
      <c r="E70" t="s">
        <v>1548</v>
      </c>
      <c r="F7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0" t="str">
        <f>IF(tblShipments2[[#This Row],[EGM no]]="", "Missing EGM", "EGM Submitted")</f>
        <v>EGM Submitted</v>
      </c>
      <c r="H70" t="str">
        <f>IF(OR(ISNUMBER(SEARCH("Released",tblShipments2[[#This Row],[ROSL]])),
      ISNUMBER(SEARCH("Scroll",tblShipments2[[#This Row],[ROSL]])),
      ISNUMBER(SEARCH("Y",tblShipments2[[#This Row],[ROSL]]))),
   "Released",
   "Not Released")</f>
        <v>Released</v>
      </c>
      <c r="I70" t="str">
        <f>IF(OR(tblShipments2[[#This Row],[EGM no]]="", tblShipments2[[#This Row],[EGM no]]="N.A."), "Not Submitted", "Submitted")</f>
        <v>Submitted</v>
      </c>
      <c r="J70" t="str">
        <f>IF(LEFT(tblShipments2[[#This Row],[Gateway_Extracted]],2)="IN","Valid","Invalid")</f>
        <v>Valid</v>
      </c>
      <c r="K70" t="s">
        <v>1549</v>
      </c>
      <c r="L70" t="s">
        <v>1550</v>
      </c>
      <c r="M70" t="s">
        <v>31</v>
      </c>
      <c r="N70" t="s">
        <v>1551</v>
      </c>
      <c r="O70" t="str">
        <f>IFERROR("IN" &amp; _xlfn.TEXTBEFORE(_xlfn.TEXTAFTER(UPPER(tblShipments2[[#This Row],[Gateway_clean]]),"IN")," ",1),"")</f>
        <v>INPAV1</v>
      </c>
      <c r="P70" t="str">
        <f>SUBSTITUTE(tblShipments2[[#This Row],[Gateway]], CHAR(10), " ")</f>
        <v xml:space="preserve">AWB No. Gateway Port Gateway EGM No. Gateway EGM Date Gateway Site ID Error Code N.A.  INPAV1  140831  2017-12-18 00:00:00.0  INPAV1  S </v>
      </c>
      <c r="Q70" t="s">
        <v>1490</v>
      </c>
    </row>
    <row r="71" spans="1:17" x14ac:dyDescent="0.35">
      <c r="A71" t="s">
        <v>8</v>
      </c>
      <c r="B71">
        <v>1614481</v>
      </c>
      <c r="C71" s="2" t="s">
        <v>1547</v>
      </c>
      <c r="D71" s="2" t="str">
        <f>LEFT(TRIM(MID(SUBSTITUTE(tblShipments2[[#This Row],[Details]],CHAR(10)," "), FIND(CHAR(10),tblShipments2[[#This Row],[Details]])+1, 50)), 10)</f>
        <v>0593052561</v>
      </c>
      <c r="E71" t="s">
        <v>1552</v>
      </c>
      <c r="F7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1" t="str">
        <f>IF(tblShipments2[[#This Row],[EGM no]]="", "Missing EGM", "EGM Submitted")</f>
        <v>EGM Submitted</v>
      </c>
      <c r="H71" t="str">
        <f>IF(OR(ISNUMBER(SEARCH("Released",tblShipments2[[#This Row],[ROSL]])),
      ISNUMBER(SEARCH("Scroll",tblShipments2[[#This Row],[ROSL]])),
      ISNUMBER(SEARCH("Y",tblShipments2[[#This Row],[ROSL]]))),
   "Released",
   "Not Released")</f>
        <v>Released</v>
      </c>
      <c r="I71" t="str">
        <f>IF(OR(tblShipments2[[#This Row],[EGM no]]="", tblShipments2[[#This Row],[EGM no]]="N.A."), "Not Submitted", "Submitted")</f>
        <v>Submitted</v>
      </c>
      <c r="J71" t="str">
        <f>IF(LEFT(tblShipments2[[#This Row],[Gateway_Extracted]],2)="IN","Valid","Invalid")</f>
        <v>Valid</v>
      </c>
      <c r="K71" t="s">
        <v>1553</v>
      </c>
      <c r="L71" t="s">
        <v>1554</v>
      </c>
      <c r="M71" t="s">
        <v>31</v>
      </c>
      <c r="N71" t="s">
        <v>1555</v>
      </c>
      <c r="O71" t="str">
        <f>IFERROR("IN" &amp; _xlfn.TEXTBEFORE(_xlfn.TEXTAFTER(UPPER(tblShipments2[[#This Row],[Gateway_clean]]),"IN")," ",1),"")</f>
        <v>INNSA1</v>
      </c>
      <c r="P71" t="str">
        <f>SUBSTITUTE(tblShipments2[[#This Row],[Gateway]], CHAR(10), " ")</f>
        <v xml:space="preserve">AWB No. Gateway Port Gateway EGM No. Gateway EGM Date Gateway Site ID Error Code N.A.  INNSA1  141463  2017-12-27 00:00:00.0  INNSA1  S </v>
      </c>
      <c r="Q71" t="s">
        <v>1556</v>
      </c>
    </row>
    <row r="72" spans="1:17" x14ac:dyDescent="0.35">
      <c r="A72" t="s">
        <v>8</v>
      </c>
      <c r="B72">
        <v>1616744</v>
      </c>
      <c r="C72" s="2" t="s">
        <v>1547</v>
      </c>
      <c r="D72" s="2" t="str">
        <f>LEFT(TRIM(MID(SUBSTITUTE(tblShipments2[[#This Row],[Details]],CHAR(10)," "), FIND(CHAR(10),tblShipments2[[#This Row],[Details]])+1, 50)), 10)</f>
        <v>0389025364</v>
      </c>
      <c r="E72" t="s">
        <v>1557</v>
      </c>
      <c r="F7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2" t="str">
        <f>IF(tblShipments2[[#This Row],[EGM no]]="", "Missing EGM", "EGM Submitted")</f>
        <v>EGM Submitted</v>
      </c>
      <c r="H72" t="str">
        <f>IF(OR(ISNUMBER(SEARCH("Released",tblShipments2[[#This Row],[ROSL]])),
      ISNUMBER(SEARCH("Scroll",tblShipments2[[#This Row],[ROSL]])),
      ISNUMBER(SEARCH("Y",tblShipments2[[#This Row],[ROSL]]))),
   "Released",
   "Not Released")</f>
        <v>Released</v>
      </c>
      <c r="I72" t="str">
        <f>IF(OR(tblShipments2[[#This Row],[EGM no]]="", tblShipments2[[#This Row],[EGM no]]="N.A."), "Not Submitted", "Submitted")</f>
        <v>Submitted</v>
      </c>
      <c r="J72" t="str">
        <f>IF(LEFT(tblShipments2[[#This Row],[Gateway_Extracted]],2)="IN","Valid","Invalid")</f>
        <v>Valid</v>
      </c>
      <c r="K72" t="s">
        <v>1558</v>
      </c>
      <c r="L72" t="s">
        <v>1559</v>
      </c>
      <c r="M72" t="s">
        <v>13</v>
      </c>
      <c r="N72" t="s">
        <v>1560</v>
      </c>
      <c r="O72" t="str">
        <f>IFERROR("IN" &amp; _xlfn.TEXTBEFORE(_xlfn.TEXTAFTER(UPPER(tblShipments2[[#This Row],[Gateway_clean]]),"IN")," ",1),"")</f>
        <v>INMUN1</v>
      </c>
      <c r="P72" t="str">
        <f>SUBSTITUTE(tblShipments2[[#This Row],[Gateway]], CHAR(10), " ")</f>
        <v xml:space="preserve">AWB No. Gateway Port Gateway EGM No. Gateway EGM Date Gateway Site ID Error Code N.A.  INMUN1  141297  2017-12-26 00:00:00.0  INMUN1  S </v>
      </c>
      <c r="Q72" t="s">
        <v>1561</v>
      </c>
    </row>
    <row r="73" spans="1:17" x14ac:dyDescent="0.35">
      <c r="A73" t="s">
        <v>8</v>
      </c>
      <c r="B73">
        <v>1622551</v>
      </c>
      <c r="C73" s="2" t="s">
        <v>1547</v>
      </c>
      <c r="D73" s="2" t="str">
        <f>LEFT(TRIM(MID(SUBSTITUTE(tblShipments2[[#This Row],[Details]],CHAR(10)," "), FIND(CHAR(10),tblShipments2[[#This Row],[Details]])+1, 50)), 10)</f>
        <v>0505000873</v>
      </c>
      <c r="E73" t="s">
        <v>1562</v>
      </c>
      <c r="F7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3" t="str">
        <f>IF(tblShipments2[[#This Row],[EGM no]]="", "Missing EGM", "EGM Submitted")</f>
        <v>EGM Submitted</v>
      </c>
      <c r="H73" t="str">
        <f>IF(OR(ISNUMBER(SEARCH("Released",tblShipments2[[#This Row],[ROSL]])),
      ISNUMBER(SEARCH("Scroll",tblShipments2[[#This Row],[ROSL]])),
      ISNUMBER(SEARCH("Y",tblShipments2[[#This Row],[ROSL]]))),
   "Released",
   "Not Released")</f>
        <v>Released</v>
      </c>
      <c r="I73" t="str">
        <f>IF(OR(tblShipments2[[#This Row],[EGM no]]="", tblShipments2[[#This Row],[EGM no]]="N.A."), "Not Submitted", "Submitted")</f>
        <v>Submitted</v>
      </c>
      <c r="J73" t="str">
        <f>IF(LEFT(tblShipments2[[#This Row],[Gateway_Extracted]],2)="IN","Valid","Invalid")</f>
        <v>Valid</v>
      </c>
      <c r="K73" t="s">
        <v>1543</v>
      </c>
      <c r="L73" t="s">
        <v>1563</v>
      </c>
      <c r="M73" t="s">
        <v>13</v>
      </c>
      <c r="N73" t="s">
        <v>1564</v>
      </c>
      <c r="O73" t="str">
        <f>IFERROR("IN" &amp; _xlfn.TEXTBEFORE(_xlfn.TEXTAFTER(UPPER(tblShipments2[[#This Row],[Gateway_clean]]),"IN")," ",1),"")</f>
        <v>INNSA1</v>
      </c>
      <c r="P73" t="str">
        <f>SUBSTITUTE(tblShipments2[[#This Row],[Gateway]], CHAR(10), " ")</f>
        <v xml:space="preserve">AWB No. Gateway Port Gateway EGM No. Gateway EGM Date Gateway Site ID Error Code N.A.  INNSA1  141039  2017-12-20 00:00:00.0  INNSA1  S </v>
      </c>
      <c r="Q73" t="s">
        <v>1565</v>
      </c>
    </row>
    <row r="74" spans="1:17" x14ac:dyDescent="0.35">
      <c r="A74" t="s">
        <v>8</v>
      </c>
      <c r="B74">
        <v>1622558</v>
      </c>
      <c r="C74" s="2" t="s">
        <v>1547</v>
      </c>
      <c r="D74" s="2" t="str">
        <f>LEFT(TRIM(MID(SUBSTITUTE(tblShipments2[[#This Row],[Details]],CHAR(10)," "), FIND(CHAR(10),tblShipments2[[#This Row],[Details]])+1, 50)), 10)</f>
        <v>0505000873</v>
      </c>
      <c r="E74" t="s">
        <v>1566</v>
      </c>
      <c r="F7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4" t="str">
        <f>IF(tblShipments2[[#This Row],[EGM no]]="", "Missing EGM", "EGM Submitted")</f>
        <v>EGM Submitted</v>
      </c>
      <c r="H74" t="str">
        <f>IF(OR(ISNUMBER(SEARCH("Released",tblShipments2[[#This Row],[ROSL]])),
      ISNUMBER(SEARCH("Scroll",tblShipments2[[#This Row],[ROSL]])),
      ISNUMBER(SEARCH("Y",tblShipments2[[#This Row],[ROSL]]))),
   "Released",
   "Not Released")</f>
        <v>Released</v>
      </c>
      <c r="I74" t="str">
        <f>IF(OR(tblShipments2[[#This Row],[EGM no]]="", tblShipments2[[#This Row],[EGM no]]="N.A."), "Not Submitted", "Submitted")</f>
        <v>Submitted</v>
      </c>
      <c r="J74" t="str">
        <f>IF(LEFT(tblShipments2[[#This Row],[Gateway_Extracted]],2)="IN","Valid","Invalid")</f>
        <v>Valid</v>
      </c>
      <c r="K74" t="s">
        <v>1567</v>
      </c>
      <c r="L74" t="s">
        <v>1563</v>
      </c>
      <c r="M74" t="s">
        <v>13</v>
      </c>
      <c r="N74" t="s">
        <v>1568</v>
      </c>
      <c r="O74" t="str">
        <f>IFERROR("IN" &amp; _xlfn.TEXTBEFORE(_xlfn.TEXTAFTER(UPPER(tblShipments2[[#This Row],[Gateway_clean]]),"IN")," ",1),"")</f>
        <v>INNSA1</v>
      </c>
      <c r="P74" t="str">
        <f>SUBSTITUTE(tblShipments2[[#This Row],[Gateway]], CHAR(10), " ")</f>
        <v xml:space="preserve">AWB No. Gateway Port Gateway EGM No. Gateway EGM Date Gateway Site ID Error Code N.A.  INNSA1  141039  2017-12-20 00:00:00.0  INNSA1  S </v>
      </c>
      <c r="Q74" t="s">
        <v>1565</v>
      </c>
    </row>
    <row r="75" spans="1:17" x14ac:dyDescent="0.35">
      <c r="A75" t="s">
        <v>8</v>
      </c>
      <c r="B75">
        <v>1630870</v>
      </c>
      <c r="C75" s="2" t="s">
        <v>1547</v>
      </c>
      <c r="D75" s="2" t="str">
        <f>LEFT(TRIM(MID(SUBSTITUTE(tblShipments2[[#This Row],[Details]],CHAR(10)," "), FIND(CHAR(10),tblShipments2[[#This Row],[Details]])+1, 50)), 10)</f>
        <v>0589036734</v>
      </c>
      <c r="E75" t="s">
        <v>1569</v>
      </c>
      <c r="F7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5" t="str">
        <f>IF(tblShipments2[[#This Row],[EGM no]]="", "Missing EGM", "EGM Submitted")</f>
        <v>EGM Submitted</v>
      </c>
      <c r="H75" t="str">
        <f>IF(OR(ISNUMBER(SEARCH("Released",tblShipments2[[#This Row],[ROSL]])),
      ISNUMBER(SEARCH("Scroll",tblShipments2[[#This Row],[ROSL]])),
      ISNUMBER(SEARCH("Y",tblShipments2[[#This Row],[ROSL]]))),
   "Released",
   "Not Released")</f>
        <v>Released</v>
      </c>
      <c r="I75" t="str">
        <f>IF(OR(tblShipments2[[#This Row],[EGM no]]="", tblShipments2[[#This Row],[EGM no]]="N.A."), "Not Submitted", "Submitted")</f>
        <v>Submitted</v>
      </c>
      <c r="J75" t="str">
        <f>IF(LEFT(tblShipments2[[#This Row],[Gateway_Extracted]],2)="IN","Valid","Invalid")</f>
        <v>Valid</v>
      </c>
      <c r="K75" t="s">
        <v>1543</v>
      </c>
      <c r="L75" t="s">
        <v>1570</v>
      </c>
      <c r="M75" t="s">
        <v>13</v>
      </c>
      <c r="N75" t="s">
        <v>1571</v>
      </c>
      <c r="O75" t="str">
        <f>IFERROR("IN" &amp; _xlfn.TEXTBEFORE(_xlfn.TEXTAFTER(UPPER(tblShipments2[[#This Row],[Gateway_clean]]),"IN")," ",1),"")</f>
        <v>INNSA1</v>
      </c>
      <c r="P75" t="str">
        <f>SUBSTITUTE(tblShipments2[[#This Row],[Gateway]], CHAR(10), " ")</f>
        <v xml:space="preserve">AWB No. Gateway Port Gateway EGM No. Gateway EGM Date Gateway Site ID Error Code N.A.  INNSA1  141083  2017-12-21 00:00:00.0  INNSA1  C </v>
      </c>
      <c r="Q75" t="s">
        <v>1572</v>
      </c>
    </row>
    <row r="76" spans="1:17" x14ac:dyDescent="0.35">
      <c r="A76" t="s">
        <v>8</v>
      </c>
      <c r="B76">
        <v>1657961</v>
      </c>
      <c r="C76" s="2" t="s">
        <v>1573</v>
      </c>
      <c r="D76" s="2" t="str">
        <f>LEFT(TRIM(MID(SUBSTITUTE(tblShipments2[[#This Row],[Details]],CHAR(10)," "), FIND(CHAR(10),tblShipments2[[#This Row],[Details]])+1, 50)), 10)</f>
        <v>0500050139</v>
      </c>
      <c r="E76" t="s">
        <v>1574</v>
      </c>
      <c r="F7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6" t="str">
        <f>IF(tblShipments2[[#This Row],[EGM no]]="", "Missing EGM", "EGM Submitted")</f>
        <v>EGM Submitted</v>
      </c>
      <c r="H76" t="str">
        <f>IF(OR(ISNUMBER(SEARCH("Released",tblShipments2[[#This Row],[ROSL]])),
      ISNUMBER(SEARCH("Scroll",tblShipments2[[#This Row],[ROSL]])),
      ISNUMBER(SEARCH("Y",tblShipments2[[#This Row],[ROSL]]))),
   "Released",
   "Not Released")</f>
        <v>Released</v>
      </c>
      <c r="I76" t="str">
        <f>IF(OR(tblShipments2[[#This Row],[EGM no]]="", tblShipments2[[#This Row],[EGM no]]="N.A."), "Not Submitted", "Submitted")</f>
        <v>Submitted</v>
      </c>
      <c r="J76" t="str">
        <f>IF(LEFT(tblShipments2[[#This Row],[Gateway_Extracted]],2)="IN","Valid","Invalid")</f>
        <v>Valid</v>
      </c>
      <c r="K76" t="s">
        <v>1575</v>
      </c>
      <c r="L76" t="s">
        <v>1576</v>
      </c>
      <c r="M76" t="s">
        <v>31</v>
      </c>
      <c r="N76" t="s">
        <v>1577</v>
      </c>
      <c r="O76" t="str">
        <f>IFERROR("IN" &amp; _xlfn.TEXTBEFORE(_xlfn.TEXTAFTER(UPPER(tblShipments2[[#This Row],[Gateway_clean]]),"IN")," ",1),"")</f>
        <v>INNSA1</v>
      </c>
      <c r="P76" t="str">
        <f>SUBSTITUTE(tblShipments2[[#This Row],[Gateway]], CHAR(10), " ")</f>
        <v xml:space="preserve">AWB No. Gateway Port Gateway EGM No. Gateway EGM Date Gateway Site ID Error Code N.A.  INNSA1  140724  2017-12-15 00:00:00.0  INNSA1  S </v>
      </c>
      <c r="Q76" t="s">
        <v>1578</v>
      </c>
    </row>
    <row r="77" spans="1:17" x14ac:dyDescent="0.35">
      <c r="A77" t="s">
        <v>8</v>
      </c>
      <c r="B77">
        <v>1668810</v>
      </c>
      <c r="C77" s="2" t="s">
        <v>1579</v>
      </c>
      <c r="D77" s="2" t="str">
        <f>LEFT(TRIM(MID(SUBSTITUTE(tblShipments2[[#This Row],[Details]],CHAR(10)," "), FIND(CHAR(10),tblShipments2[[#This Row],[Details]])+1, 50)), 10)</f>
        <v>0504077171</v>
      </c>
      <c r="E77" t="s">
        <v>1580</v>
      </c>
      <c r="F7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7" t="str">
        <f>IF(tblShipments2[[#This Row],[EGM no]]="", "Missing EGM", "EGM Submitted")</f>
        <v>EGM Submitted</v>
      </c>
      <c r="H77" t="str">
        <f>IF(OR(ISNUMBER(SEARCH("Released",tblShipments2[[#This Row],[ROSL]])),
      ISNUMBER(SEARCH("Scroll",tblShipments2[[#This Row],[ROSL]])),
      ISNUMBER(SEARCH("Y",tblShipments2[[#This Row],[ROSL]]))),
   "Released",
   "Not Released")</f>
        <v>Released</v>
      </c>
      <c r="I77" t="str">
        <f>IF(OR(tblShipments2[[#This Row],[EGM no]]="", tblShipments2[[#This Row],[EGM no]]="N.A."), "Not Submitted", "Submitted")</f>
        <v>Submitted</v>
      </c>
      <c r="J77" t="str">
        <f>IF(LEFT(tblShipments2[[#This Row],[Gateway_Extracted]],2)="IN","Valid","Invalid")</f>
        <v>Valid</v>
      </c>
      <c r="K77" t="s">
        <v>1581</v>
      </c>
      <c r="L77" t="s">
        <v>1582</v>
      </c>
      <c r="M77" t="s">
        <v>31</v>
      </c>
      <c r="N77" t="s">
        <v>1583</v>
      </c>
      <c r="O77" t="str">
        <f>IFERROR("IN" &amp; _xlfn.TEXTBEFORE(_xlfn.TEXTAFTER(UPPER(tblShipments2[[#This Row],[Gateway_clean]]),"IN")," ",1),"")</f>
        <v>INPAV1</v>
      </c>
      <c r="P77" t="str">
        <f>SUBSTITUTE(tblShipments2[[#This Row],[Gateway]], CHAR(10), " ")</f>
        <v xml:space="preserve">AWB No. Gateway Port Gateway EGM No. Gateway EGM Date Gateway Site ID Error Code N.A.  INPAV1  140831  2017-12-18 00:00:00.0  INPAV1  S </v>
      </c>
      <c r="Q77" t="s">
        <v>1490</v>
      </c>
    </row>
    <row r="78" spans="1:17" x14ac:dyDescent="0.35">
      <c r="A78" t="s">
        <v>8</v>
      </c>
      <c r="B78">
        <v>1670652</v>
      </c>
      <c r="C78" s="2" t="s">
        <v>1579</v>
      </c>
      <c r="D78" s="2" t="str">
        <f>LEFT(TRIM(MID(SUBSTITUTE(tblShipments2[[#This Row],[Details]],CHAR(10)," "), FIND(CHAR(10),tblShipments2[[#This Row],[Details]])+1, 50)), 10)</f>
        <v>0513013971</v>
      </c>
      <c r="E78" t="s">
        <v>1584</v>
      </c>
      <c r="F7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8" t="str">
        <f>IF(tblShipments2[[#This Row],[EGM no]]="", "Missing EGM", "EGM Submitted")</f>
        <v>EGM Submitted</v>
      </c>
      <c r="H78" t="str">
        <f>IF(OR(ISNUMBER(SEARCH("Released",tblShipments2[[#This Row],[ROSL]])),
      ISNUMBER(SEARCH("Scroll",tblShipments2[[#This Row],[ROSL]])),
      ISNUMBER(SEARCH("Y",tblShipments2[[#This Row],[ROSL]]))),
   "Released",
   "Not Released")</f>
        <v>Released</v>
      </c>
      <c r="I78" t="str">
        <f>IF(OR(tblShipments2[[#This Row],[EGM no]]="", tblShipments2[[#This Row],[EGM no]]="N.A."), "Not Submitted", "Submitted")</f>
        <v>Submitted</v>
      </c>
      <c r="J78" t="str">
        <f>IF(LEFT(tblShipments2[[#This Row],[Gateway_Extracted]],2)="IN","Valid","Invalid")</f>
        <v>Valid</v>
      </c>
      <c r="K78" t="s">
        <v>1585</v>
      </c>
      <c r="L78" t="s">
        <v>1586</v>
      </c>
      <c r="M78" t="s">
        <v>13</v>
      </c>
      <c r="N78" t="s">
        <v>1587</v>
      </c>
      <c r="O78" t="str">
        <f>IFERROR("IN" &amp; _xlfn.TEXTBEFORE(_xlfn.TEXTAFTER(UPPER(tblShipments2[[#This Row],[Gateway_clean]]),"IN")," ",1),"")</f>
        <v>INNSA1</v>
      </c>
      <c r="P78" t="str">
        <f>SUBSTITUTE(tblShipments2[[#This Row],[Gateway]], CHAR(10), " ")</f>
        <v xml:space="preserve">AWB No. Gateway Port Gateway EGM No. Gateway EGM Date Gateway Site ID Error Code N.A.  INNSA1  141344  2017-12-26 00:00:00.0  INNSA1  C </v>
      </c>
      <c r="Q78" t="s">
        <v>1588</v>
      </c>
    </row>
    <row r="79" spans="1:17" x14ac:dyDescent="0.35">
      <c r="A79" t="s">
        <v>8</v>
      </c>
      <c r="B79">
        <v>1671114</v>
      </c>
      <c r="C79" s="2" t="s">
        <v>1579</v>
      </c>
      <c r="D79" s="2" t="str">
        <f>LEFT(TRIM(MID(SUBSTITUTE(tblShipments2[[#This Row],[Details]],CHAR(10)," "), FIND(CHAR(10),tblShipments2[[#This Row],[Details]])+1, 50)), 10)</f>
        <v>3393002155</v>
      </c>
      <c r="E79" t="s">
        <v>1589</v>
      </c>
      <c r="F7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79" t="str">
        <f>IF(tblShipments2[[#This Row],[EGM no]]="", "Missing EGM", "EGM Submitted")</f>
        <v>EGM Submitted</v>
      </c>
      <c r="H79" t="str">
        <f>IF(OR(ISNUMBER(SEARCH("Released",tblShipments2[[#This Row],[ROSL]])),
      ISNUMBER(SEARCH("Scroll",tblShipments2[[#This Row],[ROSL]])),
      ISNUMBER(SEARCH("Y",tblShipments2[[#This Row],[ROSL]]))),
   "Released",
   "Not Released")</f>
        <v>Released</v>
      </c>
      <c r="I79" t="str">
        <f>IF(OR(tblShipments2[[#This Row],[EGM no]]="", tblShipments2[[#This Row],[EGM no]]="N.A."), "Not Submitted", "Submitted")</f>
        <v>Submitted</v>
      </c>
      <c r="J79" t="str">
        <f>IF(LEFT(tblShipments2[[#This Row],[Gateway_Extracted]],2)="IN","Valid","Invalid")</f>
        <v>Valid</v>
      </c>
      <c r="K79" t="s">
        <v>1590</v>
      </c>
      <c r="L79" t="s">
        <v>1591</v>
      </c>
      <c r="M79" t="s">
        <v>13</v>
      </c>
      <c r="N79" t="s">
        <v>1592</v>
      </c>
      <c r="O79" t="str">
        <f>IFERROR("IN" &amp; _xlfn.TEXTBEFORE(_xlfn.TEXTAFTER(UPPER(tblShipments2[[#This Row],[Gateway_clean]]),"IN")," ",1),"")</f>
        <v>INMUN1</v>
      </c>
      <c r="P79" t="str">
        <f>SUBSTITUTE(tblShipments2[[#This Row],[Gateway]], CHAR(10), " ")</f>
        <v xml:space="preserve">AWB No. Gateway Port Gateway EGM No. Gateway EGM Date Gateway Site ID Error Code N.A.  INMUN1  141756  2018-01-02 00:00:00.0  INMUN1  S </v>
      </c>
      <c r="Q79" t="s">
        <v>1593</v>
      </c>
    </row>
    <row r="80" spans="1:17" x14ac:dyDescent="0.35">
      <c r="A80" t="s">
        <v>8</v>
      </c>
      <c r="B80">
        <v>1673346</v>
      </c>
      <c r="C80" s="2" t="s">
        <v>1579</v>
      </c>
      <c r="D80" s="2" t="str">
        <f>LEFT(TRIM(MID(SUBSTITUTE(tblShipments2[[#This Row],[Details]],CHAR(10)," "), FIND(CHAR(10),tblShipments2[[#This Row],[Details]])+1, 50)), 10)</f>
        <v>0510006329</v>
      </c>
      <c r="E80" t="s">
        <v>1594</v>
      </c>
      <c r="F8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0" t="str">
        <f>IF(tblShipments2[[#This Row],[EGM no]]="", "Missing EGM", "EGM Submitted")</f>
        <v>EGM Submitted</v>
      </c>
      <c r="H80" t="str">
        <f>IF(OR(ISNUMBER(SEARCH("Released",tblShipments2[[#This Row],[ROSL]])),
      ISNUMBER(SEARCH("Scroll",tblShipments2[[#This Row],[ROSL]])),
      ISNUMBER(SEARCH("Y",tblShipments2[[#This Row],[ROSL]]))),
   "Released",
   "Not Released")</f>
        <v>Released</v>
      </c>
      <c r="I80" t="str">
        <f>IF(OR(tblShipments2[[#This Row],[EGM no]]="", tblShipments2[[#This Row],[EGM no]]="N.A."), "Not Submitted", "Submitted")</f>
        <v>Submitted</v>
      </c>
      <c r="J80" t="str">
        <f>IF(LEFT(tblShipments2[[#This Row],[Gateway_Extracted]],2)="IN","Valid","Invalid")</f>
        <v>Valid</v>
      </c>
      <c r="K80" t="s">
        <v>1549</v>
      </c>
      <c r="L80" t="s">
        <v>1467</v>
      </c>
      <c r="M80" t="s">
        <v>31</v>
      </c>
      <c r="N80" t="s">
        <v>1595</v>
      </c>
      <c r="O80" t="str">
        <f>IFERROR("IN" &amp; _xlfn.TEXTBEFORE(_xlfn.TEXTAFTER(UPPER(tblShipments2[[#This Row],[Gateway_clean]]),"IN")," ",1),"")</f>
        <v>INNSA1</v>
      </c>
      <c r="P80" t="str">
        <f>SUBSTITUTE(tblShipments2[[#This Row],[Gateway]], CHAR(10), " ")</f>
        <v xml:space="preserve">AWB No. Gateway Port Gateway EGM No. Gateway EGM Date Gateway Site ID Error Code N.A.  INNSA1  140365  2017-12-08 00:00:00.0  INNSA1  N </v>
      </c>
      <c r="Q80" t="s">
        <v>1469</v>
      </c>
    </row>
    <row r="81" spans="1:17" x14ac:dyDescent="0.35">
      <c r="A81" t="s">
        <v>8</v>
      </c>
      <c r="B81">
        <v>1682294</v>
      </c>
      <c r="C81" s="2" t="s">
        <v>1579</v>
      </c>
      <c r="D81" s="2" t="str">
        <f>LEFT(TRIM(MID(SUBSTITUTE(tblShipments2[[#This Row],[Details]],CHAR(10)," "), FIND(CHAR(10),tblShipments2[[#This Row],[Details]])+1, 50)), 10)</f>
        <v>0507018591</v>
      </c>
      <c r="E81" t="s">
        <v>1596</v>
      </c>
      <c r="F8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1" t="str">
        <f>IF(tblShipments2[[#This Row],[EGM no]]="", "Missing EGM", "EGM Submitted")</f>
        <v>EGM Submitted</v>
      </c>
      <c r="H81" t="str">
        <f>IF(OR(ISNUMBER(SEARCH("Released",tblShipments2[[#This Row],[ROSL]])),
      ISNUMBER(SEARCH("Scroll",tblShipments2[[#This Row],[ROSL]])),
      ISNUMBER(SEARCH("Y",tblShipments2[[#This Row],[ROSL]]))),
   "Released",
   "Not Released")</f>
        <v>Released</v>
      </c>
      <c r="I81" t="str">
        <f>IF(OR(tblShipments2[[#This Row],[EGM no]]="", tblShipments2[[#This Row],[EGM no]]="N.A."), "Not Submitted", "Submitted")</f>
        <v>Submitted</v>
      </c>
      <c r="J81" t="str">
        <f>IF(LEFT(tblShipments2[[#This Row],[Gateway_Extracted]],2)="IN","Valid","Invalid")</f>
        <v>Valid</v>
      </c>
      <c r="K81" t="s">
        <v>1597</v>
      </c>
      <c r="L81" t="s">
        <v>1598</v>
      </c>
      <c r="M81" t="s">
        <v>13</v>
      </c>
      <c r="N81" t="s">
        <v>1599</v>
      </c>
      <c r="O81" t="str">
        <f>IFERROR("IN" &amp; _xlfn.TEXTBEFORE(_xlfn.TEXTAFTER(UPPER(tblShipments2[[#This Row],[Gateway_clean]]),"IN")," ",1),"")</f>
        <v>INNSA1</v>
      </c>
      <c r="P81" t="str">
        <f>SUBSTITUTE(tblShipments2[[#This Row],[Gateway]], CHAR(10), " ")</f>
        <v xml:space="preserve">AWB No. Gateway Port Gateway EGM No. Gateway EGM Date Gateway Site ID Error Code N.A.  INNSA1  141116  2017-12-21 00:00:00.0  INNSA1  S </v>
      </c>
      <c r="Q81" t="s">
        <v>1600</v>
      </c>
    </row>
    <row r="82" spans="1:17" x14ac:dyDescent="0.35">
      <c r="A82" t="s">
        <v>8</v>
      </c>
      <c r="B82">
        <v>1694312</v>
      </c>
      <c r="C82" s="2" t="s">
        <v>1601</v>
      </c>
      <c r="D82" s="2" t="str">
        <f>LEFT(TRIM(MID(SUBSTITUTE(tblShipments2[[#This Row],[Details]],CHAR(10)," "), FIND(CHAR(10),tblShipments2[[#This Row],[Details]])+1, 50)), 10)</f>
        <v xml:space="preserve">No Record </v>
      </c>
      <c r="E82" t="s">
        <v>1602</v>
      </c>
      <c r="F8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2" t="str">
        <f>IF(tblShipments2[[#This Row],[EGM no]]="", "Missing EGM", "EGM Submitted")</f>
        <v>EGM Submitted</v>
      </c>
      <c r="H82" t="str">
        <f>IF(OR(ISNUMBER(SEARCH("Released",tblShipments2[[#This Row],[ROSL]])),
      ISNUMBER(SEARCH("Scroll",tblShipments2[[#This Row],[ROSL]])),
      ISNUMBER(SEARCH("Y",tblShipments2[[#This Row],[ROSL]]))),
   "Released",
   "Not Released")</f>
        <v>Released</v>
      </c>
      <c r="I82" t="str">
        <f>IF(OR(tblShipments2[[#This Row],[EGM no]]="", tblShipments2[[#This Row],[EGM no]]="N.A."), "Not Submitted", "Submitted")</f>
        <v>Submitted</v>
      </c>
      <c r="J82" t="str">
        <f>IF(LEFT(tblShipments2[[#This Row],[Gateway_Extracted]],2)="IN","Valid","Invalid")</f>
        <v>Valid</v>
      </c>
      <c r="K82" t="s">
        <v>1581</v>
      </c>
      <c r="L82" t="s">
        <v>1603</v>
      </c>
      <c r="M82" t="s">
        <v>31</v>
      </c>
      <c r="N82" t="s">
        <v>1604</v>
      </c>
      <c r="O82" t="str">
        <f>IFERROR("IN" &amp; _xlfn.TEXTBEFORE(_xlfn.TEXTAFTER(UPPER(tblShipments2[[#This Row],[Gateway_clean]]),"IN")," ",1),"")</f>
        <v>INMUN1</v>
      </c>
      <c r="P82" t="str">
        <f>SUBSTITUTE(tblShipments2[[#This Row],[Gateway]], CHAR(10), " ")</f>
        <v xml:space="preserve">AWB No. Gateway Port Gateway EGM No. Gateway EGM Date Gateway Site ID Error Code N.A.  INMUN1  140648  2017-12-13 00:00:00.0  INMUN1  S </v>
      </c>
      <c r="Q82" t="s">
        <v>1605</v>
      </c>
    </row>
    <row r="83" spans="1:17" x14ac:dyDescent="0.35">
      <c r="A83" t="s">
        <v>8</v>
      </c>
      <c r="B83">
        <v>1696466</v>
      </c>
      <c r="C83" s="2" t="s">
        <v>1601</v>
      </c>
      <c r="D83" s="2" t="str">
        <f>LEFT(TRIM(MID(SUBSTITUTE(tblShipments2[[#This Row],[Details]],CHAR(10)," "), FIND(CHAR(10),tblShipments2[[#This Row],[Details]])+1, 50)), 10)</f>
        <v>0504077171</v>
      </c>
      <c r="E83" t="s">
        <v>1606</v>
      </c>
      <c r="F8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3" t="str">
        <f>IF(tblShipments2[[#This Row],[EGM no]]="", "Missing EGM", "EGM Submitted")</f>
        <v>EGM Submitted</v>
      </c>
      <c r="H83" t="str">
        <f>IF(OR(ISNUMBER(SEARCH("Released",tblShipments2[[#This Row],[ROSL]])),
      ISNUMBER(SEARCH("Scroll",tblShipments2[[#This Row],[ROSL]])),
      ISNUMBER(SEARCH("Y",tblShipments2[[#This Row],[ROSL]]))),
   "Released",
   "Not Released")</f>
        <v>Released</v>
      </c>
      <c r="I83" t="str">
        <f>IF(OR(tblShipments2[[#This Row],[EGM no]]="", tblShipments2[[#This Row],[EGM no]]="N.A."), "Not Submitted", "Submitted")</f>
        <v>Submitted</v>
      </c>
      <c r="J83" t="str">
        <f>IF(LEFT(tblShipments2[[#This Row],[Gateway_Extracted]],2)="IN","Valid","Invalid")</f>
        <v>Valid</v>
      </c>
      <c r="K83" t="s">
        <v>1607</v>
      </c>
      <c r="L83" t="s">
        <v>1608</v>
      </c>
      <c r="M83" t="s">
        <v>31</v>
      </c>
      <c r="N83" t="s">
        <v>1609</v>
      </c>
      <c r="O83" t="str">
        <f>IFERROR("IN" &amp; _xlfn.TEXTBEFORE(_xlfn.TEXTAFTER(UPPER(tblShipments2[[#This Row],[Gateway_clean]]),"IN")," ",1),"")</f>
        <v>INPAV1</v>
      </c>
      <c r="P83" t="str">
        <f>SUBSTITUTE(tblShipments2[[#This Row],[Gateway]], CHAR(10), " ")</f>
        <v xml:space="preserve">AWB No. Gateway Port Gateway EGM No. Gateway EGM Date Gateway Site ID Error Code N.A.  INPAV1  140831  2017-12-18 00:00:00.0  INPAV1  S </v>
      </c>
      <c r="Q83" t="s">
        <v>1490</v>
      </c>
    </row>
    <row r="84" spans="1:17" x14ac:dyDescent="0.35">
      <c r="A84" t="s">
        <v>8</v>
      </c>
      <c r="B84">
        <v>1705753</v>
      </c>
      <c r="C84" s="2" t="s">
        <v>1601</v>
      </c>
      <c r="D84" s="2" t="str">
        <f>LEFT(TRIM(MID(SUBSTITUTE(tblShipments2[[#This Row],[Details]],CHAR(10)," "), FIND(CHAR(10),tblShipments2[[#This Row],[Details]])+1, 50)), 10)</f>
        <v>0595012647</v>
      </c>
      <c r="E84" t="s">
        <v>1610</v>
      </c>
      <c r="F8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4" t="str">
        <f>IF(tblShipments2[[#This Row],[EGM no]]="", "Missing EGM", "EGM Submitted")</f>
        <v>EGM Submitted</v>
      </c>
      <c r="H84" t="str">
        <f>IF(OR(ISNUMBER(SEARCH("Released",tblShipments2[[#This Row],[ROSL]])),
      ISNUMBER(SEARCH("Scroll",tblShipments2[[#This Row],[ROSL]])),
      ISNUMBER(SEARCH("Y",tblShipments2[[#This Row],[ROSL]]))),
   "Released",
   "Not Released")</f>
        <v>Released</v>
      </c>
      <c r="I84" t="str">
        <f>IF(OR(tblShipments2[[#This Row],[EGM no]]="", tblShipments2[[#This Row],[EGM no]]="N.A."), "Not Submitted", "Submitted")</f>
        <v>Submitted</v>
      </c>
      <c r="J84" t="str">
        <f>IF(LEFT(tblShipments2[[#This Row],[Gateway_Extracted]],2)="IN","Valid","Invalid")</f>
        <v>Valid</v>
      </c>
      <c r="K84" t="s">
        <v>1611</v>
      </c>
      <c r="L84" t="s">
        <v>1612</v>
      </c>
      <c r="M84" t="s">
        <v>13</v>
      </c>
      <c r="N84" t="s">
        <v>1613</v>
      </c>
      <c r="O84" t="str">
        <f>IFERROR("IN" &amp; _xlfn.TEXTBEFORE(_xlfn.TEXTAFTER(UPPER(tblShipments2[[#This Row],[Gateway_clean]]),"IN")," ",1),"")</f>
        <v>INMUN1</v>
      </c>
      <c r="P84" t="str">
        <f>SUBSTITUTE(tblShipments2[[#This Row],[Gateway]], CHAR(10), " ")</f>
        <v xml:space="preserve">AWB No. Gateway Port Gateway EGM No. Gateway EGM Date Gateway Site ID Error Code N.A.  INMUN1  141078  2017-12-21 00:00:00.0  INMUN1  S </v>
      </c>
      <c r="Q84" t="s">
        <v>1614</v>
      </c>
    </row>
    <row r="85" spans="1:17" x14ac:dyDescent="0.35">
      <c r="A85" t="s">
        <v>8</v>
      </c>
      <c r="B85">
        <v>1718128</v>
      </c>
      <c r="C85" s="2" t="s">
        <v>1615</v>
      </c>
      <c r="D85" s="2" t="str">
        <f>LEFT(TRIM(MID(SUBSTITUTE(tblShipments2[[#This Row],[Details]],CHAR(10)," "), FIND(CHAR(10),tblShipments2[[#This Row],[Details]])+1, 50)), 10)</f>
        <v>0589036734</v>
      </c>
      <c r="E85" t="s">
        <v>1616</v>
      </c>
      <c r="F8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5" t="str">
        <f>IF(tblShipments2[[#This Row],[EGM no]]="", "Missing EGM", "EGM Submitted")</f>
        <v>EGM Submitted</v>
      </c>
      <c r="H85" t="str">
        <f>IF(OR(ISNUMBER(SEARCH("Released",tblShipments2[[#This Row],[ROSL]])),
      ISNUMBER(SEARCH("Scroll",tblShipments2[[#This Row],[ROSL]])),
      ISNUMBER(SEARCH("Y",tblShipments2[[#This Row],[ROSL]]))),
   "Released",
   "Not Released")</f>
        <v>Released</v>
      </c>
      <c r="I85" t="str">
        <f>IF(OR(tblShipments2[[#This Row],[EGM no]]="", tblShipments2[[#This Row],[EGM no]]="N.A."), "Not Submitted", "Submitted")</f>
        <v>Submitted</v>
      </c>
      <c r="J85" t="str">
        <f>IF(LEFT(tblShipments2[[#This Row],[Gateway_Extracted]],2)="IN","Valid","Invalid")</f>
        <v>Valid</v>
      </c>
      <c r="K85" t="s">
        <v>1558</v>
      </c>
      <c r="L85" t="s">
        <v>1617</v>
      </c>
      <c r="M85" t="s">
        <v>13</v>
      </c>
      <c r="N85" t="s">
        <v>1618</v>
      </c>
      <c r="O85" t="str">
        <f>IFERROR("IN" &amp; _xlfn.TEXTBEFORE(_xlfn.TEXTAFTER(UPPER(tblShipments2[[#This Row],[Gateway_clean]]),"IN")," ",1),"")</f>
        <v>INMUN1</v>
      </c>
      <c r="P85" t="str">
        <f>SUBSTITUTE(tblShipments2[[#This Row],[Gateway]], CHAR(10), " ")</f>
        <v xml:space="preserve">AWB No. Gateway Port Gateway EGM No. Gateway EGM Date Gateway Site ID Error Code N.A.  INMUN1  141502  2017-12-27 00:00:00.0  INMUN1  S </v>
      </c>
      <c r="Q85" t="s">
        <v>1619</v>
      </c>
    </row>
    <row r="86" spans="1:17" x14ac:dyDescent="0.35">
      <c r="A86" t="s">
        <v>8</v>
      </c>
      <c r="B86">
        <v>1719344</v>
      </c>
      <c r="C86" s="2" t="s">
        <v>1615</v>
      </c>
      <c r="D86" s="2" t="str">
        <f>LEFT(TRIM(MID(SUBSTITUTE(tblShipments2[[#This Row],[Details]],CHAR(10)," "), FIND(CHAR(10),tblShipments2[[#This Row],[Details]])+1, 50)), 10)</f>
        <v xml:space="preserve">No Record </v>
      </c>
      <c r="E86" t="s">
        <v>1602</v>
      </c>
      <c r="F8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6" t="str">
        <f>IF(tblShipments2[[#This Row],[EGM no]]="", "Missing EGM", "EGM Submitted")</f>
        <v>EGM Submitted</v>
      </c>
      <c r="H86" t="str">
        <f>IF(OR(ISNUMBER(SEARCH("Released",tblShipments2[[#This Row],[ROSL]])),
      ISNUMBER(SEARCH("Scroll",tblShipments2[[#This Row],[ROSL]])),
      ISNUMBER(SEARCH("Y",tblShipments2[[#This Row],[ROSL]]))),
   "Released",
   "Not Released")</f>
        <v>Released</v>
      </c>
      <c r="I86" t="str">
        <f>IF(OR(tblShipments2[[#This Row],[EGM no]]="", tblShipments2[[#This Row],[EGM no]]="N.A."), "Not Submitted", "Submitted")</f>
        <v>Submitted</v>
      </c>
      <c r="J86" t="str">
        <f>IF(LEFT(tblShipments2[[#This Row],[Gateway_Extracted]],2)="IN","Valid","Invalid")</f>
        <v>Valid</v>
      </c>
      <c r="K86" t="s">
        <v>1553</v>
      </c>
      <c r="L86" t="s">
        <v>1620</v>
      </c>
      <c r="M86" t="s">
        <v>31</v>
      </c>
      <c r="N86" t="s">
        <v>1621</v>
      </c>
      <c r="O86" t="str">
        <f>IFERROR("IN" &amp; _xlfn.TEXTBEFORE(_xlfn.TEXTAFTER(UPPER(tblShipments2[[#This Row],[Gateway_clean]]),"IN")," ",1),"")</f>
        <v>INMUN1</v>
      </c>
      <c r="P86" t="str">
        <f>SUBSTITUTE(tblShipments2[[#This Row],[Gateway]], CHAR(10), " ")</f>
        <v xml:space="preserve">AWB No. Gateway Port Gateway EGM No. Gateway EGM Date Gateway Site ID Error Code N.A.  INMUN1  141142  2017-12-21 00:00:00.0  INMUN1  S </v>
      </c>
      <c r="Q86" t="s">
        <v>1622</v>
      </c>
    </row>
    <row r="87" spans="1:17" x14ac:dyDescent="0.35">
      <c r="A87" t="s">
        <v>8</v>
      </c>
      <c r="B87">
        <v>1729499</v>
      </c>
      <c r="C87" s="2" t="s">
        <v>1615</v>
      </c>
      <c r="D87" s="2" t="str">
        <f>LEFT(TRIM(MID(SUBSTITUTE(tblShipments2[[#This Row],[Details]],CHAR(10)," "), FIND(CHAR(10),tblShipments2[[#This Row],[Details]])+1, 50)), 10)</f>
        <v>0503010316</v>
      </c>
      <c r="E87" t="s">
        <v>1623</v>
      </c>
      <c r="F8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7" t="str">
        <f>IF(tblShipments2[[#This Row],[EGM no]]="", "Missing EGM", "EGM Submitted")</f>
        <v>EGM Submitted</v>
      </c>
      <c r="H87" t="str">
        <f>IF(OR(ISNUMBER(SEARCH("Released",tblShipments2[[#This Row],[ROSL]])),
      ISNUMBER(SEARCH("Scroll",tblShipments2[[#This Row],[ROSL]])),
      ISNUMBER(SEARCH("Y",tblShipments2[[#This Row],[ROSL]]))),
   "Released",
   "Not Released")</f>
        <v>Released</v>
      </c>
      <c r="I87" t="str">
        <f>IF(OR(tblShipments2[[#This Row],[EGM no]]="", tblShipments2[[#This Row],[EGM no]]="N.A."), "Not Submitted", "Submitted")</f>
        <v>Submitted</v>
      </c>
      <c r="J87" t="str">
        <f>IF(LEFT(tblShipments2[[#This Row],[Gateway_Extracted]],2)="IN","Valid","Invalid")</f>
        <v>Valid</v>
      </c>
      <c r="K87" t="s">
        <v>1624</v>
      </c>
      <c r="L87" t="s">
        <v>1625</v>
      </c>
      <c r="M87" t="s">
        <v>13</v>
      </c>
      <c r="N87" t="s">
        <v>1626</v>
      </c>
      <c r="O87" t="str">
        <f>IFERROR("IN" &amp; _xlfn.TEXTBEFORE(_xlfn.TEXTAFTER(UPPER(tblShipments2[[#This Row],[Gateway_clean]]),"IN")," ",1),"")</f>
        <v>INMUN1</v>
      </c>
      <c r="P87" t="str">
        <f>SUBSTITUTE(tblShipments2[[#This Row],[Gateway]], CHAR(10), " ")</f>
        <v xml:space="preserve">AWB No. Gateway Port Gateway EGM No. Gateway EGM Date Gateway Site ID Error Code N.A.  INMUN1  141855  2018-01-03 00:00:00.0  INMUN1  S </v>
      </c>
      <c r="Q87" t="s">
        <v>1627</v>
      </c>
    </row>
    <row r="88" spans="1:17" x14ac:dyDescent="0.35">
      <c r="A88" t="s">
        <v>8</v>
      </c>
      <c r="B88">
        <v>1752198</v>
      </c>
      <c r="C88" s="2" t="s">
        <v>1628</v>
      </c>
      <c r="D88" s="2" t="str">
        <f>LEFT(TRIM(MID(SUBSTITUTE(tblShipments2[[#This Row],[Details]],CHAR(10)," "), FIND(CHAR(10),tblShipments2[[#This Row],[Details]])+1, 50)), 10)</f>
        <v>0511006519</v>
      </c>
      <c r="E88" t="s">
        <v>1629</v>
      </c>
      <c r="F8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8" t="str">
        <f>IF(tblShipments2[[#This Row],[EGM no]]="", "Missing EGM", "EGM Submitted")</f>
        <v>EGM Submitted</v>
      </c>
      <c r="H88" t="str">
        <f>IF(OR(ISNUMBER(SEARCH("Released",tblShipments2[[#This Row],[ROSL]])),
      ISNUMBER(SEARCH("Scroll",tblShipments2[[#This Row],[ROSL]])),
      ISNUMBER(SEARCH("Y",tblShipments2[[#This Row],[ROSL]]))),
   "Released",
   "Not Released")</f>
        <v>Released</v>
      </c>
      <c r="I88" t="str">
        <f>IF(OR(tblShipments2[[#This Row],[EGM no]]="", tblShipments2[[#This Row],[EGM no]]="N.A."), "Not Submitted", "Submitted")</f>
        <v>Submitted</v>
      </c>
      <c r="J88" t="str">
        <f>IF(LEFT(tblShipments2[[#This Row],[Gateway_Extracted]],2)="IN","Valid","Invalid")</f>
        <v>Valid</v>
      </c>
      <c r="K88" t="s">
        <v>1597</v>
      </c>
      <c r="L88" t="s">
        <v>1630</v>
      </c>
      <c r="M88" t="s">
        <v>13</v>
      </c>
      <c r="N88" t="s">
        <v>1631</v>
      </c>
      <c r="O88" t="str">
        <f>IFERROR("IN" &amp; _xlfn.TEXTBEFORE(_xlfn.TEXTAFTER(UPPER(tblShipments2[[#This Row],[Gateway_clean]]),"IN")," ",1),"")</f>
        <v>INMUN1</v>
      </c>
      <c r="P88" t="str">
        <f>SUBSTITUTE(tblShipments2[[#This Row],[Gateway]], CHAR(10), " ")</f>
        <v xml:space="preserve">AWB No. Gateway Port Gateway EGM No. Gateway EGM Date Gateway Site ID Error Code N.A.  INMUN1  141901  2018-01-03 00:00:00.0  INMUN1  S </v>
      </c>
      <c r="Q88" t="s">
        <v>1632</v>
      </c>
    </row>
    <row r="89" spans="1:17" x14ac:dyDescent="0.35">
      <c r="A89" t="s">
        <v>8</v>
      </c>
      <c r="B89">
        <v>1773410</v>
      </c>
      <c r="C89" s="2" t="s">
        <v>1633</v>
      </c>
      <c r="D89" s="2" t="str">
        <f>LEFT(TRIM(MID(SUBSTITUTE(tblShipments2[[#This Row],[Details]],CHAR(10)," "), FIND(CHAR(10),tblShipments2[[#This Row],[Details]])+1, 50)), 10)</f>
        <v>0504077171</v>
      </c>
      <c r="E89" t="s">
        <v>1634</v>
      </c>
      <c r="F8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89" t="str">
        <f>IF(tblShipments2[[#This Row],[EGM no]]="", "Missing EGM", "EGM Submitted")</f>
        <v>EGM Submitted</v>
      </c>
      <c r="H89" t="str">
        <f>IF(OR(ISNUMBER(SEARCH("Released",tblShipments2[[#This Row],[ROSL]])),
      ISNUMBER(SEARCH("Scroll",tblShipments2[[#This Row],[ROSL]])),
      ISNUMBER(SEARCH("Y",tblShipments2[[#This Row],[ROSL]]))),
   "Released",
   "Not Released")</f>
        <v>Released</v>
      </c>
      <c r="I89" t="str">
        <f>IF(OR(tblShipments2[[#This Row],[EGM no]]="", tblShipments2[[#This Row],[EGM no]]="N.A."), "Not Submitted", "Submitted")</f>
        <v>Submitted</v>
      </c>
      <c r="J89" t="str">
        <f>IF(LEFT(tblShipments2[[#This Row],[Gateway_Extracted]],2)="IN","Valid","Invalid")</f>
        <v>Valid</v>
      </c>
      <c r="K89" t="s">
        <v>1635</v>
      </c>
      <c r="L89" t="s">
        <v>1636</v>
      </c>
      <c r="M89" t="s">
        <v>31</v>
      </c>
      <c r="N89" t="s">
        <v>1637</v>
      </c>
      <c r="O89" t="str">
        <f>IFERROR("IN" &amp; _xlfn.TEXTBEFORE(_xlfn.TEXTAFTER(UPPER(tblShipments2[[#This Row],[Gateway_clean]]),"IN")," ",1),"")</f>
        <v>INMUN1</v>
      </c>
      <c r="P89" t="str">
        <f>SUBSTITUTE(tblShipments2[[#This Row],[Gateway]], CHAR(10), " ")</f>
        <v xml:space="preserve">AWB No. Gateway Port Gateway EGM No. Gateway EGM Date Gateway Site ID Error Code N.A.  INMUN1  142133  2018-01-08 00:00:00.0  INMUN1  S </v>
      </c>
      <c r="Q89" t="s">
        <v>1638</v>
      </c>
    </row>
    <row r="90" spans="1:17" x14ac:dyDescent="0.35">
      <c r="A90" t="s">
        <v>8</v>
      </c>
      <c r="B90">
        <v>1773615</v>
      </c>
      <c r="C90" s="2" t="s">
        <v>1633</v>
      </c>
      <c r="D90" s="2" t="str">
        <f>LEFT(TRIM(MID(SUBSTITUTE(tblShipments2[[#This Row],[Details]],CHAR(10)," "), FIND(CHAR(10),tblShipments2[[#This Row],[Details]])+1, 50)), 10)</f>
        <v>0500068241</v>
      </c>
      <c r="E90" t="s">
        <v>1639</v>
      </c>
      <c r="F9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0" t="str">
        <f>IF(tblShipments2[[#This Row],[EGM no]]="", "Missing EGM", "EGM Submitted")</f>
        <v>EGM Submitted</v>
      </c>
      <c r="H90" t="str">
        <f>IF(OR(ISNUMBER(SEARCH("Released",tblShipments2[[#This Row],[ROSL]])),
      ISNUMBER(SEARCH("Scroll",tblShipments2[[#This Row],[ROSL]])),
      ISNUMBER(SEARCH("Y",tblShipments2[[#This Row],[ROSL]]))),
   "Released",
   "Not Released")</f>
        <v>Released</v>
      </c>
      <c r="I90" t="str">
        <f>IF(OR(tblShipments2[[#This Row],[EGM no]]="", tblShipments2[[#This Row],[EGM no]]="N.A."), "Not Submitted", "Submitted")</f>
        <v>Submitted</v>
      </c>
      <c r="J90" t="str">
        <f>IF(LEFT(tblShipments2[[#This Row],[Gateway_Extracted]],2)="IN","Valid","Invalid")</f>
        <v>Valid</v>
      </c>
      <c r="K90" t="s">
        <v>1597</v>
      </c>
      <c r="L90" t="s">
        <v>1640</v>
      </c>
      <c r="M90" t="s">
        <v>13</v>
      </c>
      <c r="N90" t="s">
        <v>1641</v>
      </c>
      <c r="O90" t="str">
        <f>IFERROR("IN" &amp; _xlfn.TEXTBEFORE(_xlfn.TEXTAFTER(UPPER(tblShipments2[[#This Row],[Gateway_clean]]),"IN")," ",1),"")</f>
        <v>INNSA1</v>
      </c>
      <c r="P90" t="str">
        <f>SUBSTITUTE(tblShipments2[[#This Row],[Gateway]], CHAR(10), " ")</f>
        <v xml:space="preserve">AWB No. Gateway Port Gateway EGM No. Gateway EGM Date Gateway Site ID Error Code N.A.  INNSA1  141039  2017-12-20 00:00:00.0  INNSA1  S </v>
      </c>
      <c r="Q90" t="s">
        <v>1565</v>
      </c>
    </row>
    <row r="91" spans="1:17" x14ac:dyDescent="0.35">
      <c r="A91" t="s">
        <v>8</v>
      </c>
      <c r="B91">
        <v>1779449</v>
      </c>
      <c r="C91" s="2" t="s">
        <v>1633</v>
      </c>
      <c r="D91" s="2" t="str">
        <f>LEFT(TRIM(MID(SUBSTITUTE(tblShipments2[[#This Row],[Details]],CHAR(10)," "), FIND(CHAR(10),tblShipments2[[#This Row],[Details]])+1, 50)), 10)</f>
        <v>0595012647</v>
      </c>
      <c r="E91" t="s">
        <v>1642</v>
      </c>
      <c r="F9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1" t="str">
        <f>IF(tblShipments2[[#This Row],[EGM no]]="", "Missing EGM", "EGM Submitted")</f>
        <v>EGM Submitted</v>
      </c>
      <c r="H91" t="str">
        <f>IF(OR(ISNUMBER(SEARCH("Released",tblShipments2[[#This Row],[ROSL]])),
      ISNUMBER(SEARCH("Scroll",tblShipments2[[#This Row],[ROSL]])),
      ISNUMBER(SEARCH("Y",tblShipments2[[#This Row],[ROSL]]))),
   "Released",
   "Not Released")</f>
        <v>Released</v>
      </c>
      <c r="I91" t="str">
        <f>IF(OR(tblShipments2[[#This Row],[EGM no]]="", tblShipments2[[#This Row],[EGM no]]="N.A."), "Not Submitted", "Submitted")</f>
        <v>Submitted</v>
      </c>
      <c r="J91" t="str">
        <f>IF(LEFT(tblShipments2[[#This Row],[Gateway_Extracted]],2)="IN","Valid","Invalid")</f>
        <v>Valid</v>
      </c>
      <c r="K91" t="s">
        <v>1643</v>
      </c>
      <c r="L91" t="s">
        <v>1644</v>
      </c>
      <c r="M91" t="s">
        <v>13</v>
      </c>
      <c r="N91" t="s">
        <v>1645</v>
      </c>
      <c r="O91" t="str">
        <f>IFERROR("IN" &amp; _xlfn.TEXTBEFORE(_xlfn.TEXTAFTER(UPPER(tblShipments2[[#This Row],[Gateway_clean]]),"IN")," ",1),"")</f>
        <v>INMUN1</v>
      </c>
      <c r="P91" t="str">
        <f>SUBSTITUTE(tblShipments2[[#This Row],[Gateway]], CHAR(10), " ")</f>
        <v xml:space="preserve">AWB No. Gateway Port Gateway EGM No. Gateway EGM Date Gateway Site ID Error Code N.A.  INMUN1  141230  2017-12-22 00:00:00.0  INMUN1  S </v>
      </c>
      <c r="Q91" t="s">
        <v>1646</v>
      </c>
    </row>
    <row r="92" spans="1:17" x14ac:dyDescent="0.35">
      <c r="A92" t="s">
        <v>8</v>
      </c>
      <c r="B92">
        <v>1780079</v>
      </c>
      <c r="C92" s="2" t="s">
        <v>1633</v>
      </c>
      <c r="D92" s="2" t="str">
        <f>LEFT(TRIM(MID(SUBSTITUTE(tblShipments2[[#This Row],[Details]],CHAR(10)," "), FIND(CHAR(10),tblShipments2[[#This Row],[Details]])+1, 50)), 10)</f>
        <v>0589036734</v>
      </c>
      <c r="E92" t="s">
        <v>1647</v>
      </c>
      <c r="F9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2" t="str">
        <f>IF(tblShipments2[[#This Row],[EGM no]]="", "Missing EGM", "EGM Submitted")</f>
        <v>EGM Submitted</v>
      </c>
      <c r="H92" t="str">
        <f>IF(OR(ISNUMBER(SEARCH("Released",tblShipments2[[#This Row],[ROSL]])),
      ISNUMBER(SEARCH("Scroll",tblShipments2[[#This Row],[ROSL]])),
      ISNUMBER(SEARCH("Y",tblShipments2[[#This Row],[ROSL]]))),
   "Released",
   "Not Released")</f>
        <v>Released</v>
      </c>
      <c r="I92" t="str">
        <f>IF(OR(tblShipments2[[#This Row],[EGM no]]="", tblShipments2[[#This Row],[EGM no]]="N.A."), "Not Submitted", "Submitted")</f>
        <v>Submitted</v>
      </c>
      <c r="J92" t="str">
        <f>IF(LEFT(tblShipments2[[#This Row],[Gateway_Extracted]],2)="IN","Valid","Invalid")</f>
        <v>Valid</v>
      </c>
      <c r="K92" t="s">
        <v>1597</v>
      </c>
      <c r="L92" t="s">
        <v>1617</v>
      </c>
      <c r="M92" t="s">
        <v>13</v>
      </c>
      <c r="N92" t="s">
        <v>1648</v>
      </c>
      <c r="O92" t="str">
        <f>IFERROR("IN" &amp; _xlfn.TEXTBEFORE(_xlfn.TEXTAFTER(UPPER(tblShipments2[[#This Row],[Gateway_clean]]),"IN")," ",1),"")</f>
        <v>INMUN1</v>
      </c>
      <c r="P92" t="str">
        <f>SUBSTITUTE(tblShipments2[[#This Row],[Gateway]], CHAR(10), " ")</f>
        <v xml:space="preserve">AWB No. Gateway Port Gateway EGM No. Gateway EGM Date Gateway Site ID Error Code N.A.  INMUN1  141502  2017-12-27 00:00:00.0  INMUN1  S </v>
      </c>
      <c r="Q92" t="s">
        <v>1619</v>
      </c>
    </row>
    <row r="93" spans="1:17" x14ac:dyDescent="0.35">
      <c r="A93" t="s">
        <v>8</v>
      </c>
      <c r="B93">
        <v>1787183</v>
      </c>
      <c r="C93" s="2" t="s">
        <v>1633</v>
      </c>
      <c r="D93" s="2" t="str">
        <f>LEFT(TRIM(MID(SUBSTITUTE(tblShipments2[[#This Row],[Details]],CHAR(10)," "), FIND(CHAR(10),tblShipments2[[#This Row],[Details]])+1, 50)), 10)</f>
        <v>0513039759</v>
      </c>
      <c r="E93" t="s">
        <v>1649</v>
      </c>
      <c r="F9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3" t="str">
        <f>IF(tblShipments2[[#This Row],[EGM no]]="", "Missing EGM", "EGM Submitted")</f>
        <v>EGM Submitted</v>
      </c>
      <c r="H93" t="str">
        <f>IF(OR(ISNUMBER(SEARCH("Released",tblShipments2[[#This Row],[ROSL]])),
      ISNUMBER(SEARCH("Scroll",tblShipments2[[#This Row],[ROSL]])),
      ISNUMBER(SEARCH("Y",tblShipments2[[#This Row],[ROSL]]))),
   "Released",
   "Not Released")</f>
        <v>Released</v>
      </c>
      <c r="I93" t="str">
        <f>IF(OR(tblShipments2[[#This Row],[EGM no]]="", tblShipments2[[#This Row],[EGM no]]="N.A."), "Not Submitted", "Submitted")</f>
        <v>Submitted</v>
      </c>
      <c r="J93" t="str">
        <f>IF(LEFT(tblShipments2[[#This Row],[Gateway_Extracted]],2)="IN","Valid","Invalid")</f>
        <v>Valid</v>
      </c>
      <c r="K93" t="s">
        <v>1650</v>
      </c>
      <c r="L93" t="s">
        <v>1651</v>
      </c>
      <c r="M93" t="s">
        <v>13</v>
      </c>
      <c r="N93" t="s">
        <v>1652</v>
      </c>
      <c r="O93" t="str">
        <f>IFERROR("IN" &amp; _xlfn.TEXTBEFORE(_xlfn.TEXTAFTER(UPPER(tblShipments2[[#This Row],[Gateway_clean]]),"IN")," ",1),"")</f>
        <v>INMUN1</v>
      </c>
      <c r="P93" t="str">
        <f>SUBSTITUTE(tblShipments2[[#This Row],[Gateway]], CHAR(10), " ")</f>
        <v xml:space="preserve">AWB No. Gateway Port Gateway EGM No. Gateway EGM Date Gateway Site ID Error Code N.A.  INMUN1  141297  2017-12-26 00:00:00.0  INMUN1  S </v>
      </c>
      <c r="Q93" t="s">
        <v>1561</v>
      </c>
    </row>
    <row r="94" spans="1:17" x14ac:dyDescent="0.35">
      <c r="A94" t="s">
        <v>8</v>
      </c>
      <c r="B94">
        <v>1789517</v>
      </c>
      <c r="C94" s="2" t="s">
        <v>1633</v>
      </c>
      <c r="D94" s="2" t="str">
        <f>LEFT(TRIM(MID(SUBSTITUTE(tblShipments2[[#This Row],[Details]],CHAR(10)," "), FIND(CHAR(10),tblShipments2[[#This Row],[Details]])+1, 50)), 10)</f>
        <v>0503019321</v>
      </c>
      <c r="E94" t="s">
        <v>1653</v>
      </c>
      <c r="F9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4" t="str">
        <f>IF(tblShipments2[[#This Row],[EGM no]]="", "Missing EGM", "EGM Submitted")</f>
        <v>EGM Submitted</v>
      </c>
      <c r="H94" t="str">
        <f>IF(OR(ISNUMBER(SEARCH("Released",tblShipments2[[#This Row],[ROSL]])),
      ISNUMBER(SEARCH("Scroll",tblShipments2[[#This Row],[ROSL]])),
      ISNUMBER(SEARCH("Y",tblShipments2[[#This Row],[ROSL]]))),
   "Released",
   "Not Released")</f>
        <v>Released</v>
      </c>
      <c r="I94" t="str">
        <f>IF(OR(tblShipments2[[#This Row],[EGM no]]="", tblShipments2[[#This Row],[EGM no]]="N.A."), "Not Submitted", "Submitted")</f>
        <v>Submitted</v>
      </c>
      <c r="J94" t="str">
        <f>IF(LEFT(tblShipments2[[#This Row],[Gateway_Extracted]],2)="IN","Valid","Invalid")</f>
        <v>Valid</v>
      </c>
      <c r="K94" t="s">
        <v>1654</v>
      </c>
      <c r="L94" t="s">
        <v>1655</v>
      </c>
      <c r="M94" t="s">
        <v>13</v>
      </c>
      <c r="N94" t="s">
        <v>1656</v>
      </c>
      <c r="O94" t="str">
        <f>IFERROR("IN" &amp; _xlfn.TEXTBEFORE(_xlfn.TEXTAFTER(UPPER(tblShipments2[[#This Row],[Gateway_clean]]),"IN")," ",1),"")</f>
        <v>INNSA1</v>
      </c>
      <c r="P94" t="str">
        <f>SUBSTITUTE(tblShipments2[[#This Row],[Gateway]], CHAR(10), " ")</f>
        <v xml:space="preserve">AWB No. Gateway Port Gateway EGM No. Gateway EGM Date Gateway Site ID Error Code N.A.  INNSA1  N.A.  N.A.  N.A.  N.A. </v>
      </c>
      <c r="Q94" t="s">
        <v>26</v>
      </c>
    </row>
    <row r="95" spans="1:17" x14ac:dyDescent="0.35">
      <c r="A95" t="s">
        <v>8</v>
      </c>
      <c r="B95">
        <v>1808535</v>
      </c>
      <c r="C95" s="2" t="s">
        <v>1657</v>
      </c>
      <c r="D95" s="2" t="str">
        <f>LEFT(TRIM(MID(SUBSTITUTE(tblShipments2[[#This Row],[Details]],CHAR(10)," "), FIND(CHAR(10),tblShipments2[[#This Row],[Details]])+1, 50)), 10)</f>
        <v>0504077171</v>
      </c>
      <c r="E95" t="s">
        <v>1658</v>
      </c>
      <c r="F9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5" t="str">
        <f>IF(tblShipments2[[#This Row],[EGM no]]="", "Missing EGM", "EGM Submitted")</f>
        <v>EGM Submitted</v>
      </c>
      <c r="H95" t="str">
        <f>IF(OR(ISNUMBER(SEARCH("Released",tblShipments2[[#This Row],[ROSL]])),
      ISNUMBER(SEARCH("Scroll",tblShipments2[[#This Row],[ROSL]])),
      ISNUMBER(SEARCH("Y",tblShipments2[[#This Row],[ROSL]]))),
   "Released",
   "Not Released")</f>
        <v>Released</v>
      </c>
      <c r="I95" t="str">
        <f>IF(OR(tblShipments2[[#This Row],[EGM no]]="", tblShipments2[[#This Row],[EGM no]]="N.A."), "Not Submitted", "Submitted")</f>
        <v>Submitted</v>
      </c>
      <c r="J95" t="str">
        <f>IF(LEFT(tblShipments2[[#This Row],[Gateway_Extracted]],2)="IN","Valid","Invalid")</f>
        <v>Valid</v>
      </c>
      <c r="K95" t="s">
        <v>1659</v>
      </c>
      <c r="L95" t="s">
        <v>1660</v>
      </c>
      <c r="M95" t="s">
        <v>31</v>
      </c>
      <c r="N95" t="s">
        <v>1661</v>
      </c>
      <c r="O95" t="str">
        <f>IFERROR("IN" &amp; _xlfn.TEXTBEFORE(_xlfn.TEXTAFTER(UPPER(tblShipments2[[#This Row],[Gateway_clean]]),"IN")," ",1),"")</f>
        <v>INMUN1</v>
      </c>
      <c r="P95" t="str">
        <f>SUBSTITUTE(tblShipments2[[#This Row],[Gateway]], CHAR(10), " ")</f>
        <v xml:space="preserve">AWB No. Gateway Port Gateway EGM No. Gateway EGM Date Gateway Site ID Error Code N.A.  INMUN1  142133  2018-01-08 00:00:00.0  INMUN1  S </v>
      </c>
      <c r="Q95" t="s">
        <v>1638</v>
      </c>
    </row>
    <row r="96" spans="1:17" x14ac:dyDescent="0.35">
      <c r="A96" t="s">
        <v>8</v>
      </c>
      <c r="B96">
        <v>1809398</v>
      </c>
      <c r="C96" s="2" t="s">
        <v>1657</v>
      </c>
      <c r="D96" s="2" t="str">
        <f>LEFT(TRIM(MID(SUBSTITUTE(tblShipments2[[#This Row],[Details]],CHAR(10)," "), FIND(CHAR(10),tblShipments2[[#This Row],[Details]])+1, 50)), 10)</f>
        <v>0509025765</v>
      </c>
      <c r="E96" t="s">
        <v>1662</v>
      </c>
      <c r="F9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6" t="str">
        <f>IF(tblShipments2[[#This Row],[EGM no]]="", "Missing EGM", "EGM Submitted")</f>
        <v>EGM Submitted</v>
      </c>
      <c r="H96" t="str">
        <f>IF(OR(ISNUMBER(SEARCH("Released",tblShipments2[[#This Row],[ROSL]])),
      ISNUMBER(SEARCH("Scroll",tblShipments2[[#This Row],[ROSL]])),
      ISNUMBER(SEARCH("Y",tblShipments2[[#This Row],[ROSL]]))),
   "Released",
   "Not Released")</f>
        <v>Released</v>
      </c>
      <c r="I96" t="str">
        <f>IF(OR(tblShipments2[[#This Row],[EGM no]]="", tblShipments2[[#This Row],[EGM no]]="N.A."), "Not Submitted", "Submitted")</f>
        <v>Submitted</v>
      </c>
      <c r="J96" t="str">
        <f>IF(LEFT(tblShipments2[[#This Row],[Gateway_Extracted]],2)="IN","Valid","Invalid")</f>
        <v>Valid</v>
      </c>
      <c r="K96" t="s">
        <v>1635</v>
      </c>
      <c r="L96" t="s">
        <v>1663</v>
      </c>
      <c r="M96" t="s">
        <v>31</v>
      </c>
      <c r="N96" t="s">
        <v>1664</v>
      </c>
      <c r="O96" t="str">
        <f>IFERROR("IN" &amp; _xlfn.TEXTBEFORE(_xlfn.TEXTAFTER(UPPER(tblShipments2[[#This Row],[Gateway_clean]]),"IN")," ",1),"")</f>
        <v>INNSA1</v>
      </c>
      <c r="P96" t="str">
        <f>SUBSTITUTE(tblShipments2[[#This Row],[Gateway]], CHAR(10), " ")</f>
        <v xml:space="preserve">AWB No. Gateway Port Gateway EGM No. Gateway EGM Date Gateway Site ID Error Code N.A.  INNSA1  141394  2017-12-26 00:00:00.0  INNSA1  S </v>
      </c>
      <c r="Q96" t="s">
        <v>1665</v>
      </c>
    </row>
    <row r="97" spans="1:17" x14ac:dyDescent="0.35">
      <c r="A97" t="s">
        <v>8</v>
      </c>
      <c r="B97">
        <v>1811286</v>
      </c>
      <c r="C97" s="2" t="s">
        <v>1657</v>
      </c>
      <c r="D97" s="2" t="str">
        <f>LEFT(TRIM(MID(SUBSTITUTE(tblShipments2[[#This Row],[Details]],CHAR(10)," "), FIND(CHAR(10),tblShipments2[[#This Row],[Details]])+1, 50)), 10)</f>
        <v>1210001128</v>
      </c>
      <c r="E97" t="s">
        <v>1666</v>
      </c>
      <c r="F9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7" t="str">
        <f>IF(tblShipments2[[#This Row],[EGM no]]="", "Missing EGM", "EGM Submitted")</f>
        <v>EGM Submitted</v>
      </c>
      <c r="H97" t="str">
        <f>IF(OR(ISNUMBER(SEARCH("Released",tblShipments2[[#This Row],[ROSL]])),
      ISNUMBER(SEARCH("Scroll",tblShipments2[[#This Row],[ROSL]])),
      ISNUMBER(SEARCH("Y",tblShipments2[[#This Row],[ROSL]]))),
   "Released",
   "Not Released")</f>
        <v>Released</v>
      </c>
      <c r="I97" t="str">
        <f>IF(OR(tblShipments2[[#This Row],[EGM no]]="", tblShipments2[[#This Row],[EGM no]]="N.A."), "Not Submitted", "Submitted")</f>
        <v>Submitted</v>
      </c>
      <c r="J97" t="str">
        <f>IF(LEFT(tblShipments2[[#This Row],[Gateway_Extracted]],2)="IN","Valid","Invalid")</f>
        <v>Valid</v>
      </c>
      <c r="K97" t="s">
        <v>1667</v>
      </c>
      <c r="L97" t="s">
        <v>1668</v>
      </c>
      <c r="M97" t="s">
        <v>13</v>
      </c>
      <c r="N97" t="s">
        <v>1669</v>
      </c>
      <c r="O97" t="str">
        <f>IFERROR("IN" &amp; _xlfn.TEXTBEFORE(_xlfn.TEXTAFTER(UPPER(tblShipments2[[#This Row],[Gateway_clean]]),"IN")," ",1),"")</f>
        <v>INMUN1</v>
      </c>
      <c r="P97" t="str">
        <f>SUBSTITUTE(tblShipments2[[#This Row],[Gateway]], CHAR(10), " ")</f>
        <v xml:space="preserve">AWB No. Gateway Port Gateway EGM No. Gateway EGM Date Gateway Site ID Error Code N.A.  INMUN1  143166  2018-01-23 00:00:00.0  INMUN1  S </v>
      </c>
      <c r="Q97" t="s">
        <v>1670</v>
      </c>
    </row>
    <row r="98" spans="1:17" x14ac:dyDescent="0.35">
      <c r="A98" t="s">
        <v>8</v>
      </c>
      <c r="B98">
        <v>1817413</v>
      </c>
      <c r="C98" s="2" t="s">
        <v>1657</v>
      </c>
      <c r="D98" s="2" t="str">
        <f>LEFT(TRIM(MID(SUBSTITUTE(tblShipments2[[#This Row],[Details]],CHAR(10)," "), FIND(CHAR(10),tblShipments2[[#This Row],[Details]])+1, 50)), 10)</f>
        <v>0595012647</v>
      </c>
      <c r="E98" t="s">
        <v>1671</v>
      </c>
      <c r="F9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8" t="str">
        <f>IF(tblShipments2[[#This Row],[EGM no]]="", "Missing EGM", "EGM Submitted")</f>
        <v>EGM Submitted</v>
      </c>
      <c r="H98" t="str">
        <f>IF(OR(ISNUMBER(SEARCH("Released",tblShipments2[[#This Row],[ROSL]])),
      ISNUMBER(SEARCH("Scroll",tblShipments2[[#This Row],[ROSL]])),
      ISNUMBER(SEARCH("Y",tblShipments2[[#This Row],[ROSL]]))),
   "Released",
   "Not Released")</f>
        <v>Released</v>
      </c>
      <c r="I98" t="str">
        <f>IF(OR(tblShipments2[[#This Row],[EGM no]]="", tblShipments2[[#This Row],[EGM no]]="N.A."), "Not Submitted", "Submitted")</f>
        <v>Submitted</v>
      </c>
      <c r="J98" t="str">
        <f>IF(LEFT(tblShipments2[[#This Row],[Gateway_Extracted]],2)="IN","Valid","Invalid")</f>
        <v>Valid</v>
      </c>
      <c r="K98" t="s">
        <v>1643</v>
      </c>
      <c r="L98" t="s">
        <v>1672</v>
      </c>
      <c r="M98" t="s">
        <v>13</v>
      </c>
      <c r="N98" t="s">
        <v>1673</v>
      </c>
      <c r="O98" t="str">
        <f>IFERROR("IN" &amp; _xlfn.TEXTBEFORE(_xlfn.TEXTAFTER(UPPER(tblShipments2[[#This Row],[Gateway_clean]]),"IN")," ",1),"")</f>
        <v>INMUN1</v>
      </c>
      <c r="P98" t="str">
        <f>SUBSTITUTE(tblShipments2[[#This Row],[Gateway]], CHAR(10), " ")</f>
        <v xml:space="preserve">AWB No. Gateway Port Gateway EGM No. Gateway EGM Date Gateway Site ID Error Code N.A.  INMUN1  141230  2017-12-22 00:00:00.0  INMUN1  S </v>
      </c>
      <c r="Q98" t="s">
        <v>1646</v>
      </c>
    </row>
    <row r="99" spans="1:17" x14ac:dyDescent="0.35">
      <c r="A99" t="s">
        <v>8</v>
      </c>
      <c r="B99">
        <v>1817472</v>
      </c>
      <c r="C99" s="2" t="s">
        <v>1657</v>
      </c>
      <c r="D99" s="2" t="str">
        <f>LEFT(TRIM(MID(SUBSTITUTE(tblShipments2[[#This Row],[Details]],CHAR(10)," "), FIND(CHAR(10),tblShipments2[[#This Row],[Details]])+1, 50)), 10)</f>
        <v>0595012647</v>
      </c>
      <c r="E99" t="s">
        <v>1674</v>
      </c>
      <c r="F9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99" t="str">
        <f>IF(tblShipments2[[#This Row],[EGM no]]="", "Missing EGM", "EGM Submitted")</f>
        <v>EGM Submitted</v>
      </c>
      <c r="H99" t="str">
        <f>IF(OR(ISNUMBER(SEARCH("Released",tblShipments2[[#This Row],[ROSL]])),
      ISNUMBER(SEARCH("Scroll",tblShipments2[[#This Row],[ROSL]])),
      ISNUMBER(SEARCH("Y",tblShipments2[[#This Row],[ROSL]]))),
   "Released",
   "Not Released")</f>
        <v>Released</v>
      </c>
      <c r="I99" t="str">
        <f>IF(OR(tblShipments2[[#This Row],[EGM no]]="", tblShipments2[[#This Row],[EGM no]]="N.A."), "Not Submitted", "Submitted")</f>
        <v>Submitted</v>
      </c>
      <c r="J99" t="str">
        <f>IF(LEFT(tblShipments2[[#This Row],[Gateway_Extracted]],2)="IN","Valid","Invalid")</f>
        <v>Valid</v>
      </c>
      <c r="K99" t="s">
        <v>1643</v>
      </c>
      <c r="L99" t="s">
        <v>1675</v>
      </c>
      <c r="M99" t="s">
        <v>13</v>
      </c>
      <c r="N99" t="s">
        <v>1676</v>
      </c>
      <c r="O99" t="str">
        <f>IFERROR("IN" &amp; _xlfn.TEXTBEFORE(_xlfn.TEXTAFTER(UPPER(tblShipments2[[#This Row],[Gateway_clean]]),"IN")," ",1),"")</f>
        <v>INMUN1</v>
      </c>
      <c r="P99" t="str">
        <f>SUBSTITUTE(tblShipments2[[#This Row],[Gateway]], CHAR(10), " ")</f>
        <v xml:space="preserve">AWB No. Gateway Port Gateway EGM No. Gateway EGM Date Gateway Site ID Error Code N.A.  INMUN1  141230  2017-12-22 00:00:00.0  INMUN1  S </v>
      </c>
      <c r="Q99" t="s">
        <v>1646</v>
      </c>
    </row>
    <row r="100" spans="1:17" x14ac:dyDescent="0.35">
      <c r="A100" t="s">
        <v>8</v>
      </c>
      <c r="B100">
        <v>1838515</v>
      </c>
      <c r="C100" s="2" t="s">
        <v>1677</v>
      </c>
      <c r="D100" s="2" t="str">
        <f>LEFT(TRIM(MID(SUBSTITUTE(tblShipments2[[#This Row],[Details]],CHAR(10)," "), FIND(CHAR(10),tblShipments2[[#This Row],[Details]])+1, 50)), 10)</f>
        <v>0504077171</v>
      </c>
      <c r="E100" t="s">
        <v>1678</v>
      </c>
      <c r="F10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0" t="str">
        <f>IF(tblShipments2[[#This Row],[EGM no]]="", "Missing EGM", "EGM Submitted")</f>
        <v>EGM Submitted</v>
      </c>
      <c r="H100" t="str">
        <f>IF(OR(ISNUMBER(SEARCH("Released",tblShipments2[[#This Row],[ROSL]])),
      ISNUMBER(SEARCH("Scroll",tblShipments2[[#This Row],[ROSL]])),
      ISNUMBER(SEARCH("Y",tblShipments2[[#This Row],[ROSL]]))),
   "Released",
   "Not Released")</f>
        <v>Released</v>
      </c>
      <c r="I100" t="str">
        <f>IF(OR(tblShipments2[[#This Row],[EGM no]]="", tblShipments2[[#This Row],[EGM no]]="N.A."), "Not Submitted", "Submitted")</f>
        <v>Submitted</v>
      </c>
      <c r="J100" t="str">
        <f>IF(LEFT(tblShipments2[[#This Row],[Gateway_Extracted]],2)="IN","Valid","Invalid")</f>
        <v>Valid</v>
      </c>
      <c r="K100" t="s">
        <v>1679</v>
      </c>
      <c r="L100" t="s">
        <v>1680</v>
      </c>
      <c r="M100" t="s">
        <v>31</v>
      </c>
      <c r="N100" t="s">
        <v>1681</v>
      </c>
      <c r="O100" t="str">
        <f>IFERROR("IN" &amp; _xlfn.TEXTBEFORE(_xlfn.TEXTAFTER(UPPER(tblShipments2[[#This Row],[Gateway_clean]]),"IN")," ",1),"")</f>
        <v>INMUN1</v>
      </c>
      <c r="P100" t="str">
        <f>SUBSTITUTE(tblShipments2[[#This Row],[Gateway]], CHAR(10), " ")</f>
        <v xml:space="preserve">AWB No. Gateway Port Gateway EGM No. Gateway EGM Date Gateway Site ID Error Code N.A.  INMUN1  142479  2018-01-12 00:00:00.0  INMUN1  S </v>
      </c>
      <c r="Q100" t="s">
        <v>1682</v>
      </c>
    </row>
    <row r="101" spans="1:17" x14ac:dyDescent="0.35">
      <c r="A101" t="s">
        <v>8</v>
      </c>
      <c r="B101">
        <v>1852350</v>
      </c>
      <c r="C101" s="2" t="s">
        <v>1677</v>
      </c>
      <c r="D101" s="2" t="str">
        <f>LEFT(TRIM(MID(SUBSTITUTE(tblShipments2[[#This Row],[Details]],CHAR(10)," "), FIND(CHAR(10),tblShipments2[[#This Row],[Details]])+1, 50)), 10)</f>
        <v>0500050139</v>
      </c>
      <c r="E101" t="s">
        <v>1683</v>
      </c>
      <c r="F10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1" t="str">
        <f>IF(tblShipments2[[#This Row],[EGM no]]="", "Missing EGM", "EGM Submitted")</f>
        <v>EGM Submitted</v>
      </c>
      <c r="H101" t="str">
        <f>IF(OR(ISNUMBER(SEARCH("Released",tblShipments2[[#This Row],[ROSL]])),
      ISNUMBER(SEARCH("Scroll",tblShipments2[[#This Row],[ROSL]])),
      ISNUMBER(SEARCH("Y",tblShipments2[[#This Row],[ROSL]]))),
   "Released",
   "Not Released")</f>
        <v>Released</v>
      </c>
      <c r="I101" t="str">
        <f>IF(OR(tblShipments2[[#This Row],[EGM no]]="", tblShipments2[[#This Row],[EGM no]]="N.A."), "Not Submitted", "Submitted")</f>
        <v>Submitted</v>
      </c>
      <c r="J101" t="str">
        <f>IF(LEFT(tblShipments2[[#This Row],[Gateway_Extracted]],2)="IN","Valid","Invalid")</f>
        <v>Valid</v>
      </c>
      <c r="K101" t="s">
        <v>1659</v>
      </c>
      <c r="L101" t="s">
        <v>1684</v>
      </c>
      <c r="M101" t="s">
        <v>31</v>
      </c>
      <c r="N101" t="s">
        <v>1685</v>
      </c>
      <c r="O101" t="str">
        <f>IFERROR("IN" &amp; _xlfn.TEXTBEFORE(_xlfn.TEXTAFTER(UPPER(tblShipments2[[#This Row],[Gateway_clean]]),"IN")," ",1),"")</f>
        <v>INMUN1</v>
      </c>
      <c r="P101" t="str">
        <f>SUBSTITUTE(tblShipments2[[#This Row],[Gateway]], CHAR(10), " ")</f>
        <v xml:space="preserve">AWB No. Gateway Port Gateway EGM No. Gateway EGM Date Gateway Site ID Error Code N.A.  INMUN1  141264  2017-12-23 00:00:00.0  INMUN1  S </v>
      </c>
      <c r="Q101" t="s">
        <v>1686</v>
      </c>
    </row>
    <row r="102" spans="1:17" x14ac:dyDescent="0.35">
      <c r="A102" t="s">
        <v>8</v>
      </c>
      <c r="B102">
        <v>1865148</v>
      </c>
      <c r="C102" s="2" t="s">
        <v>1687</v>
      </c>
      <c r="D102" s="2" t="str">
        <f>LEFT(TRIM(MID(SUBSTITUTE(tblShipments2[[#This Row],[Details]],CHAR(10)," "), FIND(CHAR(10),tblShipments2[[#This Row],[Details]])+1, 50)), 10)</f>
        <v xml:space="preserve">No Record </v>
      </c>
      <c r="E102" t="s">
        <v>1602</v>
      </c>
      <c r="F10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2" t="str">
        <f>IF(tblShipments2[[#This Row],[EGM no]]="", "Missing EGM", "EGM Submitted")</f>
        <v>EGM Submitted</v>
      </c>
      <c r="H102" t="str">
        <f>IF(OR(ISNUMBER(SEARCH("Released",tblShipments2[[#This Row],[ROSL]])),
      ISNUMBER(SEARCH("Scroll",tblShipments2[[#This Row],[ROSL]])),
      ISNUMBER(SEARCH("Y",tblShipments2[[#This Row],[ROSL]]))),
   "Released",
   "Not Released")</f>
        <v>Released</v>
      </c>
      <c r="I102" t="str">
        <f>IF(OR(tblShipments2[[#This Row],[EGM no]]="", tblShipments2[[#This Row],[EGM no]]="N.A."), "Not Submitted", "Submitted")</f>
        <v>Submitted</v>
      </c>
      <c r="J102" t="str">
        <f>IF(LEFT(tblShipments2[[#This Row],[Gateway_Extracted]],2)="IN","Valid","Invalid")</f>
        <v>Valid</v>
      </c>
      <c r="K102" t="s">
        <v>1679</v>
      </c>
      <c r="L102" t="s">
        <v>1688</v>
      </c>
      <c r="M102" t="s">
        <v>31</v>
      </c>
      <c r="N102" t="s">
        <v>1689</v>
      </c>
      <c r="O102" t="str">
        <f>IFERROR("IN" &amp; _xlfn.TEXTBEFORE(_xlfn.TEXTAFTER(UPPER(tblShipments2[[#This Row],[Gateway_clean]]),"IN")," ",1),"")</f>
        <v>INNSA1</v>
      </c>
      <c r="P102" t="str">
        <f>SUBSTITUTE(tblShipments2[[#This Row],[Gateway]], CHAR(10), " ")</f>
        <v xml:space="preserve">AWB No. Gateway Port Gateway EGM No. Gateway EGM Date Gateway Site ID Error Code N.A.  INNSA1  142173  2018-01-08 00:00:00.0  INNSA1  S </v>
      </c>
      <c r="Q102" t="s">
        <v>1690</v>
      </c>
    </row>
    <row r="103" spans="1:17" x14ac:dyDescent="0.35">
      <c r="A103" t="s">
        <v>8</v>
      </c>
      <c r="B103">
        <v>1865329</v>
      </c>
      <c r="C103" s="2" t="s">
        <v>1687</v>
      </c>
      <c r="D103" s="2" t="str">
        <f>LEFT(TRIM(MID(SUBSTITUTE(tblShipments2[[#This Row],[Details]],CHAR(10)," "), FIND(CHAR(10),tblShipments2[[#This Row],[Details]])+1, 50)), 10)</f>
        <v>0504077171</v>
      </c>
      <c r="E103" t="s">
        <v>1691</v>
      </c>
      <c r="F10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3" t="str">
        <f>IF(tblShipments2[[#This Row],[EGM no]]="", "Missing EGM", "EGM Submitted")</f>
        <v>EGM Submitted</v>
      </c>
      <c r="H103" t="str">
        <f>IF(OR(ISNUMBER(SEARCH("Released",tblShipments2[[#This Row],[ROSL]])),
      ISNUMBER(SEARCH("Scroll",tblShipments2[[#This Row],[ROSL]])),
      ISNUMBER(SEARCH("Y",tblShipments2[[#This Row],[ROSL]]))),
   "Released",
   "Not Released")</f>
        <v>Released</v>
      </c>
      <c r="I103" t="str">
        <f>IF(OR(tblShipments2[[#This Row],[EGM no]]="", tblShipments2[[#This Row],[EGM no]]="N.A."), "Not Submitted", "Submitted")</f>
        <v>Submitted</v>
      </c>
      <c r="J103" t="str">
        <f>IF(LEFT(tblShipments2[[#This Row],[Gateway_Extracted]],2)="IN","Valid","Invalid")</f>
        <v>Valid</v>
      </c>
      <c r="K103" t="s">
        <v>1692</v>
      </c>
      <c r="L103" t="s">
        <v>1693</v>
      </c>
      <c r="M103" t="s">
        <v>31</v>
      </c>
      <c r="N103" t="s">
        <v>1694</v>
      </c>
      <c r="O103" t="str">
        <f>IFERROR("IN" &amp; _xlfn.TEXTBEFORE(_xlfn.TEXTAFTER(UPPER(tblShipments2[[#This Row],[Gateway_clean]]),"IN")," ",1),"")</f>
        <v>INPAV1</v>
      </c>
      <c r="P103" t="str">
        <f>SUBSTITUTE(tblShipments2[[#This Row],[Gateway]], CHAR(10), " ")</f>
        <v xml:space="preserve">AWB No. Gateway Port Gateway EGM No. Gateway EGM Date Gateway Site ID Error Code N.A.  INPAV1  141634  2017-12-29 00:00:00.0  INPAV1  S </v>
      </c>
      <c r="Q103" t="s">
        <v>1695</v>
      </c>
    </row>
    <row r="104" spans="1:17" x14ac:dyDescent="0.35">
      <c r="A104" t="s">
        <v>8</v>
      </c>
      <c r="B104">
        <v>1866627</v>
      </c>
      <c r="C104" s="2" t="s">
        <v>1687</v>
      </c>
      <c r="D104" s="2" t="str">
        <f>LEFT(TRIM(MID(SUBSTITUTE(tblShipments2[[#This Row],[Details]],CHAR(10)," "), FIND(CHAR(10),tblShipments2[[#This Row],[Details]])+1, 50)), 10)</f>
        <v>0589036734</v>
      </c>
      <c r="E104" t="s">
        <v>1696</v>
      </c>
      <c r="F10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4" t="str">
        <f>IF(tblShipments2[[#This Row],[EGM no]]="", "Missing EGM", "EGM Submitted")</f>
        <v>EGM Submitted</v>
      </c>
      <c r="H104" t="str">
        <f>IF(OR(ISNUMBER(SEARCH("Released",tblShipments2[[#This Row],[ROSL]])),
      ISNUMBER(SEARCH("Scroll",tblShipments2[[#This Row],[ROSL]])),
      ISNUMBER(SEARCH("Y",tblShipments2[[#This Row],[ROSL]]))),
   "Released",
   "Not Released")</f>
        <v>Released</v>
      </c>
      <c r="I104" t="str">
        <f>IF(OR(tblShipments2[[#This Row],[EGM no]]="", tblShipments2[[#This Row],[EGM no]]="N.A."), "Not Submitted", "Submitted")</f>
        <v>Submitted</v>
      </c>
      <c r="J104" t="str">
        <f>IF(LEFT(tblShipments2[[#This Row],[Gateway_Extracted]],2)="IN","Valid","Invalid")</f>
        <v>Valid</v>
      </c>
      <c r="K104" t="s">
        <v>1697</v>
      </c>
      <c r="L104" t="s">
        <v>1698</v>
      </c>
      <c r="M104" t="s">
        <v>13</v>
      </c>
      <c r="N104" t="s">
        <v>1699</v>
      </c>
      <c r="O104" t="str">
        <f>IFERROR("IN" &amp; _xlfn.TEXTBEFORE(_xlfn.TEXTAFTER(UPPER(tblShipments2[[#This Row],[Gateway_clean]]),"IN")," ",1),"")</f>
        <v>INMUN1</v>
      </c>
      <c r="P104" t="str">
        <f>SUBSTITUTE(tblShipments2[[#This Row],[Gateway]], CHAR(10), " ")</f>
        <v xml:space="preserve">AWB No. Gateway Port Gateway EGM No. Gateway EGM Date Gateway Site ID Error Code N.A.  INMUN1  141770  2018-01-02 00:00:00.0  INMUN1  S </v>
      </c>
      <c r="Q104" t="s">
        <v>1700</v>
      </c>
    </row>
    <row r="105" spans="1:17" x14ac:dyDescent="0.35">
      <c r="A105" t="s">
        <v>8</v>
      </c>
      <c r="B105">
        <v>1868552</v>
      </c>
      <c r="C105" s="2" t="s">
        <v>1687</v>
      </c>
      <c r="D105" s="2" t="str">
        <f>LEFT(TRIM(MID(SUBSTITUTE(tblShipments2[[#This Row],[Details]],CHAR(10)," "), FIND(CHAR(10),tblShipments2[[#This Row],[Details]])+1, 50)), 10)</f>
        <v xml:space="preserve">No Record </v>
      </c>
      <c r="E105" t="s">
        <v>1602</v>
      </c>
      <c r="F10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5" t="str">
        <f>IF(tblShipments2[[#This Row],[EGM no]]="", "Missing EGM", "EGM Submitted")</f>
        <v>EGM Submitted</v>
      </c>
      <c r="H105" t="str">
        <f>IF(OR(ISNUMBER(SEARCH("Released",tblShipments2[[#This Row],[ROSL]])),
      ISNUMBER(SEARCH("Scroll",tblShipments2[[#This Row],[ROSL]])),
      ISNUMBER(SEARCH("Y",tblShipments2[[#This Row],[ROSL]]))),
   "Released",
   "Not Released")</f>
        <v>Released</v>
      </c>
      <c r="I105" t="str">
        <f>IF(OR(tblShipments2[[#This Row],[EGM no]]="", tblShipments2[[#This Row],[EGM no]]="N.A."), "Not Submitted", "Submitted")</f>
        <v>Submitted</v>
      </c>
      <c r="J105" t="str">
        <f>IF(LEFT(tblShipments2[[#This Row],[Gateway_Extracted]],2)="IN","Valid","Invalid")</f>
        <v>Valid</v>
      </c>
      <c r="K105" t="s">
        <v>1679</v>
      </c>
      <c r="L105" t="s">
        <v>1701</v>
      </c>
      <c r="M105" t="s">
        <v>31</v>
      </c>
      <c r="N105" t="s">
        <v>1702</v>
      </c>
      <c r="O105" t="str">
        <f>IFERROR("IN" &amp; _xlfn.TEXTBEFORE(_xlfn.TEXTAFTER(UPPER(tblShipments2[[#This Row],[Gateway_clean]]),"IN")," ",1),"")</f>
        <v>INNSA1</v>
      </c>
      <c r="P105" t="str">
        <f>SUBSTITUTE(tblShipments2[[#This Row],[Gateway]], CHAR(10), " ")</f>
        <v xml:space="preserve">AWB No. Gateway Port Gateway EGM No. Gateway EGM Date Gateway Site ID Error Code N.A.  INNSA1  141170  2017-12-22 00:00:00.0  INNSA1  S </v>
      </c>
      <c r="Q105" t="s">
        <v>1703</v>
      </c>
    </row>
    <row r="106" spans="1:17" x14ac:dyDescent="0.35">
      <c r="A106" t="s">
        <v>8</v>
      </c>
      <c r="B106">
        <v>1899578</v>
      </c>
      <c r="C106" s="2" t="s">
        <v>1704</v>
      </c>
      <c r="D106" s="2" t="str">
        <f>LEFT(TRIM(MID(SUBSTITUTE(tblShipments2[[#This Row],[Details]],CHAR(10)," "), FIND(CHAR(10),tblShipments2[[#This Row],[Details]])+1, 50)), 10)</f>
        <v>0588128180</v>
      </c>
      <c r="E106" t="s">
        <v>1705</v>
      </c>
      <c r="F10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6" t="str">
        <f>IF(tblShipments2[[#This Row],[EGM no]]="", "Missing EGM", "EGM Submitted")</f>
        <v>EGM Submitted</v>
      </c>
      <c r="H106" t="str">
        <f>IF(OR(ISNUMBER(SEARCH("Released",tblShipments2[[#This Row],[ROSL]])),
      ISNUMBER(SEARCH("Scroll",tblShipments2[[#This Row],[ROSL]])),
      ISNUMBER(SEARCH("Y",tblShipments2[[#This Row],[ROSL]]))),
   "Released",
   "Not Released")</f>
        <v>Released</v>
      </c>
      <c r="I106" t="str">
        <f>IF(OR(tblShipments2[[#This Row],[EGM no]]="", tblShipments2[[#This Row],[EGM no]]="N.A."), "Not Submitted", "Submitted")</f>
        <v>Submitted</v>
      </c>
      <c r="J106" t="str">
        <f>IF(LEFT(tblShipments2[[#This Row],[Gateway_Extracted]],2)="IN","Valid","Invalid")</f>
        <v>Valid</v>
      </c>
      <c r="K106" t="s">
        <v>1706</v>
      </c>
      <c r="L106" t="s">
        <v>1668</v>
      </c>
      <c r="M106" t="s">
        <v>31</v>
      </c>
      <c r="N106" t="s">
        <v>1707</v>
      </c>
      <c r="O106" t="str">
        <f>IFERROR("IN" &amp; _xlfn.TEXTBEFORE(_xlfn.TEXTAFTER(UPPER(tblShipments2[[#This Row],[Gateway_clean]]),"IN")," ",1),"")</f>
        <v>INMUN1</v>
      </c>
      <c r="P106" t="str">
        <f>SUBSTITUTE(tblShipments2[[#This Row],[Gateway]], CHAR(10), " ")</f>
        <v xml:space="preserve">AWB No. Gateway Port Gateway EGM No. Gateway EGM Date Gateway Site ID Error Code N.A.  INMUN1  143166  2018-01-23 00:00:00.0  INMUN1  S </v>
      </c>
      <c r="Q106" t="s">
        <v>1670</v>
      </c>
    </row>
    <row r="107" spans="1:17" x14ac:dyDescent="0.35">
      <c r="A107" t="s">
        <v>8</v>
      </c>
      <c r="B107">
        <v>1900474</v>
      </c>
      <c r="C107" s="2" t="s">
        <v>1704</v>
      </c>
      <c r="D107" s="2" t="str">
        <f>LEFT(TRIM(MID(SUBSTITUTE(tblShipments2[[#This Row],[Details]],CHAR(10)," "), FIND(CHAR(10),tblShipments2[[#This Row],[Details]])+1, 50)), 10)</f>
        <v>AGEPB3375R</v>
      </c>
      <c r="E107" t="s">
        <v>1708</v>
      </c>
      <c r="F10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7" t="str">
        <f>IF(tblShipments2[[#This Row],[EGM no]]="", "Missing EGM", "EGM Submitted")</f>
        <v>EGM Submitted</v>
      </c>
      <c r="H107" t="str">
        <f>IF(OR(ISNUMBER(SEARCH("Released",tblShipments2[[#This Row],[ROSL]])),
      ISNUMBER(SEARCH("Scroll",tblShipments2[[#This Row],[ROSL]])),
      ISNUMBER(SEARCH("Y",tblShipments2[[#This Row],[ROSL]]))),
   "Released",
   "Not Released")</f>
        <v>Released</v>
      </c>
      <c r="I107" t="str">
        <f>IF(OR(tblShipments2[[#This Row],[EGM no]]="", tblShipments2[[#This Row],[EGM no]]="N.A."), "Not Submitted", "Submitted")</f>
        <v>Submitted</v>
      </c>
      <c r="J107" t="str">
        <f>IF(LEFT(tblShipments2[[#This Row],[Gateway_Extracted]],2)="IN","Valid","Invalid")</f>
        <v>Valid</v>
      </c>
      <c r="K107" t="s">
        <v>1709</v>
      </c>
      <c r="L107" t="s">
        <v>1710</v>
      </c>
      <c r="M107" t="s">
        <v>13</v>
      </c>
      <c r="N107" t="s">
        <v>1711</v>
      </c>
      <c r="O107" t="str">
        <f>IFERROR("IN" &amp; _xlfn.TEXTBEFORE(_xlfn.TEXTAFTER(UPPER(tblShipments2[[#This Row],[Gateway_clean]]),"IN")," ",1),"")</f>
        <v>INMUN1</v>
      </c>
      <c r="P107" t="str">
        <f>SUBSTITUTE(tblShipments2[[#This Row],[Gateway]], CHAR(10), " ")</f>
        <v xml:space="preserve">AWB No. Gateway Port Gateway EGM No. Gateway EGM Date Gateway Site ID Error Code N.A.  INMUN1  142204  2018-01-09 00:00:00.0  INMUN1  S </v>
      </c>
      <c r="Q107" t="s">
        <v>1712</v>
      </c>
    </row>
    <row r="108" spans="1:17" x14ac:dyDescent="0.35">
      <c r="A108" t="s">
        <v>8</v>
      </c>
      <c r="B108">
        <v>1904114</v>
      </c>
      <c r="C108" s="2" t="s">
        <v>1704</v>
      </c>
      <c r="D108" s="2" t="str">
        <f>LEFT(TRIM(MID(SUBSTITUTE(tblShipments2[[#This Row],[Details]],CHAR(10)," "), FIND(CHAR(10),tblShipments2[[#This Row],[Details]])+1, 50)), 10)</f>
        <v>0595012647</v>
      </c>
      <c r="E108" t="s">
        <v>1713</v>
      </c>
      <c r="F10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8" t="str">
        <f>IF(tblShipments2[[#This Row],[EGM no]]="", "Missing EGM", "EGM Submitted")</f>
        <v>EGM Submitted</v>
      </c>
      <c r="H108" t="str">
        <f>IF(OR(ISNUMBER(SEARCH("Released",tblShipments2[[#This Row],[ROSL]])),
      ISNUMBER(SEARCH("Scroll",tblShipments2[[#This Row],[ROSL]])),
      ISNUMBER(SEARCH("Y",tblShipments2[[#This Row],[ROSL]]))),
   "Released",
   "Not Released")</f>
        <v>Released</v>
      </c>
      <c r="I108" t="str">
        <f>IF(OR(tblShipments2[[#This Row],[EGM no]]="", tblShipments2[[#This Row],[EGM no]]="N.A."), "Not Submitted", "Submitted")</f>
        <v>Submitted</v>
      </c>
      <c r="J108" t="str">
        <f>IF(LEFT(tblShipments2[[#This Row],[Gateway_Extracted]],2)="IN","Valid","Invalid")</f>
        <v>Valid</v>
      </c>
      <c r="K108" t="s">
        <v>1714</v>
      </c>
      <c r="L108" t="s">
        <v>1715</v>
      </c>
      <c r="M108" t="s">
        <v>13</v>
      </c>
      <c r="N108" t="s">
        <v>1716</v>
      </c>
      <c r="O108" t="str">
        <f>IFERROR("IN" &amp; _xlfn.TEXTBEFORE(_xlfn.TEXTAFTER(UPPER(tblShipments2[[#This Row],[Gateway_clean]]),"IN")," ",1),"")</f>
        <v>INMUN1</v>
      </c>
      <c r="P108" t="str">
        <f>SUBSTITUTE(tblShipments2[[#This Row],[Gateway]], CHAR(10), " ")</f>
        <v xml:space="preserve">AWB No. Gateway Port Gateway EGM No. Gateway EGM Date Gateway Site ID Error Code N.A.  INMUN1  141231  2017-12-22 00:00:00.0  INMUN1  S </v>
      </c>
      <c r="Q108" t="s">
        <v>1717</v>
      </c>
    </row>
    <row r="109" spans="1:17" x14ac:dyDescent="0.35">
      <c r="A109" t="s">
        <v>8</v>
      </c>
      <c r="B109">
        <v>1905542</v>
      </c>
      <c r="C109" s="2" t="s">
        <v>1704</v>
      </c>
      <c r="D109" s="2" t="str">
        <f>LEFT(TRIM(MID(SUBSTITUTE(tblShipments2[[#This Row],[Details]],CHAR(10)," "), FIND(CHAR(10),tblShipments2[[#This Row],[Details]])+1, 50)), 10)</f>
        <v>0595012647</v>
      </c>
      <c r="E109" t="s">
        <v>1718</v>
      </c>
      <c r="F10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09" t="str">
        <f>IF(tblShipments2[[#This Row],[EGM no]]="", "Missing EGM", "EGM Submitted")</f>
        <v>EGM Submitted</v>
      </c>
      <c r="H109" t="str">
        <f>IF(OR(ISNUMBER(SEARCH("Released",tblShipments2[[#This Row],[ROSL]])),
      ISNUMBER(SEARCH("Scroll",tblShipments2[[#This Row],[ROSL]])),
      ISNUMBER(SEARCH("Y",tblShipments2[[#This Row],[ROSL]]))),
   "Released",
   "Not Released")</f>
        <v>Released</v>
      </c>
      <c r="I109" t="str">
        <f>IF(OR(tblShipments2[[#This Row],[EGM no]]="", tblShipments2[[#This Row],[EGM no]]="N.A."), "Not Submitted", "Submitted")</f>
        <v>Submitted</v>
      </c>
      <c r="J109" t="str">
        <f>IF(LEFT(tblShipments2[[#This Row],[Gateway_Extracted]],2)="IN","Valid","Invalid")</f>
        <v>Valid</v>
      </c>
      <c r="K109" t="s">
        <v>1719</v>
      </c>
      <c r="L109" t="s">
        <v>1720</v>
      </c>
      <c r="M109" t="s">
        <v>13</v>
      </c>
      <c r="N109" t="s">
        <v>1721</v>
      </c>
      <c r="O109" t="str">
        <f>IFERROR("IN" &amp; _xlfn.TEXTBEFORE(_xlfn.TEXTAFTER(UPPER(tblShipments2[[#This Row],[Gateway_clean]]),"IN")," ",1),"")</f>
        <v>INMUN1</v>
      </c>
      <c r="P109" t="str">
        <f>SUBSTITUTE(tblShipments2[[#This Row],[Gateway]], CHAR(10), " ")</f>
        <v xml:space="preserve">AWB No. Gateway Port Gateway EGM No. Gateway EGM Date Gateway Site ID Error Code N.A.  INMUN1  141231  2017-12-22 00:00:00.0  INMUN1  S </v>
      </c>
      <c r="Q109" t="s">
        <v>1717</v>
      </c>
    </row>
    <row r="110" spans="1:17" x14ac:dyDescent="0.35">
      <c r="A110" t="s">
        <v>8</v>
      </c>
      <c r="B110">
        <v>7096937</v>
      </c>
      <c r="C110" s="2" t="s">
        <v>9</v>
      </c>
      <c r="D110" s="2" t="str">
        <f>LEFT(TRIM(MID(SUBSTITUTE(tblShipments2[[#This Row],[Details]],CHAR(10)," "), FIND(CHAR(10),tblShipments2[[#This Row],[Details]])+1, 50)), 10)</f>
        <v>0597024561</v>
      </c>
      <c r="E110" t="s">
        <v>10</v>
      </c>
      <c r="F11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0" t="str">
        <f>IF(tblShipments2[[#This Row],[EGM no]]="", "Missing EGM", "EGM Submitted")</f>
        <v>EGM Submitted</v>
      </c>
      <c r="H110" t="str">
        <f>IF(OR(ISNUMBER(SEARCH("Released",tblShipments2[[#This Row],[ROSL]])),
      ISNUMBER(SEARCH("Scroll",tblShipments2[[#This Row],[ROSL]])),
      ISNUMBER(SEARCH("Y",tblShipments2[[#This Row],[ROSL]]))),
   "Released",
   "Not Released")</f>
        <v>Released</v>
      </c>
      <c r="I110" t="str">
        <f>IF(OR(tblShipments2[[#This Row],[EGM no]]="", tblShipments2[[#This Row],[EGM no]]="N.A."), "Not Submitted", "Submitted")</f>
        <v>Submitted</v>
      </c>
      <c r="J110" t="str">
        <f>IF(LEFT(tblShipments2[[#This Row],[Gateway_Extracted]],2)="IN","Valid","Invalid")</f>
        <v>Valid</v>
      </c>
      <c r="K110" t="s">
        <v>11</v>
      </c>
      <c r="L110" t="s">
        <v>12</v>
      </c>
      <c r="M110" t="s">
        <v>13</v>
      </c>
      <c r="N110" t="s">
        <v>14</v>
      </c>
      <c r="O110" t="str">
        <f>IFERROR("IN" &amp; _xlfn.TEXTBEFORE(_xlfn.TEXTAFTER(UPPER(tblShipments2[[#This Row],[Gateway_clean]]),"IN")," ",1),"")</f>
        <v>INMUN1</v>
      </c>
      <c r="P110" t="str">
        <f>SUBSTITUTE(tblShipments2[[#This Row],[Gateway]], CHAR(10), " ")</f>
        <v xml:space="preserve">AWB No. Gateway Port Gateway EGM No. Gateway EGM Date Gateway Site ID Error Code N.A.  INMUN1  137976  2017-11-01 00:00:00.0  INMUN1  S </v>
      </c>
      <c r="Q110" t="s">
        <v>15</v>
      </c>
    </row>
    <row r="111" spans="1:17" ht="58" x14ac:dyDescent="0.35">
      <c r="A111" t="s">
        <v>8</v>
      </c>
      <c r="B111">
        <v>7100605</v>
      </c>
      <c r="C111" s="2" t="s">
        <v>9</v>
      </c>
      <c r="D111" s="2" t="str">
        <f>LEFT(TRIM(MID(SUBSTITUTE(tblShipments2[[#This Row],[Details]],CHAR(10)," "), FIND(CHAR(10),tblShipments2[[#This Row],[Details]])+1, 50)), 10)</f>
        <v>0597024561</v>
      </c>
      <c r="E111" s="1" t="s">
        <v>16</v>
      </c>
      <c r="F111" s="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1" s="1" t="str">
        <f>IF(tblShipments2[[#This Row],[EGM no]]="", "Missing EGM", "EGM Submitted")</f>
        <v>EGM Submitted</v>
      </c>
      <c r="H111" s="1" t="str">
        <f>IF(OR(ISNUMBER(SEARCH("Released",tblShipments2[[#This Row],[ROSL]])),
      ISNUMBER(SEARCH("Scroll",tblShipments2[[#This Row],[ROSL]])),
      ISNUMBER(SEARCH("Y",tblShipments2[[#This Row],[ROSL]]))),
   "Released",
   "Not Released")</f>
        <v>Released</v>
      </c>
      <c r="I111" s="1" t="str">
        <f>IF(OR(tblShipments2[[#This Row],[EGM no]]="", tblShipments2[[#This Row],[EGM no]]="N.A."), "Not Submitted", "Submitted")</f>
        <v>Submitted</v>
      </c>
      <c r="J111" s="1" t="str">
        <f>IF(LEFT(tblShipments2[[#This Row],[Gateway_Extracted]],2)="IN","Valid","Invalid")</f>
        <v>Valid</v>
      </c>
      <c r="K111" t="s">
        <v>17</v>
      </c>
      <c r="L111" t="s">
        <v>18</v>
      </c>
      <c r="M111" t="s">
        <v>13</v>
      </c>
      <c r="N111" t="s">
        <v>19</v>
      </c>
      <c r="O111" t="str">
        <f>IFERROR("IN" &amp; _xlfn.TEXTBEFORE(_xlfn.TEXTAFTER(UPPER(tblShipments2[[#This Row],[Gateway_clean]]),"IN")," ",1),"")</f>
        <v>INMUN1</v>
      </c>
      <c r="P111" t="str">
        <f>SUBSTITUTE(tblShipments2[[#This Row],[Gateway]], CHAR(10), " ")</f>
        <v xml:space="preserve">AWB No. Gateway Port Gateway EGM No. Gateway EGM Date Gateway Site ID Error Code N.A.  INMUN1  131465  2017-07-14 00:00:00.0  INMUN1  S </v>
      </c>
      <c r="Q111" t="s">
        <v>20</v>
      </c>
    </row>
    <row r="112" spans="1:17" x14ac:dyDescent="0.35">
      <c r="A112" t="s">
        <v>8</v>
      </c>
      <c r="B112">
        <v>7183827</v>
      </c>
      <c r="C112" s="2" t="s">
        <v>21</v>
      </c>
      <c r="D112" s="2" t="str">
        <f>LEFT(TRIM(MID(SUBSTITUTE(tblShipments2[[#This Row],[Details]],CHAR(10)," "), FIND(CHAR(10),tblShipments2[[#This Row],[Details]])+1, 50)), 10)</f>
        <v>0506074994</v>
      </c>
      <c r="E112" t="s">
        <v>22</v>
      </c>
      <c r="F11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2" t="str">
        <f>IF(tblShipments2[[#This Row],[EGM no]]="", "Missing EGM", "EGM Submitted")</f>
        <v>EGM Submitted</v>
      </c>
      <c r="H112" t="str">
        <f>IF(OR(ISNUMBER(SEARCH("Released",tblShipments2[[#This Row],[ROSL]])),
      ISNUMBER(SEARCH("Scroll",tblShipments2[[#This Row],[ROSL]])),
      ISNUMBER(SEARCH("Y",tblShipments2[[#This Row],[ROSL]]))),
   "Released",
   "Not Released")</f>
        <v>Released</v>
      </c>
      <c r="I112" t="str">
        <f>IF(OR(tblShipments2[[#This Row],[EGM no]]="", tblShipments2[[#This Row],[EGM no]]="N.A."), "Not Submitted", "Submitted")</f>
        <v>Submitted</v>
      </c>
      <c r="J112" t="str">
        <f>IF(LEFT(tblShipments2[[#This Row],[Gateway_Extracted]],2)="IN","Valid","Invalid")</f>
        <v>Valid</v>
      </c>
      <c r="K112" t="s">
        <v>23</v>
      </c>
      <c r="L112" t="s">
        <v>24</v>
      </c>
      <c r="M112" t="s">
        <v>13</v>
      </c>
      <c r="N112" t="s">
        <v>25</v>
      </c>
      <c r="O112" t="str">
        <f>IFERROR("IN" &amp; _xlfn.TEXTBEFORE(_xlfn.TEXTAFTER(UPPER(tblShipments2[[#This Row],[Gateway_clean]]),"IN")," ",1),"")</f>
        <v>INNSA1</v>
      </c>
      <c r="P112" t="str">
        <f>SUBSTITUTE(tblShipments2[[#This Row],[Gateway]], CHAR(10), " ")</f>
        <v xml:space="preserve">AWB No. Gateway Port Gateway EGM No. Gateway EGM Date Gateway Site ID Error Code N.A.  INNSA1  N.A.  N.A.  N.A.  N.A. </v>
      </c>
      <c r="Q112" t="s">
        <v>26</v>
      </c>
    </row>
    <row r="113" spans="1:17" x14ac:dyDescent="0.35">
      <c r="A113" t="s">
        <v>8</v>
      </c>
      <c r="B113">
        <v>7603758</v>
      </c>
      <c r="C113" s="2" t="s">
        <v>27</v>
      </c>
      <c r="D113" s="2" t="str">
        <f>LEFT(TRIM(MID(SUBSTITUTE(tblShipments2[[#This Row],[Details]],CHAR(10)," "), FIND(CHAR(10),tblShipments2[[#This Row],[Details]])+1, 50)), 10)</f>
        <v>0505023954</v>
      </c>
      <c r="E113" t="s">
        <v>28</v>
      </c>
      <c r="F11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3" t="str">
        <f>IF(tblShipments2[[#This Row],[EGM no]]="", "Missing EGM", "EGM Submitted")</f>
        <v>EGM Submitted</v>
      </c>
      <c r="H113" t="str">
        <f>IF(OR(ISNUMBER(SEARCH("Released",tblShipments2[[#This Row],[ROSL]])),
      ISNUMBER(SEARCH("Scroll",tblShipments2[[#This Row],[ROSL]])),
      ISNUMBER(SEARCH("Y",tblShipments2[[#This Row],[ROSL]]))),
   "Released",
   "Not Released")</f>
        <v>Released</v>
      </c>
      <c r="I113" t="str">
        <f>IF(OR(tblShipments2[[#This Row],[EGM no]]="", tblShipments2[[#This Row],[EGM no]]="N.A."), "Not Submitted", "Submitted")</f>
        <v>Submitted</v>
      </c>
      <c r="J113" t="str">
        <f>IF(LEFT(tblShipments2[[#This Row],[Gateway_Extracted]],2)="IN","Valid","Invalid")</f>
        <v>Valid</v>
      </c>
      <c r="K113" t="s">
        <v>29</v>
      </c>
      <c r="L113" t="s">
        <v>30</v>
      </c>
      <c r="M113" t="s">
        <v>31</v>
      </c>
      <c r="N113" t="s">
        <v>32</v>
      </c>
      <c r="O113" t="str">
        <f>IFERROR("IN" &amp; _xlfn.TEXTBEFORE(_xlfn.TEXTAFTER(UPPER(tblShipments2[[#This Row],[Gateway_clean]]),"IN")," ",1),"")</f>
        <v>INNSA1</v>
      </c>
      <c r="P113" t="str">
        <f>SUBSTITUTE(tblShipments2[[#This Row],[Gateway]], CHAR(10), " ")</f>
        <v xml:space="preserve">AWB No. Gateway Port Gateway EGM No. Gateway EGM Date Gateway Site ID Error Code N.A.  INNSA1  N.A.  N.A.  N.A.  N.A. </v>
      </c>
      <c r="Q113" t="s">
        <v>26</v>
      </c>
    </row>
    <row r="114" spans="1:17" x14ac:dyDescent="0.35">
      <c r="A114" t="s">
        <v>8</v>
      </c>
      <c r="B114">
        <v>7616933</v>
      </c>
      <c r="C114" s="2" t="s">
        <v>27</v>
      </c>
      <c r="D114" s="2" t="str">
        <f>LEFT(TRIM(MID(SUBSTITUTE(tblShipments2[[#This Row],[Details]],CHAR(10)," "), FIND(CHAR(10),tblShipments2[[#This Row],[Details]])+1, 50)), 10)</f>
        <v>0508003300</v>
      </c>
      <c r="E114" t="s">
        <v>33</v>
      </c>
      <c r="F11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4" t="str">
        <f>IF(tblShipments2[[#This Row],[EGM no]]="", "Missing EGM", "EGM Submitted")</f>
        <v>EGM Submitted</v>
      </c>
      <c r="H114" t="str">
        <f>IF(OR(ISNUMBER(SEARCH("Released",tblShipments2[[#This Row],[ROSL]])),
      ISNUMBER(SEARCH("Scroll",tblShipments2[[#This Row],[ROSL]])),
      ISNUMBER(SEARCH("Y",tblShipments2[[#This Row],[ROSL]]))),
   "Released",
   "Not Released")</f>
        <v>Released</v>
      </c>
      <c r="I114" t="str">
        <f>IF(OR(tblShipments2[[#This Row],[EGM no]]="", tblShipments2[[#This Row],[EGM no]]="N.A."), "Not Submitted", "Submitted")</f>
        <v>Submitted</v>
      </c>
      <c r="J114" t="str">
        <f>IF(LEFT(tblShipments2[[#This Row],[Gateway_Extracted]],2)="IN","Valid","Invalid")</f>
        <v>Valid</v>
      </c>
      <c r="K114" t="s">
        <v>34</v>
      </c>
      <c r="L114" t="s">
        <v>35</v>
      </c>
      <c r="M114" t="s">
        <v>13</v>
      </c>
      <c r="N114" t="s">
        <v>36</v>
      </c>
      <c r="O114" t="str">
        <f>IFERROR("IN" &amp; _xlfn.TEXTBEFORE(_xlfn.TEXTAFTER(UPPER(tblShipments2[[#This Row],[Gateway_clean]]),"IN")," ",1),"")</f>
        <v>INNSA1</v>
      </c>
      <c r="P114" t="str">
        <f>SUBSTITUTE(tblShipments2[[#This Row],[Gateway]], CHAR(10), " ")</f>
        <v xml:space="preserve">AWB No. Gateway Port Gateway EGM No. Gateway EGM Date Gateway Site ID Error Code N.A.  INNSA1  132025  2017-07-24 00:00:00.0  INNSA1  S </v>
      </c>
      <c r="Q114" t="s">
        <v>37</v>
      </c>
    </row>
    <row r="115" spans="1:17" x14ac:dyDescent="0.35">
      <c r="A115" t="s">
        <v>8</v>
      </c>
      <c r="B115">
        <v>7623801</v>
      </c>
      <c r="C115" s="2" t="s">
        <v>38</v>
      </c>
      <c r="D115" s="2" t="str">
        <f>LEFT(TRIM(MID(SUBSTITUTE(tblShipments2[[#This Row],[Details]],CHAR(10)," "), FIND(CHAR(10),tblShipments2[[#This Row],[Details]])+1, 50)), 10)</f>
        <v>0596009488</v>
      </c>
      <c r="E115" t="s">
        <v>39</v>
      </c>
      <c r="F11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5" t="str">
        <f>IF(tblShipments2[[#This Row],[EGM no]]="", "Missing EGM", "EGM Submitted")</f>
        <v>EGM Submitted</v>
      </c>
      <c r="H115" t="str">
        <f>IF(OR(ISNUMBER(SEARCH("Released",tblShipments2[[#This Row],[ROSL]])),
      ISNUMBER(SEARCH("Scroll",tblShipments2[[#This Row],[ROSL]])),
      ISNUMBER(SEARCH("Y",tblShipments2[[#This Row],[ROSL]]))),
   "Released",
   "Not Released")</f>
        <v>Released</v>
      </c>
      <c r="I115" t="str">
        <f>IF(OR(tblShipments2[[#This Row],[EGM no]]="", tblShipments2[[#This Row],[EGM no]]="N.A."), "Not Submitted", "Submitted")</f>
        <v>Submitted</v>
      </c>
      <c r="J115" t="str">
        <f>IF(LEFT(tblShipments2[[#This Row],[Gateway_Extracted]],2)="IN","Valid","Invalid")</f>
        <v>Valid</v>
      </c>
      <c r="K115" t="s">
        <v>40</v>
      </c>
      <c r="L115" t="s">
        <v>41</v>
      </c>
      <c r="M115" t="s">
        <v>13</v>
      </c>
      <c r="N115" t="s">
        <v>42</v>
      </c>
      <c r="O115" t="str">
        <f>IFERROR("IN" &amp; _xlfn.TEXTBEFORE(_xlfn.TEXTAFTER(UPPER(tblShipments2[[#This Row],[Gateway_clean]]),"IN")," ",1),"")</f>
        <v>INMUN1</v>
      </c>
      <c r="P115" t="str">
        <f>SUBSTITUTE(tblShipments2[[#This Row],[Gateway]], CHAR(10), " ")</f>
        <v xml:space="preserve">AWB No. Gateway Port Gateway EGM No. Gateway EGM Date Gateway Site ID Error Code N.A.  INMUN1  132702  2017-08-04 00:00:00.0  INMUN1  S </v>
      </c>
      <c r="Q115" t="s">
        <v>43</v>
      </c>
    </row>
    <row r="116" spans="1:17" x14ac:dyDescent="0.35">
      <c r="A116" t="s">
        <v>8</v>
      </c>
      <c r="B116">
        <v>7638661</v>
      </c>
      <c r="C116" s="2" t="s">
        <v>38</v>
      </c>
      <c r="D116" s="2" t="str">
        <f>LEFT(TRIM(MID(SUBSTITUTE(tblShipments2[[#This Row],[Details]],CHAR(10)," "), FIND(CHAR(10),tblShipments2[[#This Row],[Details]])+1, 50)), 10)</f>
        <v>0506070484</v>
      </c>
      <c r="E116" t="s">
        <v>44</v>
      </c>
      <c r="F11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6" t="str">
        <f>IF(tblShipments2[[#This Row],[EGM no]]="", "Missing EGM", "EGM Submitted")</f>
        <v>EGM Submitted</v>
      </c>
      <c r="H116" t="str">
        <f>IF(OR(ISNUMBER(SEARCH("Released",tblShipments2[[#This Row],[ROSL]])),
      ISNUMBER(SEARCH("Scroll",tblShipments2[[#This Row],[ROSL]])),
      ISNUMBER(SEARCH("Y",tblShipments2[[#This Row],[ROSL]]))),
   "Released",
   "Not Released")</f>
        <v>Released</v>
      </c>
      <c r="I116" t="str">
        <f>IF(OR(tblShipments2[[#This Row],[EGM no]]="", tblShipments2[[#This Row],[EGM no]]="N.A."), "Not Submitted", "Submitted")</f>
        <v>Submitted</v>
      </c>
      <c r="J116" t="str">
        <f>IF(LEFT(tblShipments2[[#This Row],[Gateway_Extracted]],2)="IN","Valid","Invalid")</f>
        <v>Valid</v>
      </c>
      <c r="K116" t="s">
        <v>45</v>
      </c>
      <c r="L116" t="s">
        <v>46</v>
      </c>
      <c r="M116" t="s">
        <v>31</v>
      </c>
      <c r="N116" t="s">
        <v>47</v>
      </c>
      <c r="O116" t="str">
        <f>IFERROR("IN" &amp; _xlfn.TEXTBEFORE(_xlfn.TEXTAFTER(UPPER(tblShipments2[[#This Row],[Gateway_clean]]),"IN")," ",1),"")</f>
        <v>INNSA1</v>
      </c>
      <c r="P116" t="str">
        <f>SUBSTITUTE(tblShipments2[[#This Row],[Gateway]], CHAR(10), " ")</f>
        <v xml:space="preserve">AWB No. Gateway Port Gateway EGM No. Gateway EGM Date Gateway Site ID Error Code N.A.  INNSA1  N.A.  N.A.  N.A.  N.A. </v>
      </c>
      <c r="Q116" t="s">
        <v>26</v>
      </c>
    </row>
    <row r="117" spans="1:17" x14ac:dyDescent="0.35">
      <c r="A117" t="s">
        <v>8</v>
      </c>
      <c r="B117">
        <v>7640213</v>
      </c>
      <c r="C117" s="2" t="s">
        <v>38</v>
      </c>
      <c r="D117" s="2" t="str">
        <f>LEFT(TRIM(MID(SUBSTITUTE(tblShipments2[[#This Row],[Details]],CHAR(10)," "), FIND(CHAR(10),tblShipments2[[#This Row],[Details]])+1, 50)), 10)</f>
        <v>0514019492</v>
      </c>
      <c r="E117" t="s">
        <v>48</v>
      </c>
      <c r="F11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7" t="str">
        <f>IF(tblShipments2[[#This Row],[EGM no]]="", "Missing EGM", "EGM Submitted")</f>
        <v>EGM Submitted</v>
      </c>
      <c r="H117" t="str">
        <f>IF(OR(ISNUMBER(SEARCH("Released",tblShipments2[[#This Row],[ROSL]])),
      ISNUMBER(SEARCH("Scroll",tblShipments2[[#This Row],[ROSL]])),
      ISNUMBER(SEARCH("Y",tblShipments2[[#This Row],[ROSL]]))),
   "Released",
   "Not Released")</f>
        <v>Released</v>
      </c>
      <c r="I117" t="str">
        <f>IF(OR(tblShipments2[[#This Row],[EGM no]]="", tblShipments2[[#This Row],[EGM no]]="N.A."), "Not Submitted", "Submitted")</f>
        <v>Submitted</v>
      </c>
      <c r="J117" t="str">
        <f>IF(LEFT(tblShipments2[[#This Row],[Gateway_Extracted]],2)="IN","Valid","Invalid")</f>
        <v>Valid</v>
      </c>
      <c r="K117" t="s">
        <v>49</v>
      </c>
      <c r="L117" t="s">
        <v>50</v>
      </c>
      <c r="M117" t="s">
        <v>13</v>
      </c>
      <c r="N117" t="s">
        <v>51</v>
      </c>
      <c r="O117" t="str">
        <f>IFERROR("IN" &amp; _xlfn.TEXTBEFORE(_xlfn.TEXTAFTER(UPPER(tblShipments2[[#This Row],[Gateway_clean]]),"IN")," ",1),"")</f>
        <v>INMUN1</v>
      </c>
      <c r="P117" t="str">
        <f>SUBSTITUTE(tblShipments2[[#This Row],[Gateway]], CHAR(10), " ")</f>
        <v xml:space="preserve">AWB No. Gateway Port Gateway EGM No. Gateway EGM Date Gateway Site ID Error Code N.A.  INMUN1  134053  2017-08-28 00:00:00.0  INMUN1  ST </v>
      </c>
      <c r="Q117" t="s">
        <v>52</v>
      </c>
    </row>
    <row r="118" spans="1:17" x14ac:dyDescent="0.35">
      <c r="A118" t="s">
        <v>8</v>
      </c>
      <c r="B118">
        <v>7641404</v>
      </c>
      <c r="C118" s="2" t="s">
        <v>38</v>
      </c>
      <c r="D118" s="2" t="str">
        <f>LEFT(TRIM(MID(SUBSTITUTE(tblShipments2[[#This Row],[Details]],CHAR(10)," "), FIND(CHAR(10),tblShipments2[[#This Row],[Details]])+1, 50)), 10)</f>
        <v>0508003300</v>
      </c>
      <c r="E118" t="s">
        <v>53</v>
      </c>
      <c r="F11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8" t="str">
        <f>IF(tblShipments2[[#This Row],[EGM no]]="", "Missing EGM", "EGM Submitted")</f>
        <v>EGM Submitted</v>
      </c>
      <c r="H118" t="str">
        <f>IF(OR(ISNUMBER(SEARCH("Released",tblShipments2[[#This Row],[ROSL]])),
      ISNUMBER(SEARCH("Scroll",tblShipments2[[#This Row],[ROSL]])),
      ISNUMBER(SEARCH("Y",tblShipments2[[#This Row],[ROSL]]))),
   "Released",
   "Not Released")</f>
        <v>Released</v>
      </c>
      <c r="I118" t="str">
        <f>IF(OR(tblShipments2[[#This Row],[EGM no]]="", tblShipments2[[#This Row],[EGM no]]="N.A."), "Not Submitted", "Submitted")</f>
        <v>Submitted</v>
      </c>
      <c r="J118" t="str">
        <f>IF(LEFT(tblShipments2[[#This Row],[Gateway_Extracted]],2)="IN","Valid","Invalid")</f>
        <v>Valid</v>
      </c>
      <c r="K118" t="s">
        <v>49</v>
      </c>
      <c r="L118" t="s">
        <v>54</v>
      </c>
      <c r="M118" t="s">
        <v>13</v>
      </c>
      <c r="N118" t="s">
        <v>55</v>
      </c>
      <c r="O118" t="str">
        <f>IFERROR("IN" &amp; _xlfn.TEXTBEFORE(_xlfn.TEXTAFTER(UPPER(tblShipments2[[#This Row],[Gateway_clean]]),"IN")," ",1),"")</f>
        <v>INNSA1</v>
      </c>
      <c r="P118" t="str">
        <f>SUBSTITUTE(tblShipments2[[#This Row],[Gateway]], CHAR(10), " ")</f>
        <v xml:space="preserve">AWB No. Gateway Port Gateway EGM No. Gateway EGM Date Gateway Site ID Error Code N.A.  INNSA1  131685  2017-07-18 00:00:00.0  INNSA1  S </v>
      </c>
      <c r="Q118" t="s">
        <v>56</v>
      </c>
    </row>
    <row r="119" spans="1:17" x14ac:dyDescent="0.35">
      <c r="A119" t="s">
        <v>8</v>
      </c>
      <c r="B119">
        <v>7641415</v>
      </c>
      <c r="C119" s="2" t="s">
        <v>38</v>
      </c>
      <c r="D119" s="2" t="str">
        <f>LEFT(TRIM(MID(SUBSTITUTE(tblShipments2[[#This Row],[Details]],CHAR(10)," "), FIND(CHAR(10),tblShipments2[[#This Row],[Details]])+1, 50)), 10)</f>
        <v>0508003300</v>
      </c>
      <c r="E119" t="s">
        <v>57</v>
      </c>
      <c r="F11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19" t="str">
        <f>IF(tblShipments2[[#This Row],[EGM no]]="", "Missing EGM", "EGM Submitted")</f>
        <v>EGM Submitted</v>
      </c>
      <c r="H119" t="str">
        <f>IF(OR(ISNUMBER(SEARCH("Released",tblShipments2[[#This Row],[ROSL]])),
      ISNUMBER(SEARCH("Scroll",tblShipments2[[#This Row],[ROSL]])),
      ISNUMBER(SEARCH("Y",tblShipments2[[#This Row],[ROSL]]))),
   "Released",
   "Not Released")</f>
        <v>Released</v>
      </c>
      <c r="I119" t="str">
        <f>IF(OR(tblShipments2[[#This Row],[EGM no]]="", tblShipments2[[#This Row],[EGM no]]="N.A."), "Not Submitted", "Submitted")</f>
        <v>Submitted</v>
      </c>
      <c r="J119" t="str">
        <f>IF(LEFT(tblShipments2[[#This Row],[Gateway_Extracted]],2)="IN","Valid","Invalid")</f>
        <v>Valid</v>
      </c>
      <c r="K119" t="s">
        <v>49</v>
      </c>
      <c r="L119" t="s">
        <v>54</v>
      </c>
      <c r="M119" t="s">
        <v>13</v>
      </c>
      <c r="N119" t="s">
        <v>58</v>
      </c>
      <c r="O119" t="str">
        <f>IFERROR("IN" &amp; _xlfn.TEXTBEFORE(_xlfn.TEXTAFTER(UPPER(tblShipments2[[#This Row],[Gateway_clean]]),"IN")," ",1),"")</f>
        <v>INNSA1</v>
      </c>
      <c r="P119" t="str">
        <f>SUBSTITUTE(tblShipments2[[#This Row],[Gateway]], CHAR(10), " ")</f>
        <v xml:space="preserve">AWB No. Gateway Port Gateway EGM No. Gateway EGM Date Gateway Site ID Error Code N.A.  INNSA1  131685  2017-07-18 00:00:00.0  INNSA1  S </v>
      </c>
      <c r="Q119" t="s">
        <v>56</v>
      </c>
    </row>
    <row r="120" spans="1:17" x14ac:dyDescent="0.35">
      <c r="A120" t="s">
        <v>8</v>
      </c>
      <c r="B120">
        <v>7642279</v>
      </c>
      <c r="C120" s="2" t="s">
        <v>38</v>
      </c>
      <c r="D120" s="2" t="str">
        <f>LEFT(TRIM(MID(SUBSTITUTE(tblShipments2[[#This Row],[Details]],CHAR(10)," "), FIND(CHAR(10),tblShipments2[[#This Row],[Details]])+1, 50)), 10)</f>
        <v>0508003300</v>
      </c>
      <c r="E120" t="s">
        <v>59</v>
      </c>
      <c r="F12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0" t="str">
        <f>IF(tblShipments2[[#This Row],[EGM no]]="", "Missing EGM", "EGM Submitted")</f>
        <v>EGM Submitted</v>
      </c>
      <c r="H120" t="str">
        <f>IF(OR(ISNUMBER(SEARCH("Released",tblShipments2[[#This Row],[ROSL]])),
      ISNUMBER(SEARCH("Scroll",tblShipments2[[#This Row],[ROSL]])),
      ISNUMBER(SEARCH("Y",tblShipments2[[#This Row],[ROSL]]))),
   "Released",
   "Not Released")</f>
        <v>Released</v>
      </c>
      <c r="I120" t="str">
        <f>IF(OR(tblShipments2[[#This Row],[EGM no]]="", tblShipments2[[#This Row],[EGM no]]="N.A."), "Not Submitted", "Submitted")</f>
        <v>Submitted</v>
      </c>
      <c r="J120" t="str">
        <f>IF(LEFT(tblShipments2[[#This Row],[Gateway_Extracted]],2)="IN","Valid","Invalid")</f>
        <v>Valid</v>
      </c>
      <c r="K120" t="s">
        <v>49</v>
      </c>
      <c r="L120" t="s">
        <v>60</v>
      </c>
      <c r="M120" t="s">
        <v>13</v>
      </c>
      <c r="N120" t="s">
        <v>61</v>
      </c>
      <c r="O120" t="str">
        <f>IFERROR("IN" &amp; _xlfn.TEXTBEFORE(_xlfn.TEXTAFTER(UPPER(tblShipments2[[#This Row],[Gateway_clean]]),"IN")," ",1),"")</f>
        <v>INNSA1</v>
      </c>
      <c r="P120" t="str">
        <f>SUBSTITUTE(tblShipments2[[#This Row],[Gateway]], CHAR(10), " ")</f>
        <v xml:space="preserve">AWB No. Gateway Port Gateway EGM No. Gateway EGM Date Gateway Site ID Error Code N.A.  INNSA1  131685  2017-07-18 00:00:00.0  INNSA1  S </v>
      </c>
      <c r="Q120" t="s">
        <v>56</v>
      </c>
    </row>
    <row r="121" spans="1:17" x14ac:dyDescent="0.35">
      <c r="A121" t="s">
        <v>8</v>
      </c>
      <c r="B121">
        <v>7646561</v>
      </c>
      <c r="C121" s="2" t="s">
        <v>62</v>
      </c>
      <c r="D121" s="2" t="str">
        <f>LEFT(TRIM(MID(SUBSTITUTE(tblShipments2[[#This Row],[Details]],CHAR(10)," "), FIND(CHAR(10),tblShipments2[[#This Row],[Details]])+1, 50)), 10)</f>
        <v>0513056661</v>
      </c>
      <c r="E121" t="s">
        <v>63</v>
      </c>
      <c r="F12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1" t="str">
        <f>IF(tblShipments2[[#This Row],[EGM no]]="", "Missing EGM", "EGM Submitted")</f>
        <v>EGM Submitted</v>
      </c>
      <c r="H121" t="str">
        <f>IF(OR(ISNUMBER(SEARCH("Released",tblShipments2[[#This Row],[ROSL]])),
      ISNUMBER(SEARCH("Scroll",tblShipments2[[#This Row],[ROSL]])),
      ISNUMBER(SEARCH("Y",tblShipments2[[#This Row],[ROSL]]))),
   "Released",
   "Not Released")</f>
        <v>Released</v>
      </c>
      <c r="I121" t="str">
        <f>IF(OR(tblShipments2[[#This Row],[EGM no]]="", tblShipments2[[#This Row],[EGM no]]="N.A."), "Not Submitted", "Submitted")</f>
        <v>Submitted</v>
      </c>
      <c r="J121" t="str">
        <f>IF(LEFT(tblShipments2[[#This Row],[Gateway_Extracted]],2)="IN","Valid","Invalid")</f>
        <v>Valid</v>
      </c>
      <c r="K121" t="s">
        <v>64</v>
      </c>
      <c r="L121" t="s">
        <v>65</v>
      </c>
      <c r="M121" t="s">
        <v>13</v>
      </c>
      <c r="N121" t="s">
        <v>66</v>
      </c>
      <c r="O121" t="str">
        <f>IFERROR("IN" &amp; _xlfn.TEXTBEFORE(_xlfn.TEXTAFTER(UPPER(tblShipments2[[#This Row],[Gateway_clean]]),"IN")," ",1),"")</f>
        <v>INNSA1</v>
      </c>
      <c r="P121" t="str">
        <f>SUBSTITUTE(tblShipments2[[#This Row],[Gateway]], CHAR(10), " ")</f>
        <v xml:space="preserve">AWB No. Gateway Port Gateway EGM No. Gateway EGM Date Gateway Site ID Error Code N.A.  INNSA1  132025  2017-07-24 00:00:00.0  INNSA1  S </v>
      </c>
      <c r="Q121" t="s">
        <v>37</v>
      </c>
    </row>
    <row r="122" spans="1:17" x14ac:dyDescent="0.35">
      <c r="A122" t="s">
        <v>8</v>
      </c>
      <c r="B122">
        <v>7649257</v>
      </c>
      <c r="C122" s="2" t="s">
        <v>62</v>
      </c>
      <c r="D122" s="2" t="str">
        <f>LEFT(TRIM(MID(SUBSTITUTE(tblShipments2[[#This Row],[Details]],CHAR(10)," "), FIND(CHAR(10),tblShipments2[[#This Row],[Details]])+1, 50)), 10)</f>
        <v>0593058577</v>
      </c>
      <c r="E122" t="s">
        <v>67</v>
      </c>
      <c r="F12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2" t="str">
        <f>IF(tblShipments2[[#This Row],[EGM no]]="", "Missing EGM", "EGM Submitted")</f>
        <v>EGM Submitted</v>
      </c>
      <c r="H122" t="str">
        <f>IF(OR(ISNUMBER(SEARCH("Released",tblShipments2[[#This Row],[ROSL]])),
      ISNUMBER(SEARCH("Scroll",tblShipments2[[#This Row],[ROSL]])),
      ISNUMBER(SEARCH("Y",tblShipments2[[#This Row],[ROSL]]))),
   "Released",
   "Not Released")</f>
        <v>Released</v>
      </c>
      <c r="I122" t="str">
        <f>IF(OR(tblShipments2[[#This Row],[EGM no]]="", tblShipments2[[#This Row],[EGM no]]="N.A."), "Not Submitted", "Submitted")</f>
        <v>Submitted</v>
      </c>
      <c r="J122" t="str">
        <f>IF(LEFT(tblShipments2[[#This Row],[Gateway_Extracted]],2)="IN","Valid","Invalid")</f>
        <v>Valid</v>
      </c>
      <c r="K122" t="s">
        <v>68</v>
      </c>
      <c r="L122" t="s">
        <v>69</v>
      </c>
      <c r="M122" t="s">
        <v>13</v>
      </c>
      <c r="N122" t="s">
        <v>70</v>
      </c>
      <c r="O122" t="str">
        <f>IFERROR("IN" &amp; _xlfn.TEXTBEFORE(_xlfn.TEXTAFTER(UPPER(tblShipments2[[#This Row],[Gateway_clean]]),"IN")," ",1),"")</f>
        <v>INNSA1</v>
      </c>
      <c r="P122" t="str">
        <f>SUBSTITUTE(tblShipments2[[#This Row],[Gateway]], CHAR(10), " ")</f>
        <v xml:space="preserve">AWB No. Gateway Port Gateway EGM No. Gateway EGM Date Gateway Site ID Error Code N.A.  INNSA1  132025  2017-07-24 00:00:00.0  INNSA1  S </v>
      </c>
      <c r="Q122" t="s">
        <v>37</v>
      </c>
    </row>
    <row r="123" spans="1:17" x14ac:dyDescent="0.35">
      <c r="A123" t="s">
        <v>8</v>
      </c>
      <c r="B123">
        <v>7662086</v>
      </c>
      <c r="C123" s="2" t="s">
        <v>62</v>
      </c>
      <c r="D123" s="2" t="str">
        <f>LEFT(TRIM(MID(SUBSTITUTE(tblShipments2[[#This Row],[Details]],CHAR(10)," "), FIND(CHAR(10),tblShipments2[[#This Row],[Details]])+1, 50)), 10)</f>
        <v>0516929674</v>
      </c>
      <c r="E123" t="s">
        <v>71</v>
      </c>
      <c r="F12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3" t="str">
        <f>IF(tblShipments2[[#This Row],[EGM no]]="", "Missing EGM", "EGM Submitted")</f>
        <v>EGM Submitted</v>
      </c>
      <c r="H123" t="str">
        <f>IF(OR(ISNUMBER(SEARCH("Released",tblShipments2[[#This Row],[ROSL]])),
      ISNUMBER(SEARCH("Scroll",tblShipments2[[#This Row],[ROSL]])),
      ISNUMBER(SEARCH("Y",tblShipments2[[#This Row],[ROSL]]))),
   "Released",
   "Not Released")</f>
        <v>Released</v>
      </c>
      <c r="I123" t="str">
        <f>IF(OR(tblShipments2[[#This Row],[EGM no]]="", tblShipments2[[#This Row],[EGM no]]="N.A."), "Not Submitted", "Submitted")</f>
        <v>Submitted</v>
      </c>
      <c r="J123" t="str">
        <f>IF(LEFT(tblShipments2[[#This Row],[Gateway_Extracted]],2)="IN","Valid","Invalid")</f>
        <v>Valid</v>
      </c>
      <c r="K123" t="s">
        <v>72</v>
      </c>
      <c r="L123" t="s">
        <v>73</v>
      </c>
      <c r="M123" t="s">
        <v>13</v>
      </c>
      <c r="N123" t="s">
        <v>74</v>
      </c>
      <c r="O123" t="str">
        <f>IFERROR("IN" &amp; _xlfn.TEXTBEFORE(_xlfn.TEXTAFTER(UPPER(tblShipments2[[#This Row],[Gateway_clean]]),"IN")," ",1),"")</f>
        <v>INNSA1</v>
      </c>
      <c r="P123" t="str">
        <f>SUBSTITUTE(tblShipments2[[#This Row],[Gateway]], CHAR(10), " ")</f>
        <v xml:space="preserve">AWB No. Gateway Port Gateway EGM No. Gateway EGM Date Gateway Site ID Error Code N.A.  INNSA1  132629  2017-08-03 00:00:00.0  INNSA1  S </v>
      </c>
      <c r="Q123" t="s">
        <v>75</v>
      </c>
    </row>
    <row r="124" spans="1:17" x14ac:dyDescent="0.35">
      <c r="A124" t="s">
        <v>8</v>
      </c>
      <c r="B124">
        <v>7690771</v>
      </c>
      <c r="C124" s="2" t="s">
        <v>76</v>
      </c>
      <c r="D124" s="2" t="str">
        <f>LEFT(TRIM(MID(SUBSTITUTE(tblShipments2[[#This Row],[Details]],CHAR(10)," "), FIND(CHAR(10),tblShipments2[[#This Row],[Details]])+1, 50)), 10)</f>
        <v>0506046231</v>
      </c>
      <c r="E124" t="s">
        <v>77</v>
      </c>
      <c r="F12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4" t="str">
        <f>IF(tblShipments2[[#This Row],[EGM no]]="", "Missing EGM", "EGM Submitted")</f>
        <v>EGM Submitted</v>
      </c>
      <c r="H124" t="str">
        <f>IF(OR(ISNUMBER(SEARCH("Released",tblShipments2[[#This Row],[ROSL]])),
      ISNUMBER(SEARCH("Scroll",tblShipments2[[#This Row],[ROSL]])),
      ISNUMBER(SEARCH("Y",tblShipments2[[#This Row],[ROSL]]))),
   "Released",
   "Not Released")</f>
        <v>Released</v>
      </c>
      <c r="I124" t="str">
        <f>IF(OR(tblShipments2[[#This Row],[EGM no]]="", tblShipments2[[#This Row],[EGM no]]="N.A."), "Not Submitted", "Submitted")</f>
        <v>Submitted</v>
      </c>
      <c r="J124" t="str">
        <f>IF(LEFT(tblShipments2[[#This Row],[Gateway_Extracted]],2)="IN","Valid","Invalid")</f>
        <v>Valid</v>
      </c>
      <c r="K124" t="s">
        <v>78</v>
      </c>
      <c r="L124" t="s">
        <v>79</v>
      </c>
      <c r="M124" t="s">
        <v>13</v>
      </c>
      <c r="N124" t="s">
        <v>80</v>
      </c>
      <c r="O124" t="str">
        <f>IFERROR("IN" &amp; _xlfn.TEXTBEFORE(_xlfn.TEXTAFTER(UPPER(tblShipments2[[#This Row],[Gateway_clean]]),"IN")," ",1),"")</f>
        <v>INNSA1</v>
      </c>
      <c r="P124" t="str">
        <f>SUBSTITUTE(tblShipments2[[#This Row],[Gateway]], CHAR(10), " ")</f>
        <v xml:space="preserve">AWB No. Gateway Port Gateway EGM No. Gateway EGM Date Gateway Site ID Error Code N.A.  INNSA1  132146  2017-07-26 00:00:00.0  INNSA1  S </v>
      </c>
      <c r="Q124" t="s">
        <v>81</v>
      </c>
    </row>
    <row r="125" spans="1:17" x14ac:dyDescent="0.35">
      <c r="A125" t="s">
        <v>8</v>
      </c>
      <c r="B125">
        <v>7692707</v>
      </c>
      <c r="C125" s="2" t="s">
        <v>76</v>
      </c>
      <c r="D125" s="2" t="str">
        <f>LEFT(TRIM(MID(SUBSTITUTE(tblShipments2[[#This Row],[Details]],CHAR(10)," "), FIND(CHAR(10),tblShipments2[[#This Row],[Details]])+1, 50)), 10)</f>
        <v>0591026007</v>
      </c>
      <c r="E125" t="s">
        <v>82</v>
      </c>
      <c r="F12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5" t="str">
        <f>IF(tblShipments2[[#This Row],[EGM no]]="", "Missing EGM", "EGM Submitted")</f>
        <v>EGM Submitted</v>
      </c>
      <c r="H125" t="str">
        <f>IF(OR(ISNUMBER(SEARCH("Released",tblShipments2[[#This Row],[ROSL]])),
      ISNUMBER(SEARCH("Scroll",tblShipments2[[#This Row],[ROSL]])),
      ISNUMBER(SEARCH("Y",tblShipments2[[#This Row],[ROSL]]))),
   "Released",
   "Not Released")</f>
        <v>Released</v>
      </c>
      <c r="I125" t="str">
        <f>IF(OR(tblShipments2[[#This Row],[EGM no]]="", tblShipments2[[#This Row],[EGM no]]="N.A."), "Not Submitted", "Submitted")</f>
        <v>Submitted</v>
      </c>
      <c r="J125" t="str">
        <f>IF(LEFT(tblShipments2[[#This Row],[Gateway_Extracted]],2)="IN","Valid","Invalid")</f>
        <v>Valid</v>
      </c>
      <c r="K125" t="s">
        <v>83</v>
      </c>
      <c r="L125" t="s">
        <v>84</v>
      </c>
      <c r="M125" t="s">
        <v>13</v>
      </c>
      <c r="N125" t="s">
        <v>85</v>
      </c>
      <c r="O125" t="str">
        <f>IFERROR("IN" &amp; _xlfn.TEXTBEFORE(_xlfn.TEXTAFTER(UPPER(tblShipments2[[#This Row],[Gateway_clean]]),"IN")," ",1),"")</f>
        <v>INNSA1</v>
      </c>
      <c r="P125" t="str">
        <f>SUBSTITUTE(tblShipments2[[#This Row],[Gateway]], CHAR(10), " ")</f>
        <v xml:space="preserve">AWB No. Gateway Port Gateway EGM No. Gateway EGM Date Gateway Site ID Error Code N.A.  INNSA1  132431  2017-07-31 00:00:00.0  INNSA1  S </v>
      </c>
      <c r="Q125" t="s">
        <v>86</v>
      </c>
    </row>
    <row r="126" spans="1:17" x14ac:dyDescent="0.35">
      <c r="A126" t="s">
        <v>8</v>
      </c>
      <c r="B126">
        <v>7703453</v>
      </c>
      <c r="C126" s="2" t="s">
        <v>87</v>
      </c>
      <c r="D126" s="2" t="str">
        <f>LEFT(TRIM(MID(SUBSTITUTE(tblShipments2[[#This Row],[Details]],CHAR(10)," "), FIND(CHAR(10),tblShipments2[[#This Row],[Details]])+1, 50)), 10)</f>
        <v>0500016143</v>
      </c>
      <c r="E126" t="s">
        <v>88</v>
      </c>
      <c r="F12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6" t="str">
        <f>IF(tblShipments2[[#This Row],[EGM no]]="", "Missing EGM", "EGM Submitted")</f>
        <v>EGM Submitted</v>
      </c>
      <c r="H126" t="str">
        <f>IF(OR(ISNUMBER(SEARCH("Released",tblShipments2[[#This Row],[ROSL]])),
      ISNUMBER(SEARCH("Scroll",tblShipments2[[#This Row],[ROSL]])),
      ISNUMBER(SEARCH("Y",tblShipments2[[#This Row],[ROSL]]))),
   "Released",
   "Not Released")</f>
        <v>Released</v>
      </c>
      <c r="I126" t="str">
        <f>IF(OR(tblShipments2[[#This Row],[EGM no]]="", tblShipments2[[#This Row],[EGM no]]="N.A."), "Not Submitted", "Submitted")</f>
        <v>Submitted</v>
      </c>
      <c r="J126" t="str">
        <f>IF(LEFT(tblShipments2[[#This Row],[Gateway_Extracted]],2)="IN","Valid","Invalid")</f>
        <v>Valid</v>
      </c>
      <c r="K126" t="s">
        <v>89</v>
      </c>
      <c r="L126" t="s">
        <v>90</v>
      </c>
      <c r="M126" t="s">
        <v>13</v>
      </c>
      <c r="N126" t="s">
        <v>91</v>
      </c>
      <c r="O126" t="str">
        <f>IFERROR("IN" &amp; _xlfn.TEXTBEFORE(_xlfn.TEXTAFTER(UPPER(tblShipments2[[#This Row],[Gateway_clean]]),"IN")," ",1),"")</f>
        <v>INNSA1</v>
      </c>
      <c r="P126" t="str">
        <f>SUBSTITUTE(tblShipments2[[#This Row],[Gateway]], CHAR(10), " ")</f>
        <v xml:space="preserve">AWB No. Gateway Port Gateway EGM No. Gateway EGM Date Gateway Site ID Error Code N.A.  INNSA1  N.A.  N.A.  N.A.  N.A. </v>
      </c>
      <c r="Q126" t="s">
        <v>26</v>
      </c>
    </row>
    <row r="127" spans="1:17" x14ac:dyDescent="0.35">
      <c r="A127" t="s">
        <v>8</v>
      </c>
      <c r="B127">
        <v>7712075</v>
      </c>
      <c r="C127" s="2" t="s">
        <v>87</v>
      </c>
      <c r="D127" s="2" t="str">
        <f>LEFT(TRIM(MID(SUBSTITUTE(tblShipments2[[#This Row],[Details]],CHAR(10)," "), FIND(CHAR(10),tblShipments2[[#This Row],[Details]])+1, 50)), 10)</f>
        <v>1308012381</v>
      </c>
      <c r="E127" t="s">
        <v>92</v>
      </c>
      <c r="F12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7" t="str">
        <f>IF(tblShipments2[[#This Row],[EGM no]]="", "Missing EGM", "EGM Submitted")</f>
        <v>EGM Submitted</v>
      </c>
      <c r="H127" t="str">
        <f>IF(OR(ISNUMBER(SEARCH("Released",tblShipments2[[#This Row],[ROSL]])),
      ISNUMBER(SEARCH("Scroll",tblShipments2[[#This Row],[ROSL]])),
      ISNUMBER(SEARCH("Y",tblShipments2[[#This Row],[ROSL]]))),
   "Released",
   "Not Released")</f>
        <v>Released</v>
      </c>
      <c r="I127" t="str">
        <f>IF(OR(tblShipments2[[#This Row],[EGM no]]="", tblShipments2[[#This Row],[EGM no]]="N.A."), "Not Submitted", "Submitted")</f>
        <v>Submitted</v>
      </c>
      <c r="J127" t="str">
        <f>IF(LEFT(tblShipments2[[#This Row],[Gateway_Extracted]],2)="IN","Valid","Invalid")</f>
        <v>Valid</v>
      </c>
      <c r="K127" t="s">
        <v>72</v>
      </c>
      <c r="L127" t="s">
        <v>93</v>
      </c>
      <c r="M127" t="s">
        <v>13</v>
      </c>
      <c r="N127" t="s">
        <v>94</v>
      </c>
      <c r="O127" t="str">
        <f>IFERROR("IN" &amp; _xlfn.TEXTBEFORE(_xlfn.TEXTAFTER(UPPER(tblShipments2[[#This Row],[Gateway_clean]]),"IN")," ",1),"")</f>
        <v>INMUN1</v>
      </c>
      <c r="P127" t="str">
        <f>SUBSTITUTE(tblShipments2[[#This Row],[Gateway]], CHAR(10), " ")</f>
        <v xml:space="preserve">AWB No. Gateway Port Gateway EGM No. Gateway EGM Date Gateway Site ID Error Code N.A.  INMUN1  134637  2017-09-06 00:00:00.0  INMUN1  S </v>
      </c>
      <c r="Q127" t="s">
        <v>95</v>
      </c>
    </row>
    <row r="128" spans="1:17" x14ac:dyDescent="0.35">
      <c r="A128" t="s">
        <v>8</v>
      </c>
      <c r="B128">
        <v>7718281</v>
      </c>
      <c r="C128" s="2" t="s">
        <v>87</v>
      </c>
      <c r="D128" s="2" t="str">
        <f>LEFT(TRIM(MID(SUBSTITUTE(tblShipments2[[#This Row],[Details]],CHAR(10)," "), FIND(CHAR(10),tblShipments2[[#This Row],[Details]])+1, 50)), 10)</f>
        <v>0588055964</v>
      </c>
      <c r="E128" t="s">
        <v>96</v>
      </c>
      <c r="F12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8" t="str">
        <f>IF(tblShipments2[[#This Row],[EGM no]]="", "Missing EGM", "EGM Submitted")</f>
        <v>EGM Submitted</v>
      </c>
      <c r="H128" t="str">
        <f>IF(OR(ISNUMBER(SEARCH("Released",tblShipments2[[#This Row],[ROSL]])),
      ISNUMBER(SEARCH("Scroll",tblShipments2[[#This Row],[ROSL]])),
      ISNUMBER(SEARCH("Y",tblShipments2[[#This Row],[ROSL]]))),
   "Released",
   "Not Released")</f>
        <v>Released</v>
      </c>
      <c r="I128" t="str">
        <f>IF(OR(tblShipments2[[#This Row],[EGM no]]="", tblShipments2[[#This Row],[EGM no]]="N.A."), "Not Submitted", "Submitted")</f>
        <v>Submitted</v>
      </c>
      <c r="J128" t="str">
        <f>IF(LEFT(tblShipments2[[#This Row],[Gateway_Extracted]],2)="IN","Valid","Invalid")</f>
        <v>Valid</v>
      </c>
      <c r="K128" t="s">
        <v>97</v>
      </c>
      <c r="L128" t="s">
        <v>98</v>
      </c>
      <c r="M128" t="s">
        <v>13</v>
      </c>
      <c r="N128" t="s">
        <v>99</v>
      </c>
      <c r="O128" t="str">
        <f>IFERROR("IN" &amp; _xlfn.TEXTBEFORE(_xlfn.TEXTAFTER(UPPER(tblShipments2[[#This Row],[Gateway_clean]]),"IN")," ",1),"")</f>
        <v>INNSA1</v>
      </c>
      <c r="P128" t="str">
        <f>SUBSTITUTE(tblShipments2[[#This Row],[Gateway]], CHAR(10), " ")</f>
        <v xml:space="preserve">AWB No. Gateway Port Gateway EGM No. Gateway EGM Date Gateway Site ID Error Code N.A.  INNSA1  133033  2017-08-10 00:00:00.0  INNSA1  C </v>
      </c>
      <c r="Q128" t="s">
        <v>100</v>
      </c>
    </row>
    <row r="129" spans="1:17" x14ac:dyDescent="0.35">
      <c r="A129" t="s">
        <v>8</v>
      </c>
      <c r="B129">
        <v>7721241</v>
      </c>
      <c r="C129" s="2" t="s">
        <v>87</v>
      </c>
      <c r="D129" s="2" t="str">
        <f>LEFT(TRIM(MID(SUBSTITUTE(tblShipments2[[#This Row],[Details]],CHAR(10)," "), FIND(CHAR(10),tblShipments2[[#This Row],[Details]])+1, 50)), 10)</f>
        <v>3306001678</v>
      </c>
      <c r="E129" t="s">
        <v>101</v>
      </c>
      <c r="F12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29" t="str">
        <f>IF(tblShipments2[[#This Row],[EGM no]]="", "Missing EGM", "EGM Submitted")</f>
        <v>EGM Submitted</v>
      </c>
      <c r="H129" t="str">
        <f>IF(OR(ISNUMBER(SEARCH("Released",tblShipments2[[#This Row],[ROSL]])),
      ISNUMBER(SEARCH("Scroll",tblShipments2[[#This Row],[ROSL]])),
      ISNUMBER(SEARCH("Y",tblShipments2[[#This Row],[ROSL]]))),
   "Released",
   "Not Released")</f>
        <v>Released</v>
      </c>
      <c r="I129" t="str">
        <f>IF(OR(tblShipments2[[#This Row],[EGM no]]="", tblShipments2[[#This Row],[EGM no]]="N.A."), "Not Submitted", "Submitted")</f>
        <v>Submitted</v>
      </c>
      <c r="J129" t="str">
        <f>IF(LEFT(tblShipments2[[#This Row],[Gateway_Extracted]],2)="IN","Valid","Invalid")</f>
        <v>Invalid</v>
      </c>
      <c r="K129" t="s">
        <v>102</v>
      </c>
      <c r="L129" t="s">
        <v>103</v>
      </c>
      <c r="M129" t="s">
        <v>13</v>
      </c>
      <c r="N129" t="s">
        <v>104</v>
      </c>
      <c r="O129" t="str">
        <f>IFERROR("IN" &amp; _xlfn.TEXTBEFORE(_xlfn.TEXTAFTER(UPPER(tblShipments2[[#This Row],[Gateway_clean]]),"IN")," ",1),"")</f>
        <v/>
      </c>
      <c r="P129" t="str">
        <f>SUBSTITUTE(tblShipments2[[#This Row],[Gateway]], CHAR(10), " ")</f>
        <v>Please Wait....</v>
      </c>
      <c r="Q129" t="s">
        <v>105</v>
      </c>
    </row>
    <row r="130" spans="1:17" x14ac:dyDescent="0.35">
      <c r="A130" t="s">
        <v>8</v>
      </c>
      <c r="B130">
        <v>7742310</v>
      </c>
      <c r="C130" s="2" t="s">
        <v>106</v>
      </c>
      <c r="D130" s="2" t="str">
        <f>LEFT(TRIM(MID(SUBSTITUTE(tblShipments2[[#This Row],[Details]],CHAR(10)," "), FIND(CHAR(10),tblShipments2[[#This Row],[Details]])+1, 50)), 10)</f>
        <v>0517528762</v>
      </c>
      <c r="E130" t="s">
        <v>107</v>
      </c>
      <c r="F13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0" t="str">
        <f>IF(tblShipments2[[#This Row],[EGM no]]="", "Missing EGM", "EGM Submitted")</f>
        <v>EGM Submitted</v>
      </c>
      <c r="H130" t="str">
        <f>IF(OR(ISNUMBER(SEARCH("Released",tblShipments2[[#This Row],[ROSL]])),
      ISNUMBER(SEARCH("Scroll",tblShipments2[[#This Row],[ROSL]])),
      ISNUMBER(SEARCH("Y",tblShipments2[[#This Row],[ROSL]]))),
   "Released",
   "Not Released")</f>
        <v>Released</v>
      </c>
      <c r="I130" t="str">
        <f>IF(OR(tblShipments2[[#This Row],[EGM no]]="", tblShipments2[[#This Row],[EGM no]]="N.A."), "Not Submitted", "Submitted")</f>
        <v>Submitted</v>
      </c>
      <c r="J130" t="str">
        <f>IF(LEFT(tblShipments2[[#This Row],[Gateway_Extracted]],2)="IN","Valid","Invalid")</f>
        <v>Valid</v>
      </c>
      <c r="K130" t="s">
        <v>108</v>
      </c>
      <c r="L130" t="s">
        <v>109</v>
      </c>
      <c r="M130" t="s">
        <v>110</v>
      </c>
      <c r="N130" t="s">
        <v>111</v>
      </c>
      <c r="O130" t="str">
        <f>IFERROR("IN" &amp; _xlfn.TEXTBEFORE(_xlfn.TEXTAFTER(UPPER(tblShipments2[[#This Row],[Gateway_clean]]),"IN")," ",1),"")</f>
        <v>INNSA1</v>
      </c>
      <c r="P130" t="str">
        <f>SUBSTITUTE(tblShipments2[[#This Row],[Gateway]], CHAR(10), " ")</f>
        <v xml:space="preserve">AWB No. Gateway Port Gateway EGM No. Gateway EGM Date Gateway Site ID Error Code N.A.  INNSA1  169501  2019-03-29 00:00:00.0  INNSA1  S </v>
      </c>
      <c r="Q130" t="s">
        <v>112</v>
      </c>
    </row>
    <row r="131" spans="1:17" x14ac:dyDescent="0.35">
      <c r="A131" t="s">
        <v>8</v>
      </c>
      <c r="B131">
        <v>7747150</v>
      </c>
      <c r="C131" s="2" t="s">
        <v>106</v>
      </c>
      <c r="D131" s="2" t="str">
        <f>LEFT(TRIM(MID(SUBSTITUTE(tblShipments2[[#This Row],[Details]],CHAR(10)," "), FIND(CHAR(10),tblShipments2[[#This Row],[Details]])+1, 50)), 10)</f>
        <v>0509037844</v>
      </c>
      <c r="E131" t="s">
        <v>113</v>
      </c>
      <c r="F13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1" t="str">
        <f>IF(tblShipments2[[#This Row],[EGM no]]="", "Missing EGM", "EGM Submitted")</f>
        <v>EGM Submitted</v>
      </c>
      <c r="H131" t="str">
        <f>IF(OR(ISNUMBER(SEARCH("Released",tblShipments2[[#This Row],[ROSL]])),
      ISNUMBER(SEARCH("Scroll",tblShipments2[[#This Row],[ROSL]])),
      ISNUMBER(SEARCH("Y",tblShipments2[[#This Row],[ROSL]]))),
   "Released",
   "Not Released")</f>
        <v>Released</v>
      </c>
      <c r="I131" t="str">
        <f>IF(OR(tblShipments2[[#This Row],[EGM no]]="", tblShipments2[[#This Row],[EGM no]]="N.A."), "Not Submitted", "Submitted")</f>
        <v>Submitted</v>
      </c>
      <c r="J131" t="str">
        <f>IF(LEFT(tblShipments2[[#This Row],[Gateway_Extracted]],2)="IN","Valid","Invalid")</f>
        <v>Valid</v>
      </c>
      <c r="K131" t="s">
        <v>89</v>
      </c>
      <c r="L131" t="s">
        <v>114</v>
      </c>
      <c r="M131" t="s">
        <v>13</v>
      </c>
      <c r="N131" t="s">
        <v>115</v>
      </c>
      <c r="O131" t="str">
        <f>IFERROR("IN" &amp; _xlfn.TEXTBEFORE(_xlfn.TEXTAFTER(UPPER(tblShipments2[[#This Row],[Gateway_clean]]),"IN")," ",1),"")</f>
        <v>INNSA1</v>
      </c>
      <c r="P131" t="str">
        <f>SUBSTITUTE(tblShipments2[[#This Row],[Gateway]], CHAR(10), " ")</f>
        <v xml:space="preserve">AWB No. Gateway Port Gateway EGM No. Gateway EGM Date Gateway Site ID Error Code N.A.  INNSA1  132812  2017-08-07 00:00:00.0  INNSA1  C </v>
      </c>
      <c r="Q131" t="s">
        <v>116</v>
      </c>
    </row>
    <row r="132" spans="1:17" x14ac:dyDescent="0.35">
      <c r="A132" t="s">
        <v>8</v>
      </c>
      <c r="B132">
        <v>7751210</v>
      </c>
      <c r="C132" s="2" t="s">
        <v>106</v>
      </c>
      <c r="D132" s="2" t="str">
        <f>LEFT(TRIM(MID(SUBSTITUTE(tblShipments2[[#This Row],[Details]],CHAR(10)," "), FIND(CHAR(10),tblShipments2[[#This Row],[Details]])+1, 50)), 10)</f>
        <v>0596061315</v>
      </c>
      <c r="E132" t="s">
        <v>117</v>
      </c>
      <c r="F13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2" t="str">
        <f>IF(tblShipments2[[#This Row],[EGM no]]="", "Missing EGM", "EGM Submitted")</f>
        <v>EGM Submitted</v>
      </c>
      <c r="H132" t="str">
        <f>IF(OR(ISNUMBER(SEARCH("Released",tblShipments2[[#This Row],[ROSL]])),
      ISNUMBER(SEARCH("Scroll",tblShipments2[[#This Row],[ROSL]])),
      ISNUMBER(SEARCH("Y",tblShipments2[[#This Row],[ROSL]]))),
   "Released",
   "Not Released")</f>
        <v>Released</v>
      </c>
      <c r="I132" t="str">
        <f>IF(OR(tblShipments2[[#This Row],[EGM no]]="", tblShipments2[[#This Row],[EGM no]]="N.A."), "Not Submitted", "Submitted")</f>
        <v>Submitted</v>
      </c>
      <c r="J132" t="str">
        <f>IF(LEFT(tblShipments2[[#This Row],[Gateway_Extracted]],2)="IN","Valid","Invalid")</f>
        <v>Valid</v>
      </c>
      <c r="K132" t="s">
        <v>83</v>
      </c>
      <c r="L132" t="s">
        <v>118</v>
      </c>
      <c r="M132" t="s">
        <v>13</v>
      </c>
      <c r="N132" t="s">
        <v>119</v>
      </c>
      <c r="O132" t="str">
        <f>IFERROR("IN" &amp; _xlfn.TEXTBEFORE(_xlfn.TEXTAFTER(UPPER(tblShipments2[[#This Row],[Gateway_clean]]),"IN")," ",1),"")</f>
        <v>INNSA1</v>
      </c>
      <c r="P132" t="str">
        <f>SUBSTITUTE(tblShipments2[[#This Row],[Gateway]], CHAR(10), " ")</f>
        <v xml:space="preserve">AWB No. Gateway Port Gateway EGM No. Gateway EGM Date Gateway Site ID Error Code N.A.  INNSA1  N.A.  N.A.  N.A.  N.A. </v>
      </c>
      <c r="Q132" t="s">
        <v>26</v>
      </c>
    </row>
    <row r="133" spans="1:17" x14ac:dyDescent="0.35">
      <c r="A133" t="s">
        <v>8</v>
      </c>
      <c r="B133">
        <v>7759192</v>
      </c>
      <c r="C133" s="2" t="s">
        <v>120</v>
      </c>
      <c r="D133" s="2" t="str">
        <f>LEFT(TRIM(MID(SUBSTITUTE(tblShipments2[[#This Row],[Details]],CHAR(10)," "), FIND(CHAR(10),tblShipments2[[#This Row],[Details]])+1, 50)), 10)</f>
        <v>0598005498</v>
      </c>
      <c r="E133" t="s">
        <v>121</v>
      </c>
      <c r="F13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3" t="str">
        <f>IF(tblShipments2[[#This Row],[EGM no]]="", "Missing EGM", "EGM Submitted")</f>
        <v>EGM Submitted</v>
      </c>
      <c r="H133" t="str">
        <f>IF(OR(ISNUMBER(SEARCH("Released",tblShipments2[[#This Row],[ROSL]])),
      ISNUMBER(SEARCH("Scroll",tblShipments2[[#This Row],[ROSL]])),
      ISNUMBER(SEARCH("Y",tblShipments2[[#This Row],[ROSL]]))),
   "Released",
   "Not Released")</f>
        <v>Released</v>
      </c>
      <c r="I133" t="str">
        <f>IF(OR(tblShipments2[[#This Row],[EGM no]]="", tblShipments2[[#This Row],[EGM no]]="N.A."), "Not Submitted", "Submitted")</f>
        <v>Submitted</v>
      </c>
      <c r="J133" t="str">
        <f>IF(LEFT(tblShipments2[[#This Row],[Gateway_Extracted]],2)="IN","Valid","Invalid")</f>
        <v>Valid</v>
      </c>
      <c r="K133" t="s">
        <v>122</v>
      </c>
      <c r="L133" t="s">
        <v>123</v>
      </c>
      <c r="M133" t="s">
        <v>13</v>
      </c>
      <c r="N133" t="s">
        <v>124</v>
      </c>
      <c r="O133" t="str">
        <f>IFERROR("IN" &amp; _xlfn.TEXTBEFORE(_xlfn.TEXTAFTER(UPPER(tblShipments2[[#This Row],[Gateway_clean]]),"IN")," ",1),"")</f>
        <v>INPAV1</v>
      </c>
      <c r="P133" t="str">
        <f>SUBSTITUTE(tblShipments2[[#This Row],[Gateway]], CHAR(10), " ")</f>
        <v xml:space="preserve">AWB No. Gateway Port Gateway EGM No. Gateway EGM Date Gateway Site ID Error Code N.A.  INPAV1  132210  2017-07-26 00:00:00.0  INPAV1  S </v>
      </c>
      <c r="Q133" t="s">
        <v>125</v>
      </c>
    </row>
    <row r="134" spans="1:17" x14ac:dyDescent="0.35">
      <c r="A134" t="s">
        <v>8</v>
      </c>
      <c r="B134">
        <v>7764000</v>
      </c>
      <c r="C134" s="2" t="s">
        <v>120</v>
      </c>
      <c r="D134" s="2" t="str">
        <f>LEFT(TRIM(MID(SUBSTITUTE(tblShipments2[[#This Row],[Details]],CHAR(10)," "), FIND(CHAR(10),tblShipments2[[#This Row],[Details]])+1, 50)), 10)</f>
        <v>0596009488</v>
      </c>
      <c r="E134" t="s">
        <v>126</v>
      </c>
      <c r="F13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4" t="str">
        <f>IF(tblShipments2[[#This Row],[EGM no]]="", "Missing EGM", "EGM Submitted")</f>
        <v>EGM Submitted</v>
      </c>
      <c r="H134" t="str">
        <f>IF(OR(ISNUMBER(SEARCH("Released",tblShipments2[[#This Row],[ROSL]])),
      ISNUMBER(SEARCH("Scroll",tblShipments2[[#This Row],[ROSL]])),
      ISNUMBER(SEARCH("Y",tblShipments2[[#This Row],[ROSL]]))),
   "Released",
   "Not Released")</f>
        <v>Released</v>
      </c>
      <c r="I134" t="str">
        <f>IF(OR(tblShipments2[[#This Row],[EGM no]]="", tblShipments2[[#This Row],[EGM no]]="N.A."), "Not Submitted", "Submitted")</f>
        <v>Submitted</v>
      </c>
      <c r="J134" t="str">
        <f>IF(LEFT(tblShipments2[[#This Row],[Gateway_Extracted]],2)="IN","Valid","Invalid")</f>
        <v>Valid</v>
      </c>
      <c r="K134" t="s">
        <v>108</v>
      </c>
      <c r="L134" t="s">
        <v>127</v>
      </c>
      <c r="M134" t="s">
        <v>13</v>
      </c>
      <c r="N134" t="s">
        <v>128</v>
      </c>
      <c r="O134" t="str">
        <f>IFERROR("IN" &amp; _xlfn.TEXTBEFORE(_xlfn.TEXTAFTER(UPPER(tblShipments2[[#This Row],[Gateway_clean]]),"IN")," ",1),"")</f>
        <v>INNSA1</v>
      </c>
      <c r="P134" t="str">
        <f>SUBSTITUTE(tblShipments2[[#This Row],[Gateway]], CHAR(10), " ")</f>
        <v xml:space="preserve">AWB No. Gateway Port Gateway EGM No. Gateway EGM Date Gateway Site ID Error Code N.A.  INNSA1  132737  2017-08-04 00:00:00.0  INNSA1  S </v>
      </c>
      <c r="Q134" t="s">
        <v>129</v>
      </c>
    </row>
    <row r="135" spans="1:17" x14ac:dyDescent="0.35">
      <c r="A135" t="s">
        <v>8</v>
      </c>
      <c r="B135">
        <v>7764312</v>
      </c>
      <c r="C135" s="2" t="s">
        <v>120</v>
      </c>
      <c r="D135" s="2" t="str">
        <f>LEFT(TRIM(MID(SUBSTITUTE(tblShipments2[[#This Row],[Details]],CHAR(10)," "), FIND(CHAR(10),tblShipments2[[#This Row],[Details]])+1, 50)), 10)</f>
        <v>0596009488</v>
      </c>
      <c r="E135" t="s">
        <v>130</v>
      </c>
      <c r="F13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5" t="str">
        <f>IF(tblShipments2[[#This Row],[EGM no]]="", "Missing EGM", "EGM Submitted")</f>
        <v>EGM Submitted</v>
      </c>
      <c r="H135" t="str">
        <f>IF(OR(ISNUMBER(SEARCH("Released",tblShipments2[[#This Row],[ROSL]])),
      ISNUMBER(SEARCH("Scroll",tblShipments2[[#This Row],[ROSL]])),
      ISNUMBER(SEARCH("Y",tblShipments2[[#This Row],[ROSL]]))),
   "Released",
   "Not Released")</f>
        <v>Released</v>
      </c>
      <c r="I135" t="str">
        <f>IF(OR(tblShipments2[[#This Row],[EGM no]]="", tblShipments2[[#This Row],[EGM no]]="N.A."), "Not Submitted", "Submitted")</f>
        <v>Submitted</v>
      </c>
      <c r="J135" t="str">
        <f>IF(LEFT(tblShipments2[[#This Row],[Gateway_Extracted]],2)="IN","Valid","Invalid")</f>
        <v>Valid</v>
      </c>
      <c r="K135" t="s">
        <v>131</v>
      </c>
      <c r="L135" t="s">
        <v>132</v>
      </c>
      <c r="M135" t="s">
        <v>13</v>
      </c>
      <c r="N135" t="s">
        <v>133</v>
      </c>
      <c r="O135" t="str">
        <f>IFERROR("IN" &amp; _xlfn.TEXTBEFORE(_xlfn.TEXTAFTER(UPPER(tblShipments2[[#This Row],[Gateway_clean]]),"IN")," ",1),"")</f>
        <v>INNSA1</v>
      </c>
      <c r="P135" t="str">
        <f>SUBSTITUTE(tblShipments2[[#This Row],[Gateway]], CHAR(10), " ")</f>
        <v xml:space="preserve">AWB No. Gateway Port Gateway EGM No. Gateway EGM Date Gateway Site ID Error Code N.A.  INNSA1  132731  2017-08-04 00:00:00.0  INNSA1  S </v>
      </c>
      <c r="Q135" t="s">
        <v>134</v>
      </c>
    </row>
    <row r="136" spans="1:17" x14ac:dyDescent="0.35">
      <c r="A136" t="s">
        <v>8</v>
      </c>
      <c r="B136">
        <v>7772989</v>
      </c>
      <c r="C136" s="2" t="s">
        <v>120</v>
      </c>
      <c r="D136" s="2" t="str">
        <f>LEFT(TRIM(MID(SUBSTITUTE(tblShipments2[[#This Row],[Details]],CHAR(10)," "), FIND(CHAR(10),tblShipments2[[#This Row],[Details]])+1, 50)), 10)</f>
        <v>0609003542</v>
      </c>
      <c r="E136" t="s">
        <v>135</v>
      </c>
      <c r="F13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6" t="str">
        <f>IF(tblShipments2[[#This Row],[EGM no]]="", "Missing EGM", "EGM Submitted")</f>
        <v>EGM Submitted</v>
      </c>
      <c r="H136" t="str">
        <f>IF(OR(ISNUMBER(SEARCH("Released",tblShipments2[[#This Row],[ROSL]])),
      ISNUMBER(SEARCH("Scroll",tblShipments2[[#This Row],[ROSL]])),
      ISNUMBER(SEARCH("Y",tblShipments2[[#This Row],[ROSL]]))),
   "Released",
   "Not Released")</f>
        <v>Released</v>
      </c>
      <c r="I136" t="str">
        <f>IF(OR(tblShipments2[[#This Row],[EGM no]]="", tblShipments2[[#This Row],[EGM no]]="N.A."), "Not Submitted", "Submitted")</f>
        <v>Submitted</v>
      </c>
      <c r="J136" t="str">
        <f>IF(LEFT(tblShipments2[[#This Row],[Gateway_Extracted]],2)="IN","Valid","Invalid")</f>
        <v>Valid</v>
      </c>
      <c r="K136" t="s">
        <v>136</v>
      </c>
      <c r="L136" t="s">
        <v>137</v>
      </c>
      <c r="M136" t="s">
        <v>13</v>
      </c>
      <c r="N136" t="s">
        <v>138</v>
      </c>
      <c r="O136" t="str">
        <f>IFERROR("IN" &amp; _xlfn.TEXTBEFORE(_xlfn.TEXTAFTER(UPPER(tblShipments2[[#This Row],[Gateway_clean]]),"IN")," ",1),"")</f>
        <v>INNSA1</v>
      </c>
      <c r="P136" t="str">
        <f>SUBSTITUTE(tblShipments2[[#This Row],[Gateway]], CHAR(10), " ")</f>
        <v xml:space="preserve">AWB No. Gateway Port Gateway EGM No. Gateway EGM Date Gateway Site ID Error Code N.A.  INNSA1  133243  2017-08-14 00:00:00.0  INNSA1  C </v>
      </c>
      <c r="Q136" t="s">
        <v>139</v>
      </c>
    </row>
    <row r="137" spans="1:17" x14ac:dyDescent="0.35">
      <c r="A137" t="s">
        <v>8</v>
      </c>
      <c r="B137">
        <v>7774110</v>
      </c>
      <c r="C137" s="2" t="s">
        <v>120</v>
      </c>
      <c r="D137" s="2" t="str">
        <f>LEFT(TRIM(MID(SUBSTITUTE(tblShipments2[[#This Row],[Details]],CHAR(10)," "), FIND(CHAR(10),tblShipments2[[#This Row],[Details]])+1, 50)), 10)</f>
        <v>0510011683</v>
      </c>
      <c r="E137" t="s">
        <v>140</v>
      </c>
      <c r="F13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7" t="str">
        <f>IF(tblShipments2[[#This Row],[EGM no]]="", "Missing EGM", "EGM Submitted")</f>
        <v>EGM Submitted</v>
      </c>
      <c r="H137" t="str">
        <f>IF(OR(ISNUMBER(SEARCH("Released",tblShipments2[[#This Row],[ROSL]])),
      ISNUMBER(SEARCH("Scroll",tblShipments2[[#This Row],[ROSL]])),
      ISNUMBER(SEARCH("Y",tblShipments2[[#This Row],[ROSL]]))),
   "Released",
   "Not Released")</f>
        <v>Released</v>
      </c>
      <c r="I137" t="str">
        <f>IF(OR(tblShipments2[[#This Row],[EGM no]]="", tblShipments2[[#This Row],[EGM no]]="N.A."), "Not Submitted", "Submitted")</f>
        <v>Submitted</v>
      </c>
      <c r="J137" t="str">
        <f>IF(LEFT(tblShipments2[[#This Row],[Gateway_Extracted]],2)="IN","Valid","Invalid")</f>
        <v>Valid</v>
      </c>
      <c r="K137" t="s">
        <v>141</v>
      </c>
      <c r="L137" t="s">
        <v>142</v>
      </c>
      <c r="M137" t="s">
        <v>31</v>
      </c>
      <c r="N137" t="s">
        <v>143</v>
      </c>
      <c r="O137" t="str">
        <f>IFERROR("IN" &amp; _xlfn.TEXTBEFORE(_xlfn.TEXTAFTER(UPPER(tblShipments2[[#This Row],[Gateway_clean]]),"IN")," ",1),"")</f>
        <v>INMUN1</v>
      </c>
      <c r="P137" t="str">
        <f>SUBSTITUTE(tblShipments2[[#This Row],[Gateway]], CHAR(10), " ")</f>
        <v xml:space="preserve">AWB No. Gateway Port Gateway EGM No. Gateway EGM Date Gateway Site ID Error Code N.A.  INMUN1  134015  2017-08-28 00:00:00.0  INMUN1  S </v>
      </c>
      <c r="Q137" t="s">
        <v>144</v>
      </c>
    </row>
    <row r="138" spans="1:17" x14ac:dyDescent="0.35">
      <c r="A138" t="s">
        <v>8</v>
      </c>
      <c r="B138">
        <v>7778178</v>
      </c>
      <c r="C138" s="2" t="s">
        <v>120</v>
      </c>
      <c r="D138" s="2" t="str">
        <f>LEFT(TRIM(MID(SUBSTITUTE(tblShipments2[[#This Row],[Details]],CHAR(10)," "), FIND(CHAR(10),tblShipments2[[#This Row],[Details]])+1, 50)), 10)</f>
        <v>0510056601</v>
      </c>
      <c r="E138" t="s">
        <v>145</v>
      </c>
      <c r="F13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8" t="str">
        <f>IF(tblShipments2[[#This Row],[EGM no]]="", "Missing EGM", "EGM Submitted")</f>
        <v>EGM Submitted</v>
      </c>
      <c r="H138" t="str">
        <f>IF(OR(ISNUMBER(SEARCH("Released",tblShipments2[[#This Row],[ROSL]])),
      ISNUMBER(SEARCH("Scroll",tblShipments2[[#This Row],[ROSL]])),
      ISNUMBER(SEARCH("Y",tblShipments2[[#This Row],[ROSL]]))),
   "Released",
   "Not Released")</f>
        <v>Released</v>
      </c>
      <c r="I138" t="str">
        <f>IF(OR(tblShipments2[[#This Row],[EGM no]]="", tblShipments2[[#This Row],[EGM no]]="N.A."), "Not Submitted", "Submitted")</f>
        <v>Submitted</v>
      </c>
      <c r="J138" t="str">
        <f>IF(LEFT(tblShipments2[[#This Row],[Gateway_Extracted]],2)="IN","Valid","Invalid")</f>
        <v>Valid</v>
      </c>
      <c r="K138" t="s">
        <v>83</v>
      </c>
      <c r="L138" t="s">
        <v>146</v>
      </c>
      <c r="M138" t="s">
        <v>13</v>
      </c>
      <c r="N138" t="s">
        <v>147</v>
      </c>
      <c r="O138" t="str">
        <f>IFERROR("IN" &amp; _xlfn.TEXTBEFORE(_xlfn.TEXTAFTER(UPPER(tblShipments2[[#This Row],[Gateway_clean]]),"IN")," ",1),"")</f>
        <v>INNSA1</v>
      </c>
      <c r="P138" t="str">
        <f>SUBSTITUTE(tblShipments2[[#This Row],[Gateway]], CHAR(10), " ")</f>
        <v xml:space="preserve">AWB No. Gateway Port Gateway EGM No. Gateway EGM Date Gateway Site ID Error Code N.A.  INNSA1  N.A.  N.A.  N.A.  N.A. </v>
      </c>
      <c r="Q138" t="s">
        <v>26</v>
      </c>
    </row>
    <row r="139" spans="1:17" x14ac:dyDescent="0.35">
      <c r="A139" t="s">
        <v>8</v>
      </c>
      <c r="B139">
        <v>7782282</v>
      </c>
      <c r="C139" s="2" t="s">
        <v>120</v>
      </c>
      <c r="D139" s="2" t="str">
        <f>LEFT(TRIM(MID(SUBSTITUTE(tblShipments2[[#This Row],[Details]],CHAR(10)," "), FIND(CHAR(10),tblShipments2[[#This Row],[Details]])+1, 50)), 10)</f>
        <v>0502021373</v>
      </c>
      <c r="E139" t="s">
        <v>148</v>
      </c>
      <c r="F13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39" t="str">
        <f>IF(tblShipments2[[#This Row],[EGM no]]="", "Missing EGM", "EGM Submitted")</f>
        <v>EGM Submitted</v>
      </c>
      <c r="H139" t="str">
        <f>IF(OR(ISNUMBER(SEARCH("Released",tblShipments2[[#This Row],[ROSL]])),
      ISNUMBER(SEARCH("Scroll",tblShipments2[[#This Row],[ROSL]])),
      ISNUMBER(SEARCH("Y",tblShipments2[[#This Row],[ROSL]]))),
   "Released",
   "Not Released")</f>
        <v>Released</v>
      </c>
      <c r="I139" t="str">
        <f>IF(OR(tblShipments2[[#This Row],[EGM no]]="", tblShipments2[[#This Row],[EGM no]]="N.A."), "Not Submitted", "Submitted")</f>
        <v>Submitted</v>
      </c>
      <c r="J139" t="str">
        <f>IF(LEFT(tblShipments2[[#This Row],[Gateway_Extracted]],2)="IN","Valid","Invalid")</f>
        <v>Valid</v>
      </c>
      <c r="K139" t="s">
        <v>149</v>
      </c>
      <c r="L139" t="s">
        <v>150</v>
      </c>
      <c r="M139" t="s">
        <v>13</v>
      </c>
      <c r="N139" t="s">
        <v>151</v>
      </c>
      <c r="O139" t="str">
        <f>IFERROR("IN" &amp; _xlfn.TEXTBEFORE(_xlfn.TEXTAFTER(UPPER(tblShipments2[[#This Row],[Gateway_clean]]),"IN")," ",1),"")</f>
        <v>INNSA1</v>
      </c>
      <c r="P139" t="str">
        <f>SUBSTITUTE(tblShipments2[[#This Row],[Gateway]], CHAR(10), " ")</f>
        <v xml:space="preserve">AWB No. Gateway Port Gateway EGM No. Gateway EGM Date Gateway Site ID Error Code N.A.  INNSA1  132481  2017-07-31 00:00:00.0  INNSA1  C </v>
      </c>
      <c r="Q139" t="s">
        <v>152</v>
      </c>
    </row>
    <row r="140" spans="1:17" x14ac:dyDescent="0.35">
      <c r="A140" t="s">
        <v>8</v>
      </c>
      <c r="B140">
        <v>7791798</v>
      </c>
      <c r="C140" s="2" t="s">
        <v>153</v>
      </c>
      <c r="D140" s="2" t="str">
        <f>LEFT(TRIM(MID(SUBSTITUTE(tblShipments2[[#This Row],[Details]],CHAR(10)," "), FIND(CHAR(10),tblShipments2[[#This Row],[Details]])+1, 50)), 10)</f>
        <v>0507051360</v>
      </c>
      <c r="E140" t="s">
        <v>154</v>
      </c>
      <c r="F14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0" t="str">
        <f>IF(tblShipments2[[#This Row],[EGM no]]="", "Missing EGM", "EGM Submitted")</f>
        <v>EGM Submitted</v>
      </c>
      <c r="H140" t="str">
        <f>IF(OR(ISNUMBER(SEARCH("Released",tblShipments2[[#This Row],[ROSL]])),
      ISNUMBER(SEARCH("Scroll",tblShipments2[[#This Row],[ROSL]])),
      ISNUMBER(SEARCH("Y",tblShipments2[[#This Row],[ROSL]]))),
   "Released",
   "Not Released")</f>
        <v>Released</v>
      </c>
      <c r="I140" t="str">
        <f>IF(OR(tblShipments2[[#This Row],[EGM no]]="", tblShipments2[[#This Row],[EGM no]]="N.A."), "Not Submitted", "Submitted")</f>
        <v>Submitted</v>
      </c>
      <c r="J140" t="str">
        <f>IF(LEFT(tblShipments2[[#This Row],[Gateway_Extracted]],2)="IN","Valid","Invalid")</f>
        <v>Valid</v>
      </c>
      <c r="K140" t="s">
        <v>149</v>
      </c>
      <c r="L140" t="s">
        <v>155</v>
      </c>
      <c r="M140" t="s">
        <v>13</v>
      </c>
      <c r="N140" t="s">
        <v>156</v>
      </c>
      <c r="O140" t="str">
        <f>IFERROR("IN" &amp; _xlfn.TEXTBEFORE(_xlfn.TEXTAFTER(UPPER(tblShipments2[[#This Row],[Gateway_clean]]),"IN")," ",1),"")</f>
        <v>INNSA1</v>
      </c>
      <c r="P140" t="str">
        <f>SUBSTITUTE(tblShipments2[[#This Row],[Gateway]], CHAR(10), " ")</f>
        <v xml:space="preserve">AWB No. Gateway Port Gateway EGM No. Gateway EGM Date Gateway Site ID Error Code N.A.  INNSA1  133033  2017-08-10 00:00:00.0  INNSA1  S </v>
      </c>
      <c r="Q140" t="s">
        <v>157</v>
      </c>
    </row>
    <row r="141" spans="1:17" x14ac:dyDescent="0.35">
      <c r="A141" t="s">
        <v>8</v>
      </c>
      <c r="B141">
        <v>7794172</v>
      </c>
      <c r="C141" s="2" t="s">
        <v>153</v>
      </c>
      <c r="D141" s="2" t="str">
        <f>LEFT(TRIM(MID(SUBSTITUTE(tblShipments2[[#This Row],[Details]],CHAR(10)," "), FIND(CHAR(10),tblShipments2[[#This Row],[Details]])+1, 50)), 10)</f>
        <v>0515042064</v>
      </c>
      <c r="E141" t="s">
        <v>158</v>
      </c>
      <c r="F14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1" t="str">
        <f>IF(tblShipments2[[#This Row],[EGM no]]="", "Missing EGM", "EGM Submitted")</f>
        <v>EGM Submitted</v>
      </c>
      <c r="H141" t="str">
        <f>IF(OR(ISNUMBER(SEARCH("Released",tblShipments2[[#This Row],[ROSL]])),
      ISNUMBER(SEARCH("Scroll",tblShipments2[[#This Row],[ROSL]])),
      ISNUMBER(SEARCH("Y",tblShipments2[[#This Row],[ROSL]]))),
   "Released",
   "Not Released")</f>
        <v>Released</v>
      </c>
      <c r="I141" t="str">
        <f>IF(OR(tblShipments2[[#This Row],[EGM no]]="", tblShipments2[[#This Row],[EGM no]]="N.A."), "Not Submitted", "Submitted")</f>
        <v>Submitted</v>
      </c>
      <c r="J141" t="str">
        <f>IF(LEFT(tblShipments2[[#This Row],[Gateway_Extracted]],2)="IN","Valid","Invalid")</f>
        <v>Valid</v>
      </c>
      <c r="K141" t="s">
        <v>159</v>
      </c>
      <c r="L141" t="s">
        <v>160</v>
      </c>
      <c r="M141" t="s">
        <v>13</v>
      </c>
      <c r="N141" t="s">
        <v>161</v>
      </c>
      <c r="O141" t="str">
        <f>IFERROR("IN" &amp; _xlfn.TEXTBEFORE(_xlfn.TEXTAFTER(UPPER(tblShipments2[[#This Row],[Gateway_clean]]),"IN")," ",1),"")</f>
        <v>INNSA1</v>
      </c>
      <c r="P141" t="str">
        <f>SUBSTITUTE(tblShipments2[[#This Row],[Gateway]], CHAR(10), " ")</f>
        <v xml:space="preserve">AWB No. Gateway Port Gateway EGM No. Gateway EGM Date Gateway Site ID Error Code N.A.  INNSA1  132991  2017-08-09 00:00:00.0  INNSA1  S </v>
      </c>
      <c r="Q141" t="s">
        <v>162</v>
      </c>
    </row>
    <row r="142" spans="1:17" x14ac:dyDescent="0.35">
      <c r="A142" t="s">
        <v>8</v>
      </c>
      <c r="B142">
        <v>7795473</v>
      </c>
      <c r="C142" s="2" t="s">
        <v>153</v>
      </c>
      <c r="D142" s="2" t="str">
        <f>LEFT(TRIM(MID(SUBSTITUTE(tblShipments2[[#This Row],[Details]],CHAR(10)," "), FIND(CHAR(10),tblShipments2[[#This Row],[Details]])+1, 50)), 10)</f>
        <v>0592023052</v>
      </c>
      <c r="E142" t="s">
        <v>163</v>
      </c>
      <c r="F14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2" t="str">
        <f>IF(tblShipments2[[#This Row],[EGM no]]="", "Missing EGM", "EGM Submitted")</f>
        <v>EGM Submitted</v>
      </c>
      <c r="H142" t="str">
        <f>IF(OR(ISNUMBER(SEARCH("Released",tblShipments2[[#This Row],[ROSL]])),
      ISNUMBER(SEARCH("Scroll",tblShipments2[[#This Row],[ROSL]])),
      ISNUMBER(SEARCH("Y",tblShipments2[[#This Row],[ROSL]]))),
   "Released",
   "Not Released")</f>
        <v>Released</v>
      </c>
      <c r="I142" t="str">
        <f>IF(OR(tblShipments2[[#This Row],[EGM no]]="", tblShipments2[[#This Row],[EGM no]]="N.A."), "Not Submitted", "Submitted")</f>
        <v>Submitted</v>
      </c>
      <c r="J142" t="str">
        <f>IF(LEFT(tblShipments2[[#This Row],[Gateway_Extracted]],2)="IN","Valid","Invalid")</f>
        <v>Valid</v>
      </c>
      <c r="K142" t="s">
        <v>164</v>
      </c>
      <c r="L142" t="s">
        <v>165</v>
      </c>
      <c r="M142" t="s">
        <v>13</v>
      </c>
      <c r="N142" t="s">
        <v>166</v>
      </c>
      <c r="O142" t="str">
        <f>IFERROR("IN" &amp; _xlfn.TEXTBEFORE(_xlfn.TEXTAFTER(UPPER(tblShipments2[[#This Row],[Gateway_clean]]),"IN")," ",1),"")</f>
        <v>INPAV1</v>
      </c>
      <c r="P142" t="str">
        <f>SUBSTITUTE(tblShipments2[[#This Row],[Gateway]], CHAR(10), " ")</f>
        <v xml:space="preserve">AWB No. Gateway Port Gateway EGM No. Gateway EGM Date Gateway Site ID Error Code N.A.  INPAV1  132205  2017-07-26 00:00:00.0  INPAV1  S </v>
      </c>
      <c r="Q142" t="s">
        <v>167</v>
      </c>
    </row>
    <row r="143" spans="1:17" x14ac:dyDescent="0.35">
      <c r="A143" t="s">
        <v>8</v>
      </c>
      <c r="B143">
        <v>7796181</v>
      </c>
      <c r="C143" s="2" t="s">
        <v>153</v>
      </c>
      <c r="D143" s="2" t="str">
        <f>LEFT(TRIM(MID(SUBSTITUTE(tblShipments2[[#This Row],[Details]],CHAR(10)," "), FIND(CHAR(10),tblShipments2[[#This Row],[Details]])+1, 50)), 10)</f>
        <v>0509007406</v>
      </c>
      <c r="E143" t="s">
        <v>168</v>
      </c>
      <c r="F14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3" t="str">
        <f>IF(tblShipments2[[#This Row],[EGM no]]="", "Missing EGM", "EGM Submitted")</f>
        <v>EGM Submitted</v>
      </c>
      <c r="H143" t="str">
        <f>IF(OR(ISNUMBER(SEARCH("Released",tblShipments2[[#This Row],[ROSL]])),
      ISNUMBER(SEARCH("Scroll",tblShipments2[[#This Row],[ROSL]])),
      ISNUMBER(SEARCH("Y",tblShipments2[[#This Row],[ROSL]]))),
   "Released",
   "Not Released")</f>
        <v>Released</v>
      </c>
      <c r="I143" t="str">
        <f>IF(OR(tblShipments2[[#This Row],[EGM no]]="", tblShipments2[[#This Row],[EGM no]]="N.A."), "Not Submitted", "Submitted")</f>
        <v>Submitted</v>
      </c>
      <c r="J143" t="str">
        <f>IF(LEFT(tblShipments2[[#This Row],[Gateway_Extracted]],2)="IN","Valid","Invalid")</f>
        <v>Valid</v>
      </c>
      <c r="K143" t="s">
        <v>169</v>
      </c>
      <c r="L143" t="s">
        <v>150</v>
      </c>
      <c r="M143" t="s">
        <v>170</v>
      </c>
      <c r="N143" t="s">
        <v>171</v>
      </c>
      <c r="O143" t="str">
        <f>IFERROR("IN" &amp; _xlfn.TEXTBEFORE(_xlfn.TEXTAFTER(UPPER(tblShipments2[[#This Row],[Gateway_clean]]),"IN")," ",1),"")</f>
        <v>INNSA1</v>
      </c>
      <c r="P143" t="str">
        <f>SUBSTITUTE(tblShipments2[[#This Row],[Gateway]], CHAR(10), " ")</f>
        <v xml:space="preserve">AWB No. Gateway Port Gateway EGM No. Gateway EGM Date Gateway Site ID Error Code N.A.  INNSA1  132812  2017-08-07 00:00:00.0  INNSA1  C </v>
      </c>
      <c r="Q143" t="s">
        <v>116</v>
      </c>
    </row>
    <row r="144" spans="1:17" x14ac:dyDescent="0.35">
      <c r="A144" t="s">
        <v>8</v>
      </c>
      <c r="B144">
        <v>7800720</v>
      </c>
      <c r="C144" s="2" t="s">
        <v>153</v>
      </c>
      <c r="D144" s="2" t="str">
        <f>LEFT(TRIM(MID(SUBSTITUTE(tblShipments2[[#This Row],[Details]],CHAR(10)," "), FIND(CHAR(10),tblShipments2[[#This Row],[Details]])+1, 50)), 10)</f>
        <v>0502037547</v>
      </c>
      <c r="E144" t="s">
        <v>172</v>
      </c>
      <c r="F14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4" t="str">
        <f>IF(tblShipments2[[#This Row],[EGM no]]="", "Missing EGM", "EGM Submitted")</f>
        <v>EGM Submitted</v>
      </c>
      <c r="H144" t="str">
        <f>IF(OR(ISNUMBER(SEARCH("Released",tblShipments2[[#This Row],[ROSL]])),
      ISNUMBER(SEARCH("Scroll",tblShipments2[[#This Row],[ROSL]])),
      ISNUMBER(SEARCH("Y",tblShipments2[[#This Row],[ROSL]]))),
   "Released",
   "Not Released")</f>
        <v>Released</v>
      </c>
      <c r="I144" t="str">
        <f>IF(OR(tblShipments2[[#This Row],[EGM no]]="", tblShipments2[[#This Row],[EGM no]]="N.A."), "Not Submitted", "Submitted")</f>
        <v>Submitted</v>
      </c>
      <c r="J144" t="str">
        <f>IF(LEFT(tblShipments2[[#This Row],[Gateway_Extracted]],2)="IN","Valid","Invalid")</f>
        <v>Valid</v>
      </c>
      <c r="K144" t="s">
        <v>169</v>
      </c>
      <c r="L144" t="s">
        <v>173</v>
      </c>
      <c r="M144" t="s">
        <v>13</v>
      </c>
      <c r="N144" t="s">
        <v>174</v>
      </c>
      <c r="O144" t="str">
        <f>IFERROR("IN" &amp; _xlfn.TEXTBEFORE(_xlfn.TEXTAFTER(UPPER(tblShipments2[[#This Row],[Gateway_clean]]),"IN")," ",1),"")</f>
        <v>INMUN1</v>
      </c>
      <c r="P144" t="str">
        <f>SUBSTITUTE(tblShipments2[[#This Row],[Gateway]], CHAR(10), " ")</f>
        <v xml:space="preserve">AWB No. Gateway Port Gateway EGM No. Gateway EGM Date Gateway Site ID Error Code N.A.  INMUN1  160432  2018-10-31 00:00:00.0  INMUN1  S </v>
      </c>
      <c r="Q144" t="s">
        <v>175</v>
      </c>
    </row>
    <row r="145" spans="1:17" x14ac:dyDescent="0.35">
      <c r="A145" t="s">
        <v>8</v>
      </c>
      <c r="B145">
        <v>7804407</v>
      </c>
      <c r="C145" s="2" t="s">
        <v>153</v>
      </c>
      <c r="D145" s="2" t="str">
        <f>LEFT(TRIM(MID(SUBSTITUTE(tblShipments2[[#This Row],[Details]],CHAR(10)," "), FIND(CHAR(10),tblShipments2[[#This Row],[Details]])+1, 50)), 10)</f>
        <v>0511034661</v>
      </c>
      <c r="E145" t="s">
        <v>176</v>
      </c>
      <c r="F14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5" t="str">
        <f>IF(tblShipments2[[#This Row],[EGM no]]="", "Missing EGM", "EGM Submitted")</f>
        <v>EGM Submitted</v>
      </c>
      <c r="H145" t="str">
        <f>IF(OR(ISNUMBER(SEARCH("Released",tblShipments2[[#This Row],[ROSL]])),
      ISNUMBER(SEARCH("Scroll",tblShipments2[[#This Row],[ROSL]])),
      ISNUMBER(SEARCH("Y",tblShipments2[[#This Row],[ROSL]]))),
   "Released",
   "Not Released")</f>
        <v>Released</v>
      </c>
      <c r="I145" t="str">
        <f>IF(OR(tblShipments2[[#This Row],[EGM no]]="", tblShipments2[[#This Row],[EGM no]]="N.A."), "Not Submitted", "Submitted")</f>
        <v>Submitted</v>
      </c>
      <c r="J145" t="str">
        <f>IF(LEFT(tblShipments2[[#This Row],[Gateway_Extracted]],2)="IN","Valid","Invalid")</f>
        <v>Valid</v>
      </c>
      <c r="K145" t="s">
        <v>177</v>
      </c>
      <c r="L145" t="s">
        <v>178</v>
      </c>
      <c r="M145" t="s">
        <v>31</v>
      </c>
      <c r="N145" t="s">
        <v>179</v>
      </c>
      <c r="O145" t="str">
        <f>IFERROR("IN" &amp; _xlfn.TEXTBEFORE(_xlfn.TEXTAFTER(UPPER(tblShipments2[[#This Row],[Gateway_clean]]),"IN")," ",1),"")</f>
        <v>INNSA1</v>
      </c>
      <c r="P145" t="str">
        <f>SUBSTITUTE(tblShipments2[[#This Row],[Gateway]], CHAR(10), " ")</f>
        <v xml:space="preserve">AWB No. Gateway Port Gateway EGM No. Gateway EGM Date Gateway Site ID Error Code N.A.  INNSA1  132332  2017-07-28 00:00:00.0  INNSA1  S </v>
      </c>
      <c r="Q145" t="s">
        <v>180</v>
      </c>
    </row>
    <row r="146" spans="1:17" x14ac:dyDescent="0.35">
      <c r="A146" t="s">
        <v>8</v>
      </c>
      <c r="B146">
        <v>7812525</v>
      </c>
      <c r="C146" s="2" t="s">
        <v>181</v>
      </c>
      <c r="D146" s="2" t="str">
        <f>LEFT(TRIM(MID(SUBSTITUTE(tblShipments2[[#This Row],[Details]],CHAR(10)," "), FIND(CHAR(10),tblShipments2[[#This Row],[Details]])+1, 50)), 10)</f>
        <v>0513045228</v>
      </c>
      <c r="E146" t="s">
        <v>182</v>
      </c>
      <c r="F14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6" t="str">
        <f>IF(tblShipments2[[#This Row],[EGM no]]="", "Missing EGM", "EGM Submitted")</f>
        <v>EGM Submitted</v>
      </c>
      <c r="H146" t="str">
        <f>IF(OR(ISNUMBER(SEARCH("Released",tblShipments2[[#This Row],[ROSL]])),
      ISNUMBER(SEARCH("Scroll",tblShipments2[[#This Row],[ROSL]])),
      ISNUMBER(SEARCH("Y",tblShipments2[[#This Row],[ROSL]]))),
   "Released",
   "Not Released")</f>
        <v>Released</v>
      </c>
      <c r="I146" t="str">
        <f>IF(OR(tblShipments2[[#This Row],[EGM no]]="", tblShipments2[[#This Row],[EGM no]]="N.A."), "Not Submitted", "Submitted")</f>
        <v>Submitted</v>
      </c>
      <c r="J146" t="str">
        <f>IF(LEFT(tblShipments2[[#This Row],[Gateway_Extracted]],2)="IN","Valid","Invalid")</f>
        <v>Valid</v>
      </c>
      <c r="K146" t="s">
        <v>183</v>
      </c>
      <c r="L146" t="s">
        <v>184</v>
      </c>
      <c r="M146" t="s">
        <v>13</v>
      </c>
      <c r="N146" t="s">
        <v>185</v>
      </c>
      <c r="O146" t="str">
        <f>IFERROR("IN" &amp; _xlfn.TEXTBEFORE(_xlfn.TEXTAFTER(UPPER(tblShipments2[[#This Row],[Gateway_clean]]),"IN")," ",1),"")</f>
        <v>INPAV1</v>
      </c>
      <c r="P146" t="str">
        <f>SUBSTITUTE(tblShipments2[[#This Row],[Gateway]], CHAR(10), " ")</f>
        <v xml:space="preserve">AWB No. Gateway Port Gateway EGM No. Gateway EGM Date Gateway Site ID Error Code N.A.  INPAV1  133808  2017-08-24 00:00:00.0  INPAV1  S </v>
      </c>
      <c r="Q146" t="s">
        <v>186</v>
      </c>
    </row>
    <row r="147" spans="1:17" x14ac:dyDescent="0.35">
      <c r="A147" t="s">
        <v>8</v>
      </c>
      <c r="B147">
        <v>7826835</v>
      </c>
      <c r="C147" s="2" t="s">
        <v>181</v>
      </c>
      <c r="D147" s="2" t="str">
        <f>LEFT(TRIM(MID(SUBSTITUTE(tblShipments2[[#This Row],[Details]],CHAR(10)," "), FIND(CHAR(10),tblShipments2[[#This Row],[Details]])+1, 50)), 10)</f>
        <v>0507068645</v>
      </c>
      <c r="E147" t="s">
        <v>187</v>
      </c>
      <c r="F14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7" t="str">
        <f>IF(tblShipments2[[#This Row],[EGM no]]="", "Missing EGM", "EGM Submitted")</f>
        <v>EGM Submitted</v>
      </c>
      <c r="H147" t="str">
        <f>IF(OR(ISNUMBER(SEARCH("Released",tblShipments2[[#This Row],[ROSL]])),
      ISNUMBER(SEARCH("Scroll",tblShipments2[[#This Row],[ROSL]])),
      ISNUMBER(SEARCH("Y",tblShipments2[[#This Row],[ROSL]]))),
   "Released",
   "Not Released")</f>
        <v>Released</v>
      </c>
      <c r="I147" t="str">
        <f>IF(OR(tblShipments2[[#This Row],[EGM no]]="", tblShipments2[[#This Row],[EGM no]]="N.A."), "Not Submitted", "Submitted")</f>
        <v>Submitted</v>
      </c>
      <c r="J147" t="str">
        <f>IF(LEFT(tblShipments2[[#This Row],[Gateway_Extracted]],2)="IN","Valid","Invalid")</f>
        <v>Valid</v>
      </c>
      <c r="K147" t="s">
        <v>188</v>
      </c>
      <c r="L147" t="s">
        <v>189</v>
      </c>
      <c r="M147" t="s">
        <v>13</v>
      </c>
      <c r="N147" t="s">
        <v>190</v>
      </c>
      <c r="O147" t="str">
        <f>IFERROR("IN" &amp; _xlfn.TEXTBEFORE(_xlfn.TEXTAFTER(UPPER(tblShipments2[[#This Row],[Gateway_clean]]),"IN")," ",1),"")</f>
        <v>INNSA1</v>
      </c>
      <c r="P147" t="str">
        <f>SUBSTITUTE(tblShipments2[[#This Row],[Gateway]], CHAR(10), " ")</f>
        <v xml:space="preserve">AWB No. Gateway Port Gateway EGM No. Gateway EGM Date Gateway Site ID Error Code N.A.  INNSA1  N.A.  N.A.  N.A.  N.A. </v>
      </c>
      <c r="Q147" t="s">
        <v>26</v>
      </c>
    </row>
    <row r="148" spans="1:17" x14ac:dyDescent="0.35">
      <c r="A148" t="s">
        <v>8</v>
      </c>
      <c r="B148">
        <v>7835799</v>
      </c>
      <c r="C148" s="2" t="s">
        <v>191</v>
      </c>
      <c r="D148" s="2" t="str">
        <f>LEFT(TRIM(MID(SUBSTITUTE(tblShipments2[[#This Row],[Details]],CHAR(10)," "), FIND(CHAR(10),tblShipments2[[#This Row],[Details]])+1, 50)), 10)</f>
        <v>0592023052</v>
      </c>
      <c r="E148" t="s">
        <v>192</v>
      </c>
      <c r="F14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8" t="str">
        <f>IF(tblShipments2[[#This Row],[EGM no]]="", "Missing EGM", "EGM Submitted")</f>
        <v>EGM Submitted</v>
      </c>
      <c r="H148" t="str">
        <f>IF(OR(ISNUMBER(SEARCH("Released",tblShipments2[[#This Row],[ROSL]])),
      ISNUMBER(SEARCH("Scroll",tblShipments2[[#This Row],[ROSL]])),
      ISNUMBER(SEARCH("Y",tblShipments2[[#This Row],[ROSL]]))),
   "Released",
   "Not Released")</f>
        <v>Released</v>
      </c>
      <c r="I148" t="str">
        <f>IF(OR(tblShipments2[[#This Row],[EGM no]]="", tblShipments2[[#This Row],[EGM no]]="N.A."), "Not Submitted", "Submitted")</f>
        <v>Submitted</v>
      </c>
      <c r="J148" t="str">
        <f>IF(LEFT(tblShipments2[[#This Row],[Gateway_Extracted]],2)="IN","Valid","Invalid")</f>
        <v>Valid</v>
      </c>
      <c r="K148" t="s">
        <v>169</v>
      </c>
      <c r="L148" t="s">
        <v>193</v>
      </c>
      <c r="M148" t="s">
        <v>13</v>
      </c>
      <c r="N148" t="s">
        <v>194</v>
      </c>
      <c r="O148" t="str">
        <f>IFERROR("IN" &amp; _xlfn.TEXTBEFORE(_xlfn.TEXTAFTER(UPPER(tblShipments2[[#This Row],[Gateway_clean]]),"IN")," ",1),"")</f>
        <v>INNSA1</v>
      </c>
      <c r="P148" t="str">
        <f>SUBSTITUTE(tblShipments2[[#This Row],[Gateway]], CHAR(10), " ")</f>
        <v xml:space="preserve">AWB No. Gateway Port Gateway EGM No. Gateway EGM Date Gateway Site ID Error Code N.A.  INNSA1  N.A.  N.A.  N.A.  N.A. </v>
      </c>
      <c r="Q148" t="s">
        <v>26</v>
      </c>
    </row>
    <row r="149" spans="1:17" x14ac:dyDescent="0.35">
      <c r="A149" t="s">
        <v>8</v>
      </c>
      <c r="B149">
        <v>7849871</v>
      </c>
      <c r="C149" s="2" t="s">
        <v>191</v>
      </c>
      <c r="D149" s="2" t="str">
        <f>LEFT(TRIM(MID(SUBSTITUTE(tblShipments2[[#This Row],[Details]],CHAR(10)," "), FIND(CHAR(10),tblShipments2[[#This Row],[Details]])+1, 50)), 10)</f>
        <v>0593056868</v>
      </c>
      <c r="E149" t="s">
        <v>195</v>
      </c>
      <c r="F14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49" t="str">
        <f>IF(tblShipments2[[#This Row],[EGM no]]="", "Missing EGM", "EGM Submitted")</f>
        <v>EGM Submitted</v>
      </c>
      <c r="H149" t="str">
        <f>IF(OR(ISNUMBER(SEARCH("Released",tblShipments2[[#This Row],[ROSL]])),
      ISNUMBER(SEARCH("Scroll",tblShipments2[[#This Row],[ROSL]])),
      ISNUMBER(SEARCH("Y",tblShipments2[[#This Row],[ROSL]]))),
   "Released",
   "Not Released")</f>
        <v>Released</v>
      </c>
      <c r="I149" t="str">
        <f>IF(OR(tblShipments2[[#This Row],[EGM no]]="", tblShipments2[[#This Row],[EGM no]]="N.A."), "Not Submitted", "Submitted")</f>
        <v>Submitted</v>
      </c>
      <c r="J149" t="str">
        <f>IF(LEFT(tblShipments2[[#This Row],[Gateway_Extracted]],2)="IN","Valid","Invalid")</f>
        <v>Valid</v>
      </c>
      <c r="K149" t="s">
        <v>196</v>
      </c>
      <c r="L149" t="s">
        <v>197</v>
      </c>
      <c r="M149" t="s">
        <v>13</v>
      </c>
      <c r="N149" t="s">
        <v>198</v>
      </c>
      <c r="O149" t="str">
        <f>IFERROR("IN" &amp; _xlfn.TEXTBEFORE(_xlfn.TEXTAFTER(UPPER(tblShipments2[[#This Row],[Gateway_clean]]),"IN")," ",1),"")</f>
        <v>INMUN1</v>
      </c>
      <c r="P149" t="str">
        <f>SUBSTITUTE(tblShipments2[[#This Row],[Gateway]], CHAR(10), " ")</f>
        <v xml:space="preserve">AWB No. Gateway Port Gateway EGM No. Gateway EGM Date Gateway Site ID Error Code N.A.  INMUN1  133184  2017-08-11 00:00:00.0  INMUN1  S </v>
      </c>
      <c r="Q149" t="s">
        <v>199</v>
      </c>
    </row>
    <row r="150" spans="1:17" x14ac:dyDescent="0.35">
      <c r="A150" t="s">
        <v>8</v>
      </c>
      <c r="B150">
        <v>7852739</v>
      </c>
      <c r="C150" s="2" t="s">
        <v>191</v>
      </c>
      <c r="D150" s="2" t="str">
        <f>LEFT(TRIM(MID(SUBSTITUTE(tblShipments2[[#This Row],[Details]],CHAR(10)," "), FIND(CHAR(10),tblShipments2[[#This Row],[Details]])+1, 50)), 10)</f>
        <v>0500062609</v>
      </c>
      <c r="E150" t="s">
        <v>200</v>
      </c>
      <c r="F15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0" t="str">
        <f>IF(tblShipments2[[#This Row],[EGM no]]="", "Missing EGM", "EGM Submitted")</f>
        <v>EGM Submitted</v>
      </c>
      <c r="H150" t="str">
        <f>IF(OR(ISNUMBER(SEARCH("Released",tblShipments2[[#This Row],[ROSL]])),
      ISNUMBER(SEARCH("Scroll",tblShipments2[[#This Row],[ROSL]])),
      ISNUMBER(SEARCH("Y",tblShipments2[[#This Row],[ROSL]]))),
   "Released",
   "Not Released")</f>
        <v>Released</v>
      </c>
      <c r="I150" t="str">
        <f>IF(OR(tblShipments2[[#This Row],[EGM no]]="", tblShipments2[[#This Row],[EGM no]]="N.A."), "Not Submitted", "Submitted")</f>
        <v>Submitted</v>
      </c>
      <c r="J150" t="str">
        <f>IF(LEFT(tblShipments2[[#This Row],[Gateway_Extracted]],2)="IN","Valid","Invalid")</f>
        <v>Valid</v>
      </c>
      <c r="K150" t="s">
        <v>122</v>
      </c>
      <c r="L150" t="s">
        <v>201</v>
      </c>
      <c r="M150" t="s">
        <v>13</v>
      </c>
      <c r="N150" t="s">
        <v>202</v>
      </c>
      <c r="O150" t="str">
        <f>IFERROR("IN" &amp; _xlfn.TEXTBEFORE(_xlfn.TEXTAFTER(UPPER(tblShipments2[[#This Row],[Gateway_clean]]),"IN")," ",1),"")</f>
        <v>INMUN1</v>
      </c>
      <c r="P150" t="str">
        <f>SUBSTITUTE(tblShipments2[[#This Row],[Gateway]], CHAR(10), " ")</f>
        <v xml:space="preserve">AWB No. Gateway Port Gateway EGM No. Gateway EGM Date Gateway Site ID Error Code N.A.  INMUN1  133567  2017-08-18 00:00:00.0  INMUN1  S </v>
      </c>
      <c r="Q150" t="s">
        <v>203</v>
      </c>
    </row>
    <row r="151" spans="1:17" x14ac:dyDescent="0.35">
      <c r="A151" t="s">
        <v>8</v>
      </c>
      <c r="B151">
        <v>7862536</v>
      </c>
      <c r="C151" s="2" t="s">
        <v>204</v>
      </c>
      <c r="D151" s="2" t="str">
        <f>LEFT(TRIM(MID(SUBSTITUTE(tblShipments2[[#This Row],[Details]],CHAR(10)," "), FIND(CHAR(10),tblShipments2[[#This Row],[Details]])+1, 50)), 10)</f>
        <v>0588050814</v>
      </c>
      <c r="E151" t="s">
        <v>205</v>
      </c>
      <c r="F15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1" t="str">
        <f>IF(tblShipments2[[#This Row],[EGM no]]="", "Missing EGM", "EGM Submitted")</f>
        <v>EGM Submitted</v>
      </c>
      <c r="H151" t="str">
        <f>IF(OR(ISNUMBER(SEARCH("Released",tblShipments2[[#This Row],[ROSL]])),
      ISNUMBER(SEARCH("Scroll",tblShipments2[[#This Row],[ROSL]])),
      ISNUMBER(SEARCH("Y",tblShipments2[[#This Row],[ROSL]]))),
   "Released",
   "Not Released")</f>
        <v>Released</v>
      </c>
      <c r="I151" t="str">
        <f>IF(OR(tblShipments2[[#This Row],[EGM no]]="", tblShipments2[[#This Row],[EGM no]]="N.A."), "Not Submitted", "Submitted")</f>
        <v>Submitted</v>
      </c>
      <c r="J151" t="str">
        <f>IF(LEFT(tblShipments2[[#This Row],[Gateway_Extracted]],2)="IN","Valid","Invalid")</f>
        <v>Valid</v>
      </c>
      <c r="K151" t="s">
        <v>141</v>
      </c>
      <c r="L151" t="s">
        <v>206</v>
      </c>
      <c r="M151" t="s">
        <v>31</v>
      </c>
      <c r="N151" t="s">
        <v>207</v>
      </c>
      <c r="O151" t="str">
        <f>IFERROR("IN" &amp; _xlfn.TEXTBEFORE(_xlfn.TEXTAFTER(UPPER(tblShipments2[[#This Row],[Gateway_clean]]),"IN")," ",1),"")</f>
        <v>INNSA1</v>
      </c>
      <c r="P151" t="str">
        <f>SUBSTITUTE(tblShipments2[[#This Row],[Gateway]], CHAR(10), " ")</f>
        <v xml:space="preserve">AWB No. Gateway Port Gateway EGM No. Gateway EGM Date Gateway Site ID Error Code N.A.  INNSA1  N.A.  N.A.  N.A.  N.A. </v>
      </c>
      <c r="Q151" t="s">
        <v>26</v>
      </c>
    </row>
    <row r="152" spans="1:17" x14ac:dyDescent="0.35">
      <c r="A152" t="s">
        <v>8</v>
      </c>
      <c r="B152">
        <v>7877440</v>
      </c>
      <c r="C152" s="2" t="s">
        <v>208</v>
      </c>
      <c r="D152" s="2" t="str">
        <f>LEFT(TRIM(MID(SUBSTITUTE(tblShipments2[[#This Row],[Details]],CHAR(10)," "), FIND(CHAR(10),tblShipments2[[#This Row],[Details]])+1, 50)), 10)</f>
        <v>0515918024</v>
      </c>
      <c r="E152" t="s">
        <v>209</v>
      </c>
      <c r="F15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2" t="str">
        <f>IF(tblShipments2[[#This Row],[EGM no]]="", "Missing EGM", "EGM Submitted")</f>
        <v>EGM Submitted</v>
      </c>
      <c r="H152" t="str">
        <f>IF(OR(ISNUMBER(SEARCH("Released",tblShipments2[[#This Row],[ROSL]])),
      ISNUMBER(SEARCH("Scroll",tblShipments2[[#This Row],[ROSL]])),
      ISNUMBER(SEARCH("Y",tblShipments2[[#This Row],[ROSL]]))),
   "Released",
   "Not Released")</f>
        <v>Released</v>
      </c>
      <c r="I152" t="str">
        <f>IF(OR(tblShipments2[[#This Row],[EGM no]]="", tblShipments2[[#This Row],[EGM no]]="N.A."), "Not Submitted", "Submitted")</f>
        <v>Submitted</v>
      </c>
      <c r="J152" t="str">
        <f>IF(LEFT(tblShipments2[[#This Row],[Gateway_Extracted]],2)="IN","Valid","Invalid")</f>
        <v>Valid</v>
      </c>
      <c r="K152" t="s">
        <v>136</v>
      </c>
      <c r="L152" t="s">
        <v>210</v>
      </c>
      <c r="M152" t="s">
        <v>13</v>
      </c>
      <c r="N152" t="s">
        <v>211</v>
      </c>
      <c r="O152" t="str">
        <f>IFERROR("IN" &amp; _xlfn.TEXTBEFORE(_xlfn.TEXTAFTER(UPPER(tblShipments2[[#This Row],[Gateway_clean]]),"IN")," ",1),"")</f>
        <v>INMUN1</v>
      </c>
      <c r="P152" t="str">
        <f>SUBSTITUTE(tblShipments2[[#This Row],[Gateway]], CHAR(10), " ")</f>
        <v xml:space="preserve">AWB No. Gateway Port Gateway EGM No. Gateway EGM Date Gateway Site ID Error Code N.A.  INMUN1  137180  2017-10-18 00:00:00.0  INMUN1  ST </v>
      </c>
      <c r="Q152" t="s">
        <v>212</v>
      </c>
    </row>
    <row r="153" spans="1:17" x14ac:dyDescent="0.35">
      <c r="A153" t="s">
        <v>8</v>
      </c>
      <c r="B153">
        <v>7891039</v>
      </c>
      <c r="C153" s="2" t="s">
        <v>208</v>
      </c>
      <c r="D153" s="2" t="str">
        <f>LEFT(TRIM(MID(SUBSTITUTE(tblShipments2[[#This Row],[Details]],CHAR(10)," "), FIND(CHAR(10),tblShipments2[[#This Row],[Details]])+1, 50)), 10)</f>
        <v>0502077905</v>
      </c>
      <c r="E153" t="s">
        <v>213</v>
      </c>
      <c r="F15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3" t="str">
        <f>IF(tblShipments2[[#This Row],[EGM no]]="", "Missing EGM", "EGM Submitted")</f>
        <v>EGM Submitted</v>
      </c>
      <c r="H153" t="str">
        <f>IF(OR(ISNUMBER(SEARCH("Released",tblShipments2[[#This Row],[ROSL]])),
      ISNUMBER(SEARCH("Scroll",tblShipments2[[#This Row],[ROSL]])),
      ISNUMBER(SEARCH("Y",tblShipments2[[#This Row],[ROSL]]))),
   "Released",
   "Not Released")</f>
        <v>Released</v>
      </c>
      <c r="I153" t="str">
        <f>IF(OR(tblShipments2[[#This Row],[EGM no]]="", tblShipments2[[#This Row],[EGM no]]="N.A."), "Not Submitted", "Submitted")</f>
        <v>Submitted</v>
      </c>
      <c r="J153" t="str">
        <f>IF(LEFT(tblShipments2[[#This Row],[Gateway_Extracted]],2)="IN","Valid","Invalid")</f>
        <v>Valid</v>
      </c>
      <c r="K153" t="s">
        <v>214</v>
      </c>
      <c r="L153" t="s">
        <v>215</v>
      </c>
      <c r="M153" t="s">
        <v>13</v>
      </c>
      <c r="N153" t="s">
        <v>216</v>
      </c>
      <c r="O153" t="str">
        <f>IFERROR("IN" &amp; _xlfn.TEXTBEFORE(_xlfn.TEXTAFTER(UPPER(tblShipments2[[#This Row],[Gateway_clean]]),"IN")," ",1),"")</f>
        <v>INNSA1</v>
      </c>
      <c r="P153" t="str">
        <f>SUBSTITUTE(tblShipments2[[#This Row],[Gateway]], CHAR(10), " ")</f>
        <v xml:space="preserve">AWB No. Gateway Port Gateway EGM No. Gateway EGM Date Gateway Site ID Error Code N.A.  INNSA1  N.A.  N.A.  N.A.  N.A. </v>
      </c>
      <c r="Q153" t="s">
        <v>26</v>
      </c>
    </row>
    <row r="154" spans="1:17" x14ac:dyDescent="0.35">
      <c r="A154" t="s">
        <v>8</v>
      </c>
      <c r="B154">
        <v>7891796</v>
      </c>
      <c r="C154" s="2" t="s">
        <v>208</v>
      </c>
      <c r="D154" s="2" t="str">
        <f>LEFT(TRIM(MID(SUBSTITUTE(tblShipments2[[#This Row],[Details]],CHAR(10)," "), FIND(CHAR(10),tblShipments2[[#This Row],[Details]])+1, 50)), 10)</f>
        <v>0506054306</v>
      </c>
      <c r="E154" t="s">
        <v>217</v>
      </c>
      <c r="F15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4" t="str">
        <f>IF(tblShipments2[[#This Row],[EGM no]]="", "Missing EGM", "EGM Submitted")</f>
        <v>EGM Submitted</v>
      </c>
      <c r="H154" t="str">
        <f>IF(OR(ISNUMBER(SEARCH("Released",tblShipments2[[#This Row],[ROSL]])),
      ISNUMBER(SEARCH("Scroll",tblShipments2[[#This Row],[ROSL]])),
      ISNUMBER(SEARCH("Y",tblShipments2[[#This Row],[ROSL]]))),
   "Released",
   "Not Released")</f>
        <v>Released</v>
      </c>
      <c r="I154" t="str">
        <f>IF(OR(tblShipments2[[#This Row],[EGM no]]="", tblShipments2[[#This Row],[EGM no]]="N.A."), "Not Submitted", "Submitted")</f>
        <v>Submitted</v>
      </c>
      <c r="J154" t="str">
        <f>IF(LEFT(tblShipments2[[#This Row],[Gateway_Extracted]],2)="IN","Valid","Invalid")</f>
        <v>Valid</v>
      </c>
      <c r="K154" t="s">
        <v>122</v>
      </c>
      <c r="L154" t="s">
        <v>218</v>
      </c>
      <c r="M154" t="s">
        <v>13</v>
      </c>
      <c r="N154" t="s">
        <v>219</v>
      </c>
      <c r="O154" t="str">
        <f>IFERROR("IN" &amp; _xlfn.TEXTBEFORE(_xlfn.TEXTAFTER(UPPER(tblShipments2[[#This Row],[Gateway_clean]]),"IN")," ",1),"")</f>
        <v>INMUN1</v>
      </c>
      <c r="P154" t="str">
        <f>SUBSTITUTE(tblShipments2[[#This Row],[Gateway]], CHAR(10), " ")</f>
        <v xml:space="preserve">AWB No. Gateway Port Gateway EGM No. Gateway EGM Date Gateway Site ID Error Code N.A.  INMUN1  133566  2017-08-18 00:00:00.0  INMUN1  S </v>
      </c>
      <c r="Q154" t="s">
        <v>220</v>
      </c>
    </row>
    <row r="155" spans="1:17" x14ac:dyDescent="0.35">
      <c r="A155" t="s">
        <v>8</v>
      </c>
      <c r="B155">
        <v>7903729</v>
      </c>
      <c r="C155" s="2" t="s">
        <v>221</v>
      </c>
      <c r="D155" s="2" t="str">
        <f>LEFT(TRIM(MID(SUBSTITUTE(tblShipments2[[#This Row],[Details]],CHAR(10)," "), FIND(CHAR(10),tblShipments2[[#This Row],[Details]])+1, 50)), 10)</f>
        <v>0500042616</v>
      </c>
      <c r="E155" t="s">
        <v>222</v>
      </c>
      <c r="F15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5" t="str">
        <f>IF(tblShipments2[[#This Row],[EGM no]]="", "Missing EGM", "EGM Submitted")</f>
        <v>EGM Submitted</v>
      </c>
      <c r="H155" t="str">
        <f>IF(OR(ISNUMBER(SEARCH("Released",tblShipments2[[#This Row],[ROSL]])),
      ISNUMBER(SEARCH("Scroll",tblShipments2[[#This Row],[ROSL]])),
      ISNUMBER(SEARCH("Y",tblShipments2[[#This Row],[ROSL]]))),
   "Released",
   "Not Released")</f>
        <v>Released</v>
      </c>
      <c r="I155" t="str">
        <f>IF(OR(tblShipments2[[#This Row],[EGM no]]="", tblShipments2[[#This Row],[EGM no]]="N.A."), "Not Submitted", "Submitted")</f>
        <v>Submitted</v>
      </c>
      <c r="J155" t="str">
        <f>IF(LEFT(tblShipments2[[#This Row],[Gateway_Extracted]],2)="IN","Valid","Invalid")</f>
        <v>Valid</v>
      </c>
      <c r="K155" t="s">
        <v>223</v>
      </c>
      <c r="L155" t="s">
        <v>224</v>
      </c>
      <c r="M155" t="s">
        <v>13</v>
      </c>
      <c r="N155" t="s">
        <v>225</v>
      </c>
      <c r="O155" t="str">
        <f>IFERROR("IN" &amp; _xlfn.TEXTBEFORE(_xlfn.TEXTAFTER(UPPER(tblShipments2[[#This Row],[Gateway_clean]]),"IN")," ",1),"")</f>
        <v>INNSA1</v>
      </c>
      <c r="P155" t="str">
        <f>SUBSTITUTE(tblShipments2[[#This Row],[Gateway]], CHAR(10), " ")</f>
        <v xml:space="preserve">AWB No. Gateway Port Gateway EGM No. Gateway EGM Date Gateway Site ID Error Code N.A.  INNSA1  132938  2017-08-09 00:00:00.0  INNSA1  S </v>
      </c>
      <c r="Q155" t="s">
        <v>226</v>
      </c>
    </row>
    <row r="156" spans="1:17" x14ac:dyDescent="0.35">
      <c r="A156" t="s">
        <v>8</v>
      </c>
      <c r="B156">
        <v>7905312</v>
      </c>
      <c r="C156" s="2" t="s">
        <v>221</v>
      </c>
      <c r="D156" s="2" t="str">
        <f>LEFT(TRIM(MID(SUBSTITUTE(tblShipments2[[#This Row],[Details]],CHAR(10)," "), FIND(CHAR(10),tblShipments2[[#This Row],[Details]])+1, 50)), 10)</f>
        <v>3097011234</v>
      </c>
      <c r="E156" t="s">
        <v>227</v>
      </c>
      <c r="F15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6" t="str">
        <f>IF(tblShipments2[[#This Row],[EGM no]]="", "Missing EGM", "EGM Submitted")</f>
        <v>EGM Submitted</v>
      </c>
      <c r="H156" t="str">
        <f>IF(OR(ISNUMBER(SEARCH("Released",tblShipments2[[#This Row],[ROSL]])),
      ISNUMBER(SEARCH("Scroll",tblShipments2[[#This Row],[ROSL]])),
      ISNUMBER(SEARCH("Y",tblShipments2[[#This Row],[ROSL]]))),
   "Released",
   "Not Released")</f>
        <v>Released</v>
      </c>
      <c r="I156" t="str">
        <f>IF(OR(tblShipments2[[#This Row],[EGM no]]="", tblShipments2[[#This Row],[EGM no]]="N.A."), "Not Submitted", "Submitted")</f>
        <v>Submitted</v>
      </c>
      <c r="J156" t="str">
        <f>IF(LEFT(tblShipments2[[#This Row],[Gateway_Extracted]],2)="IN","Valid","Invalid")</f>
        <v>Valid</v>
      </c>
      <c r="K156" t="s">
        <v>228</v>
      </c>
      <c r="L156" t="s">
        <v>229</v>
      </c>
      <c r="M156" t="s">
        <v>13</v>
      </c>
      <c r="N156" t="s">
        <v>230</v>
      </c>
      <c r="O156" t="str">
        <f>IFERROR("IN" &amp; _xlfn.TEXTBEFORE(_xlfn.TEXTAFTER(UPPER(tblShipments2[[#This Row],[Gateway_clean]]),"IN")," ",1),"")</f>
        <v>INMUN1</v>
      </c>
      <c r="P156" t="str">
        <f>SUBSTITUTE(tblShipments2[[#This Row],[Gateway]], CHAR(10), " ")</f>
        <v xml:space="preserve">AWB No. Gateway Port Gateway EGM No. Gateway EGM Date Gateway Site ID Error Code N.A.  INMUN1  134053  2017-08-28 00:00:00.0  INMUN1  S </v>
      </c>
      <c r="Q156" t="s">
        <v>231</v>
      </c>
    </row>
    <row r="157" spans="1:17" x14ac:dyDescent="0.35">
      <c r="A157" t="s">
        <v>8</v>
      </c>
      <c r="B157">
        <v>7909008</v>
      </c>
      <c r="C157" s="2" t="s">
        <v>221</v>
      </c>
      <c r="D157" s="2" t="str">
        <f>LEFT(TRIM(MID(SUBSTITUTE(tblShipments2[[#This Row],[Details]],CHAR(10)," "), FIND(CHAR(10),tblShipments2[[#This Row],[Details]])+1, 50)), 10)</f>
        <v>AAKFN5762C</v>
      </c>
      <c r="E157" t="s">
        <v>232</v>
      </c>
      <c r="F15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7" t="str">
        <f>IF(tblShipments2[[#This Row],[EGM no]]="", "Missing EGM", "EGM Submitted")</f>
        <v>EGM Submitted</v>
      </c>
      <c r="H157" t="str">
        <f>IF(OR(ISNUMBER(SEARCH("Released",tblShipments2[[#This Row],[ROSL]])),
      ISNUMBER(SEARCH("Scroll",tblShipments2[[#This Row],[ROSL]])),
      ISNUMBER(SEARCH("Y",tblShipments2[[#This Row],[ROSL]]))),
   "Released",
   "Not Released")</f>
        <v>Released</v>
      </c>
      <c r="I157" t="str">
        <f>IF(OR(tblShipments2[[#This Row],[EGM no]]="", tblShipments2[[#This Row],[EGM no]]="N.A."), "Not Submitted", "Submitted")</f>
        <v>Submitted</v>
      </c>
      <c r="J157" t="str">
        <f>IF(LEFT(tblShipments2[[#This Row],[Gateway_Extracted]],2)="IN","Valid","Invalid")</f>
        <v>Invalid</v>
      </c>
      <c r="K157" t="s">
        <v>233</v>
      </c>
      <c r="L157" t="s">
        <v>234</v>
      </c>
      <c r="M157" t="s">
        <v>13</v>
      </c>
      <c r="N157" t="s">
        <v>235</v>
      </c>
      <c r="O157" t="str">
        <f>IFERROR("IN" &amp; _xlfn.TEXTBEFORE(_xlfn.TEXTAFTER(UPPER(tblShipments2[[#This Row],[Gateway_clean]]),"IN")," ",1),"")</f>
        <v/>
      </c>
      <c r="P157" t="str">
        <f>SUBSTITUTE(tblShipments2[[#This Row],[Gateway]], CHAR(10), " ")</f>
        <v>No Record found</v>
      </c>
      <c r="Q157" t="s">
        <v>236</v>
      </c>
    </row>
    <row r="158" spans="1:17" x14ac:dyDescent="0.35">
      <c r="A158" t="s">
        <v>8</v>
      </c>
      <c r="B158">
        <v>7918086</v>
      </c>
      <c r="C158" s="2" t="s">
        <v>221</v>
      </c>
      <c r="D158" s="2" t="str">
        <f>LEFT(TRIM(MID(SUBSTITUTE(tblShipments2[[#This Row],[Details]],CHAR(10)," "), FIND(CHAR(10),tblShipments2[[#This Row],[Details]])+1, 50)), 10)</f>
        <v>0517542374</v>
      </c>
      <c r="E158" t="s">
        <v>237</v>
      </c>
      <c r="F15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8" t="str">
        <f>IF(tblShipments2[[#This Row],[EGM no]]="", "Missing EGM", "EGM Submitted")</f>
        <v>EGM Submitted</v>
      </c>
      <c r="H158" t="str">
        <f>IF(OR(ISNUMBER(SEARCH("Released",tblShipments2[[#This Row],[ROSL]])),
      ISNUMBER(SEARCH("Scroll",tblShipments2[[#This Row],[ROSL]])),
      ISNUMBER(SEARCH("Y",tblShipments2[[#This Row],[ROSL]]))),
   "Released",
   "Not Released")</f>
        <v>Released</v>
      </c>
      <c r="I158" t="str">
        <f>IF(OR(tblShipments2[[#This Row],[EGM no]]="", tblShipments2[[#This Row],[EGM no]]="N.A."), "Not Submitted", "Submitted")</f>
        <v>Submitted</v>
      </c>
      <c r="J158" t="str">
        <f>IF(LEFT(tblShipments2[[#This Row],[Gateway_Extracted]],2)="IN","Valid","Invalid")</f>
        <v>Valid</v>
      </c>
      <c r="K158" t="s">
        <v>136</v>
      </c>
      <c r="L158" t="s">
        <v>210</v>
      </c>
      <c r="M158" t="s">
        <v>13</v>
      </c>
      <c r="N158" t="s">
        <v>238</v>
      </c>
      <c r="O158" t="str">
        <f>IFERROR("IN" &amp; _xlfn.TEXTBEFORE(_xlfn.TEXTAFTER(UPPER(tblShipments2[[#This Row],[Gateway_clean]]),"IN")," ",1),"")</f>
        <v>INMUN1</v>
      </c>
      <c r="P158" t="str">
        <f>SUBSTITUTE(tblShipments2[[#This Row],[Gateway]], CHAR(10), " ")</f>
        <v xml:space="preserve">AWB No. Gateway Port Gateway EGM No. Gateway EGM Date Gateway Site ID Error Code N.A.  INMUN1  137180  2017-10-18 00:00:00.0  INMUN1  ST </v>
      </c>
      <c r="Q158" t="s">
        <v>212</v>
      </c>
    </row>
    <row r="159" spans="1:17" x14ac:dyDescent="0.35">
      <c r="A159" t="s">
        <v>8</v>
      </c>
      <c r="B159">
        <v>7924066</v>
      </c>
      <c r="C159" s="2" t="s">
        <v>239</v>
      </c>
      <c r="D159" s="2" t="str">
        <f>LEFT(TRIM(MID(SUBSTITUTE(tblShipments2[[#This Row],[Details]],CHAR(10)," "), FIND(CHAR(10),tblShipments2[[#This Row],[Details]])+1, 50)), 10)</f>
        <v>0595025714</v>
      </c>
      <c r="E159" t="s">
        <v>240</v>
      </c>
      <c r="F15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59" t="str">
        <f>IF(tblShipments2[[#This Row],[EGM no]]="", "Missing EGM", "EGM Submitted")</f>
        <v>EGM Submitted</v>
      </c>
      <c r="H159" t="str">
        <f>IF(OR(ISNUMBER(SEARCH("Released",tblShipments2[[#This Row],[ROSL]])),
      ISNUMBER(SEARCH("Scroll",tblShipments2[[#This Row],[ROSL]])),
      ISNUMBER(SEARCH("Y",tblShipments2[[#This Row],[ROSL]]))),
   "Released",
   "Not Released")</f>
        <v>Released</v>
      </c>
      <c r="I159" t="str">
        <f>IF(OR(tblShipments2[[#This Row],[EGM no]]="", tblShipments2[[#This Row],[EGM no]]="N.A."), "Not Submitted", "Submitted")</f>
        <v>Submitted</v>
      </c>
      <c r="J159" t="str">
        <f>IF(LEFT(tblShipments2[[#This Row],[Gateway_Extracted]],2)="IN","Valid","Invalid")</f>
        <v>Valid</v>
      </c>
      <c r="K159" t="s">
        <v>241</v>
      </c>
      <c r="L159" t="s">
        <v>242</v>
      </c>
      <c r="M159" t="s">
        <v>13</v>
      </c>
      <c r="N159" t="s">
        <v>243</v>
      </c>
      <c r="O159" t="str">
        <f>IFERROR("IN" &amp; _xlfn.TEXTBEFORE(_xlfn.TEXTAFTER(UPPER(tblShipments2[[#This Row],[Gateway_clean]]),"IN")," ",1),"")</f>
        <v>INMUN1</v>
      </c>
      <c r="P159" t="str">
        <f>SUBSTITUTE(tblShipments2[[#This Row],[Gateway]], CHAR(10), " ")</f>
        <v xml:space="preserve">AWB No. Gateway Port Gateway EGM No. Gateway EGM Date Gateway Site ID Error Code N.A.  INMUN1  N.A.  N.A.  N.A.  N.A. </v>
      </c>
      <c r="Q159" t="s">
        <v>244</v>
      </c>
    </row>
    <row r="160" spans="1:17" x14ac:dyDescent="0.35">
      <c r="A160" t="s">
        <v>8</v>
      </c>
      <c r="B160">
        <v>7935521</v>
      </c>
      <c r="C160" s="2" t="s">
        <v>239</v>
      </c>
      <c r="D160" s="2" t="str">
        <f>LEFT(TRIM(MID(SUBSTITUTE(tblShipments2[[#This Row],[Details]],CHAR(10)," "), FIND(CHAR(10),tblShipments2[[#This Row],[Details]])+1, 50)), 10)</f>
        <v>0507051360</v>
      </c>
      <c r="E160" t="s">
        <v>245</v>
      </c>
      <c r="F16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0" t="str">
        <f>IF(tblShipments2[[#This Row],[EGM no]]="", "Missing EGM", "EGM Submitted")</f>
        <v>EGM Submitted</v>
      </c>
      <c r="H160" t="str">
        <f>IF(OR(ISNUMBER(SEARCH("Released",tblShipments2[[#This Row],[ROSL]])),
      ISNUMBER(SEARCH("Scroll",tblShipments2[[#This Row],[ROSL]])),
      ISNUMBER(SEARCH("Y",tblShipments2[[#This Row],[ROSL]]))),
   "Released",
   "Not Released")</f>
        <v>Released</v>
      </c>
      <c r="I160" t="str">
        <f>IF(OR(tblShipments2[[#This Row],[EGM no]]="", tblShipments2[[#This Row],[EGM no]]="N.A."), "Not Submitted", "Submitted")</f>
        <v>Submitted</v>
      </c>
      <c r="J160" t="str">
        <f>IF(LEFT(tblShipments2[[#This Row],[Gateway_Extracted]],2)="IN","Valid","Invalid")</f>
        <v>Valid</v>
      </c>
      <c r="K160" t="s">
        <v>228</v>
      </c>
      <c r="L160" t="s">
        <v>224</v>
      </c>
      <c r="M160" t="s">
        <v>13</v>
      </c>
      <c r="N160" t="s">
        <v>246</v>
      </c>
      <c r="O160" t="str">
        <f>IFERROR("IN" &amp; _xlfn.TEXTBEFORE(_xlfn.TEXTAFTER(UPPER(tblShipments2[[#This Row],[Gateway_clean]]),"IN")," ",1),"")</f>
        <v>INNSA1</v>
      </c>
      <c r="P160" t="str">
        <f>SUBSTITUTE(tblShipments2[[#This Row],[Gateway]], CHAR(10), " ")</f>
        <v xml:space="preserve">AWB No. Gateway Port Gateway EGM No. Gateway EGM Date Gateway Site ID Error Code N.A.  INNSA1  N.A.  N.A.  N.A.  N.A. </v>
      </c>
      <c r="Q160" t="s">
        <v>26</v>
      </c>
    </row>
    <row r="161" spans="1:17" x14ac:dyDescent="0.35">
      <c r="A161" t="s">
        <v>8</v>
      </c>
      <c r="B161">
        <v>7944561</v>
      </c>
      <c r="C161" s="2" t="s">
        <v>239</v>
      </c>
      <c r="D161" s="2" t="str">
        <f>LEFT(TRIM(MID(SUBSTITUTE(tblShipments2[[#This Row],[Details]],CHAR(10)," "), FIND(CHAR(10),tblShipments2[[#This Row],[Details]])+1, 50)), 10)</f>
        <v>0514026804</v>
      </c>
      <c r="E161" t="s">
        <v>247</v>
      </c>
      <c r="F16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1" t="str">
        <f>IF(tblShipments2[[#This Row],[EGM no]]="", "Missing EGM", "EGM Submitted")</f>
        <v>EGM Submitted</v>
      </c>
      <c r="H161" t="str">
        <f>IF(OR(ISNUMBER(SEARCH("Released",tblShipments2[[#This Row],[ROSL]])),
      ISNUMBER(SEARCH("Scroll",tblShipments2[[#This Row],[ROSL]])),
      ISNUMBER(SEARCH("Y",tblShipments2[[#This Row],[ROSL]]))),
   "Released",
   "Not Released")</f>
        <v>Released</v>
      </c>
      <c r="I161" t="str">
        <f>IF(OR(tblShipments2[[#This Row],[EGM no]]="", tblShipments2[[#This Row],[EGM no]]="N.A."), "Not Submitted", "Submitted")</f>
        <v>Submitted</v>
      </c>
      <c r="J161" t="str">
        <f>IF(LEFT(tblShipments2[[#This Row],[Gateway_Extracted]],2)="IN","Valid","Invalid")</f>
        <v>Valid</v>
      </c>
      <c r="K161" t="s">
        <v>248</v>
      </c>
      <c r="L161" t="s">
        <v>249</v>
      </c>
      <c r="M161" t="s">
        <v>13</v>
      </c>
      <c r="N161" t="s">
        <v>250</v>
      </c>
      <c r="O161" t="str">
        <f>IFERROR("IN" &amp; _xlfn.TEXTBEFORE(_xlfn.TEXTAFTER(UPPER(tblShipments2[[#This Row],[Gateway_clean]]),"IN")," ",1),"")</f>
        <v>INMUN1</v>
      </c>
      <c r="P161" t="str">
        <f>SUBSTITUTE(tblShipments2[[#This Row],[Gateway]], CHAR(10), " ")</f>
        <v xml:space="preserve">AWB No. Gateway Port Gateway EGM No. Gateway EGM Date Gateway Site ID Error Code N.A.  INMUN1  134209  2017-08-30 00:00:00.0  INMUN1  NC </v>
      </c>
      <c r="Q161" t="s">
        <v>251</v>
      </c>
    </row>
    <row r="162" spans="1:17" x14ac:dyDescent="0.35">
      <c r="A162" t="s">
        <v>8</v>
      </c>
      <c r="B162">
        <v>7945866</v>
      </c>
      <c r="C162" s="2" t="s">
        <v>239</v>
      </c>
      <c r="D162" s="2" t="str">
        <f>LEFT(TRIM(MID(SUBSTITUTE(tblShipments2[[#This Row],[Details]],CHAR(10)," "), FIND(CHAR(10),tblShipments2[[#This Row],[Details]])+1, 50)), 10)</f>
        <v>0598045783</v>
      </c>
      <c r="E162" t="s">
        <v>252</v>
      </c>
      <c r="F16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2" t="str">
        <f>IF(tblShipments2[[#This Row],[EGM no]]="", "Missing EGM", "EGM Submitted")</f>
        <v>EGM Submitted</v>
      </c>
      <c r="H162" t="str">
        <f>IF(OR(ISNUMBER(SEARCH("Released",tblShipments2[[#This Row],[ROSL]])),
      ISNUMBER(SEARCH("Scroll",tblShipments2[[#This Row],[ROSL]])),
      ISNUMBER(SEARCH("Y",tblShipments2[[#This Row],[ROSL]]))),
   "Released",
   "Not Released")</f>
        <v>Released</v>
      </c>
      <c r="I162" t="str">
        <f>IF(OR(tblShipments2[[#This Row],[EGM no]]="", tblShipments2[[#This Row],[EGM no]]="N.A."), "Not Submitted", "Submitted")</f>
        <v>Submitted</v>
      </c>
      <c r="J162" t="str">
        <f>IF(LEFT(tblShipments2[[#This Row],[Gateway_Extracted]],2)="IN","Valid","Invalid")</f>
        <v>Valid</v>
      </c>
      <c r="K162" t="s">
        <v>253</v>
      </c>
      <c r="L162" t="s">
        <v>184</v>
      </c>
      <c r="M162" t="s">
        <v>31</v>
      </c>
      <c r="N162" t="s">
        <v>254</v>
      </c>
      <c r="O162" t="str">
        <f>IFERROR("IN" &amp; _xlfn.TEXTBEFORE(_xlfn.TEXTAFTER(UPPER(tblShipments2[[#This Row],[Gateway_clean]]),"IN")," ",1),"")</f>
        <v>INPAV1</v>
      </c>
      <c r="P162" t="str">
        <f>SUBSTITUTE(tblShipments2[[#This Row],[Gateway]], CHAR(10), " ")</f>
        <v xml:space="preserve">AWB No. Gateway Port Gateway EGM No. Gateway EGM Date Gateway Site ID Error Code N.A.  INPAV1  133808  2017-08-24 00:00:00.0  INPAV1  S </v>
      </c>
      <c r="Q162" t="s">
        <v>186</v>
      </c>
    </row>
    <row r="163" spans="1:17" x14ac:dyDescent="0.35">
      <c r="A163" t="s">
        <v>8</v>
      </c>
      <c r="B163">
        <v>7955843</v>
      </c>
      <c r="C163" s="2" t="s">
        <v>255</v>
      </c>
      <c r="D163" s="2" t="str">
        <f>LEFT(TRIM(MID(SUBSTITUTE(tblShipments2[[#This Row],[Details]],CHAR(10)," "), FIND(CHAR(10),tblShipments2[[#This Row],[Details]])+1, 50)), 10)</f>
        <v>0509025765</v>
      </c>
      <c r="E163" t="s">
        <v>256</v>
      </c>
      <c r="F16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3" t="str">
        <f>IF(tblShipments2[[#This Row],[EGM no]]="", "Missing EGM", "EGM Submitted")</f>
        <v>EGM Submitted</v>
      </c>
      <c r="H163" t="str">
        <f>IF(OR(ISNUMBER(SEARCH("Released",tblShipments2[[#This Row],[ROSL]])),
      ISNUMBER(SEARCH("Scroll",tblShipments2[[#This Row],[ROSL]])),
      ISNUMBER(SEARCH("Y",tblShipments2[[#This Row],[ROSL]]))),
   "Released",
   "Not Released")</f>
        <v>Released</v>
      </c>
      <c r="I163" t="str">
        <f>IF(OR(tblShipments2[[#This Row],[EGM no]]="", tblShipments2[[#This Row],[EGM no]]="N.A."), "Not Submitted", "Submitted")</f>
        <v>Submitted</v>
      </c>
      <c r="J163" t="str">
        <f>IF(LEFT(tblShipments2[[#This Row],[Gateway_Extracted]],2)="IN","Valid","Invalid")</f>
        <v>Valid</v>
      </c>
      <c r="K163" t="s">
        <v>257</v>
      </c>
      <c r="L163" t="s">
        <v>258</v>
      </c>
      <c r="M163" t="s">
        <v>13</v>
      </c>
      <c r="N163" t="s">
        <v>259</v>
      </c>
      <c r="O163" t="str">
        <f>IFERROR("IN" &amp; _xlfn.TEXTBEFORE(_xlfn.TEXTAFTER(UPPER(tblShipments2[[#This Row],[Gateway_clean]]),"IN")," ",1),"")</f>
        <v>INNSA1</v>
      </c>
      <c r="P163" t="str">
        <f>SUBSTITUTE(tblShipments2[[#This Row],[Gateway]], CHAR(10), " ")</f>
        <v xml:space="preserve">AWB No. Gateway Port Gateway EGM No. Gateway EGM Date Gateway Site ID Error Code N.A.  INNSA1  N.A.  N.A.  N.A.  N.A. </v>
      </c>
      <c r="Q163" t="s">
        <v>26</v>
      </c>
    </row>
    <row r="164" spans="1:17" x14ac:dyDescent="0.35">
      <c r="A164" t="s">
        <v>8</v>
      </c>
      <c r="B164">
        <v>7958295</v>
      </c>
      <c r="C164" s="2" t="s">
        <v>255</v>
      </c>
      <c r="D164" s="2" t="str">
        <f>LEFT(TRIM(MID(SUBSTITUTE(tblShipments2[[#This Row],[Details]],CHAR(10)," "), FIND(CHAR(10),tblShipments2[[#This Row],[Details]])+1, 50)), 10)</f>
        <v>0598055665</v>
      </c>
      <c r="E164" t="s">
        <v>260</v>
      </c>
      <c r="F16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4" t="str">
        <f>IF(tblShipments2[[#This Row],[EGM no]]="", "Missing EGM", "EGM Submitted")</f>
        <v>EGM Submitted</v>
      </c>
      <c r="H164" t="str">
        <f>IF(OR(ISNUMBER(SEARCH("Released",tblShipments2[[#This Row],[ROSL]])),
      ISNUMBER(SEARCH("Scroll",tblShipments2[[#This Row],[ROSL]])),
      ISNUMBER(SEARCH("Y",tblShipments2[[#This Row],[ROSL]]))),
   "Released",
   "Not Released")</f>
        <v>Released</v>
      </c>
      <c r="I164" t="str">
        <f>IF(OR(tblShipments2[[#This Row],[EGM no]]="", tblShipments2[[#This Row],[EGM no]]="N.A."), "Not Submitted", "Submitted")</f>
        <v>Submitted</v>
      </c>
      <c r="J164" t="str">
        <f>IF(LEFT(tblShipments2[[#This Row],[Gateway_Extracted]],2)="IN","Valid","Invalid")</f>
        <v>Valid</v>
      </c>
      <c r="K164" t="s">
        <v>261</v>
      </c>
      <c r="L164" t="s">
        <v>262</v>
      </c>
      <c r="M164" t="s">
        <v>13</v>
      </c>
      <c r="N164" t="s">
        <v>263</v>
      </c>
      <c r="O164" t="str">
        <f>IFERROR("IN" &amp; _xlfn.TEXTBEFORE(_xlfn.TEXTAFTER(UPPER(tblShipments2[[#This Row],[Gateway_clean]]),"IN")," ",1),"")</f>
        <v>INNSA1</v>
      </c>
      <c r="P164" t="str">
        <f>SUBSTITUTE(tblShipments2[[#This Row],[Gateway]], CHAR(10), " ")</f>
        <v xml:space="preserve">AWB No. Gateway Port Gateway EGM No. Gateway EGM Date Gateway Site ID Error Code N.A.  INNSA1  N.A.  N.A.  N.A.  N.A. </v>
      </c>
      <c r="Q164" t="s">
        <v>26</v>
      </c>
    </row>
    <row r="165" spans="1:17" x14ac:dyDescent="0.35">
      <c r="A165" t="s">
        <v>8</v>
      </c>
      <c r="B165">
        <v>7961683</v>
      </c>
      <c r="C165" s="2" t="s">
        <v>255</v>
      </c>
      <c r="D165" s="2" t="str">
        <f>LEFT(TRIM(MID(SUBSTITUTE(tblShipments2[[#This Row],[Details]],CHAR(10)," "), FIND(CHAR(10),tblShipments2[[#This Row],[Details]])+1, 50)), 10)</f>
        <v>0507051360</v>
      </c>
      <c r="E165" t="s">
        <v>264</v>
      </c>
      <c r="F16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5" t="str">
        <f>IF(tblShipments2[[#This Row],[EGM no]]="", "Missing EGM", "EGM Submitted")</f>
        <v>EGM Submitted</v>
      </c>
      <c r="H165" t="str">
        <f>IF(OR(ISNUMBER(SEARCH("Released",tblShipments2[[#This Row],[ROSL]])),
      ISNUMBER(SEARCH("Scroll",tblShipments2[[#This Row],[ROSL]])),
      ISNUMBER(SEARCH("Y",tblShipments2[[#This Row],[ROSL]]))),
   "Released",
   "Not Released")</f>
        <v>Released</v>
      </c>
      <c r="I165" t="str">
        <f>IF(OR(tblShipments2[[#This Row],[EGM no]]="", tblShipments2[[#This Row],[EGM no]]="N.A."), "Not Submitted", "Submitted")</f>
        <v>Submitted</v>
      </c>
      <c r="J165" t="str">
        <f>IF(LEFT(tblShipments2[[#This Row],[Gateway_Extracted]],2)="IN","Valid","Invalid")</f>
        <v>Valid</v>
      </c>
      <c r="K165" t="s">
        <v>228</v>
      </c>
      <c r="L165" t="s">
        <v>224</v>
      </c>
      <c r="M165" t="s">
        <v>13</v>
      </c>
      <c r="N165" t="s">
        <v>265</v>
      </c>
      <c r="O165" t="str">
        <f>IFERROR("IN" &amp; _xlfn.TEXTBEFORE(_xlfn.TEXTAFTER(UPPER(tblShipments2[[#This Row],[Gateway_clean]]),"IN")," ",1),"")</f>
        <v>INNSA1</v>
      </c>
      <c r="P165" t="str">
        <f>SUBSTITUTE(tblShipments2[[#This Row],[Gateway]], CHAR(10), " ")</f>
        <v xml:space="preserve">AWB No. Gateway Port Gateway EGM No. Gateway EGM Date Gateway Site ID Error Code N.A.  INNSA1  133227  2017-08-14 00:00:00.0  INNSA1  S </v>
      </c>
      <c r="Q165" t="s">
        <v>266</v>
      </c>
    </row>
    <row r="166" spans="1:17" x14ac:dyDescent="0.35">
      <c r="A166" t="s">
        <v>8</v>
      </c>
      <c r="B166">
        <v>7968231</v>
      </c>
      <c r="C166" s="2" t="s">
        <v>255</v>
      </c>
      <c r="D166" s="2" t="str">
        <f>LEFT(TRIM(MID(SUBSTITUTE(tblShipments2[[#This Row],[Details]],CHAR(10)," "), FIND(CHAR(10),tblShipments2[[#This Row],[Details]])+1, 50)), 10)</f>
        <v>0517546981</v>
      </c>
      <c r="E166" t="s">
        <v>267</v>
      </c>
      <c r="F16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6" t="str">
        <f>IF(tblShipments2[[#This Row],[EGM no]]="", "Missing EGM", "EGM Submitted")</f>
        <v>EGM Submitted</v>
      </c>
      <c r="H166" t="str">
        <f>IF(OR(ISNUMBER(SEARCH("Released",tblShipments2[[#This Row],[ROSL]])),
      ISNUMBER(SEARCH("Scroll",tblShipments2[[#This Row],[ROSL]])),
      ISNUMBER(SEARCH("Y",tblShipments2[[#This Row],[ROSL]]))),
   "Released",
   "Not Released")</f>
        <v>Released</v>
      </c>
      <c r="I166" t="str">
        <f>IF(OR(tblShipments2[[#This Row],[EGM no]]="", tblShipments2[[#This Row],[EGM no]]="N.A."), "Not Submitted", "Submitted")</f>
        <v>Submitted</v>
      </c>
      <c r="J166" t="str">
        <f>IF(LEFT(tblShipments2[[#This Row],[Gateway_Extracted]],2)="IN","Valid","Invalid")</f>
        <v>Valid</v>
      </c>
      <c r="K166" t="s">
        <v>268</v>
      </c>
      <c r="L166" t="s">
        <v>269</v>
      </c>
      <c r="M166" t="s">
        <v>31</v>
      </c>
      <c r="N166" t="s">
        <v>270</v>
      </c>
      <c r="O166" t="str">
        <f>IFERROR("IN" &amp; _xlfn.TEXTBEFORE(_xlfn.TEXTAFTER(UPPER(tblShipments2[[#This Row],[Gateway_clean]]),"IN")," ",1),"")</f>
        <v>INMUN1</v>
      </c>
      <c r="P166" t="str">
        <f>SUBSTITUTE(tblShipments2[[#This Row],[Gateway]], CHAR(10), " ")</f>
        <v xml:space="preserve">AWB No. Gateway Port Gateway EGM No. Gateway EGM Date Gateway Site ID Error Code N.A.  INMUN1  137180  2017-10-18 00:00:00.0  INMUN1  ST </v>
      </c>
      <c r="Q166" t="s">
        <v>212</v>
      </c>
    </row>
    <row r="167" spans="1:17" x14ac:dyDescent="0.35">
      <c r="A167" t="s">
        <v>8</v>
      </c>
      <c r="B167">
        <v>7970037</v>
      </c>
      <c r="C167" s="2" t="s">
        <v>255</v>
      </c>
      <c r="D167" s="2" t="str">
        <f>LEFT(TRIM(MID(SUBSTITUTE(tblShipments2[[#This Row],[Details]],CHAR(10)," "), FIND(CHAR(10),tblShipments2[[#This Row],[Details]])+1, 50)), 10)</f>
        <v>0590022873</v>
      </c>
      <c r="E167" t="s">
        <v>271</v>
      </c>
      <c r="F16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7" t="str">
        <f>IF(tblShipments2[[#This Row],[EGM no]]="", "Missing EGM", "EGM Submitted")</f>
        <v>EGM Submitted</v>
      </c>
      <c r="H167" t="str">
        <f>IF(OR(ISNUMBER(SEARCH("Released",tblShipments2[[#This Row],[ROSL]])),
      ISNUMBER(SEARCH("Scroll",tblShipments2[[#This Row],[ROSL]])),
      ISNUMBER(SEARCH("Y",tblShipments2[[#This Row],[ROSL]]))),
   "Released",
   "Not Released")</f>
        <v>Released</v>
      </c>
      <c r="I167" t="str">
        <f>IF(OR(tblShipments2[[#This Row],[EGM no]]="", tblShipments2[[#This Row],[EGM no]]="N.A."), "Not Submitted", "Submitted")</f>
        <v>Submitted</v>
      </c>
      <c r="J167" t="str">
        <f>IF(LEFT(tblShipments2[[#This Row],[Gateway_Extracted]],2)="IN","Valid","Invalid")</f>
        <v>Valid</v>
      </c>
      <c r="K167" t="s">
        <v>272</v>
      </c>
      <c r="L167" t="s">
        <v>273</v>
      </c>
      <c r="M167" t="s">
        <v>13</v>
      </c>
      <c r="N167" t="s">
        <v>274</v>
      </c>
      <c r="O167" t="str">
        <f>IFERROR("IN" &amp; _xlfn.TEXTBEFORE(_xlfn.TEXTAFTER(UPPER(tblShipments2[[#This Row],[Gateway_clean]]),"IN")," ",1),"")</f>
        <v>INMUN1</v>
      </c>
      <c r="P167" t="str">
        <f>SUBSTITUTE(tblShipments2[[#This Row],[Gateway]], CHAR(10), " ")</f>
        <v xml:space="preserve">AWB No. Gateway Port Gateway EGM No. Gateway EGM Date Gateway Site ID Error Code N.A.  INMUN1  134147  2017-08-29 00:00:00.0  INMUN1  S </v>
      </c>
      <c r="Q167" t="s">
        <v>275</v>
      </c>
    </row>
    <row r="168" spans="1:17" x14ac:dyDescent="0.35">
      <c r="A168" t="s">
        <v>8</v>
      </c>
      <c r="B168">
        <v>7970441</v>
      </c>
      <c r="C168" s="2" t="s">
        <v>255</v>
      </c>
      <c r="D168" s="2" t="str">
        <f>LEFT(TRIM(MID(SUBSTITUTE(tblShipments2[[#This Row],[Details]],CHAR(10)," "), FIND(CHAR(10),tblShipments2[[#This Row],[Details]])+1, 50)), 10)</f>
        <v>0314035087</v>
      </c>
      <c r="E168" t="s">
        <v>276</v>
      </c>
      <c r="F16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8" t="str">
        <f>IF(tblShipments2[[#This Row],[EGM no]]="", "Missing EGM", "EGM Submitted")</f>
        <v>EGM Submitted</v>
      </c>
      <c r="H168" t="str">
        <f>IF(OR(ISNUMBER(SEARCH("Released",tblShipments2[[#This Row],[ROSL]])),
      ISNUMBER(SEARCH("Scroll",tblShipments2[[#This Row],[ROSL]])),
      ISNUMBER(SEARCH("Y",tblShipments2[[#This Row],[ROSL]]))),
   "Released",
   "Not Released")</f>
        <v>Released</v>
      </c>
      <c r="I168" t="str">
        <f>IF(OR(tblShipments2[[#This Row],[EGM no]]="", tblShipments2[[#This Row],[EGM no]]="N.A."), "Not Submitted", "Submitted")</f>
        <v>Submitted</v>
      </c>
      <c r="J168" t="str">
        <f>IF(LEFT(tblShipments2[[#This Row],[Gateway_Extracted]],2)="IN","Valid","Invalid")</f>
        <v>Valid</v>
      </c>
      <c r="K168" t="s">
        <v>183</v>
      </c>
      <c r="L168" t="s">
        <v>277</v>
      </c>
      <c r="M168" t="s">
        <v>13</v>
      </c>
      <c r="N168" t="s">
        <v>278</v>
      </c>
      <c r="O168" t="str">
        <f>IFERROR("IN" &amp; _xlfn.TEXTBEFORE(_xlfn.TEXTAFTER(UPPER(tblShipments2[[#This Row],[Gateway_clean]]),"IN")," ",1),"")</f>
        <v>INMUN1</v>
      </c>
      <c r="P168" t="str">
        <f>SUBSTITUTE(tblShipments2[[#This Row],[Gateway]], CHAR(10), " ")</f>
        <v xml:space="preserve">AWB No. Gateway Port Gateway EGM No. Gateway EGM Date Gateway Site ID Error Code N.A.  INMUN1  134794  2017-09-08 00:00:00.0  INMUN1  S </v>
      </c>
      <c r="Q168" t="s">
        <v>279</v>
      </c>
    </row>
    <row r="169" spans="1:17" x14ac:dyDescent="0.35">
      <c r="A169" t="s">
        <v>8</v>
      </c>
      <c r="B169">
        <v>7971432</v>
      </c>
      <c r="C169" s="2" t="s">
        <v>255</v>
      </c>
      <c r="D169" s="2" t="str">
        <f>LEFT(TRIM(MID(SUBSTITUTE(tblShipments2[[#This Row],[Details]],CHAR(10)," "), FIND(CHAR(10),tblShipments2[[#This Row],[Details]])+1, 50)), 10)</f>
        <v>0503083518</v>
      </c>
      <c r="E169" t="s">
        <v>280</v>
      </c>
      <c r="F16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69" t="str">
        <f>IF(tblShipments2[[#This Row],[EGM no]]="", "Missing EGM", "EGM Submitted")</f>
        <v>EGM Submitted</v>
      </c>
      <c r="H169" t="str">
        <f>IF(OR(ISNUMBER(SEARCH("Released",tblShipments2[[#This Row],[ROSL]])),
      ISNUMBER(SEARCH("Scroll",tblShipments2[[#This Row],[ROSL]])),
      ISNUMBER(SEARCH("Y",tblShipments2[[#This Row],[ROSL]]))),
   "Released",
   "Not Released")</f>
        <v>Released</v>
      </c>
      <c r="I169" t="str">
        <f>IF(OR(tblShipments2[[#This Row],[EGM no]]="", tblShipments2[[#This Row],[EGM no]]="N.A."), "Not Submitted", "Submitted")</f>
        <v>Submitted</v>
      </c>
      <c r="J169" t="str">
        <f>IF(LEFT(tblShipments2[[#This Row],[Gateway_Extracted]],2)="IN","Valid","Invalid")</f>
        <v>Valid</v>
      </c>
      <c r="K169" t="s">
        <v>241</v>
      </c>
      <c r="L169" t="s">
        <v>281</v>
      </c>
      <c r="M169" t="s">
        <v>13</v>
      </c>
      <c r="N169" t="s">
        <v>282</v>
      </c>
      <c r="O169" t="str">
        <f>IFERROR("IN" &amp; _xlfn.TEXTBEFORE(_xlfn.TEXTAFTER(UPPER(tblShipments2[[#This Row],[Gateway_clean]]),"IN")," ",1),"")</f>
        <v>INPAV1</v>
      </c>
      <c r="P169" t="str">
        <f>SUBSTITUTE(tblShipments2[[#This Row],[Gateway]], CHAR(10), " ")</f>
        <v xml:space="preserve">AWB No. Gateway Port Gateway EGM No. Gateway EGM Date Gateway Site ID Error Code N.A.  INPAV1  133387  2017-08-16 00:00:00.0  INPAV1  S </v>
      </c>
      <c r="Q169" t="s">
        <v>283</v>
      </c>
    </row>
    <row r="170" spans="1:17" x14ac:dyDescent="0.35">
      <c r="A170" t="s">
        <v>8</v>
      </c>
      <c r="B170">
        <v>7984652</v>
      </c>
      <c r="C170" s="2" t="s">
        <v>284</v>
      </c>
      <c r="D170" s="2" t="str">
        <f>LEFT(TRIM(MID(SUBSTITUTE(tblShipments2[[#This Row],[Details]],CHAR(10)," "), FIND(CHAR(10),tblShipments2[[#This Row],[Details]])+1, 50)), 10)</f>
        <v>0510040519</v>
      </c>
      <c r="E170" t="s">
        <v>285</v>
      </c>
      <c r="F17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0" t="str">
        <f>IF(tblShipments2[[#This Row],[EGM no]]="", "Missing EGM", "EGM Submitted")</f>
        <v>EGM Submitted</v>
      </c>
      <c r="H170" t="str">
        <f>IF(OR(ISNUMBER(SEARCH("Released",tblShipments2[[#This Row],[ROSL]])),
      ISNUMBER(SEARCH("Scroll",tblShipments2[[#This Row],[ROSL]])),
      ISNUMBER(SEARCH("Y",tblShipments2[[#This Row],[ROSL]]))),
   "Released",
   "Not Released")</f>
        <v>Released</v>
      </c>
      <c r="I170" t="str">
        <f>IF(OR(tblShipments2[[#This Row],[EGM no]]="", tblShipments2[[#This Row],[EGM no]]="N.A."), "Not Submitted", "Submitted")</f>
        <v>Submitted</v>
      </c>
      <c r="J170" t="str">
        <f>IF(LEFT(tblShipments2[[#This Row],[Gateway_Extracted]],2)="IN","Valid","Invalid")</f>
        <v>Valid</v>
      </c>
      <c r="K170" t="s">
        <v>286</v>
      </c>
      <c r="L170" t="s">
        <v>287</v>
      </c>
      <c r="M170" t="s">
        <v>13</v>
      </c>
      <c r="N170" t="s">
        <v>288</v>
      </c>
      <c r="O170" t="str">
        <f>IFERROR("IN" &amp; _xlfn.TEXTBEFORE(_xlfn.TEXTAFTER(UPPER(tblShipments2[[#This Row],[Gateway_clean]]),"IN")," ",1),"")</f>
        <v>INNSA1</v>
      </c>
      <c r="P170" t="str">
        <f>SUBSTITUTE(tblShipments2[[#This Row],[Gateway]], CHAR(10), " ")</f>
        <v xml:space="preserve">AWB No. Gateway Port Gateway EGM No. Gateway EGM Date Gateway Site ID Error Code N.A.  INNSA1  133031  2017-08-10 00:00:00.0  INNSA1  S </v>
      </c>
      <c r="Q170" t="s">
        <v>289</v>
      </c>
    </row>
    <row r="171" spans="1:17" x14ac:dyDescent="0.35">
      <c r="A171" t="s">
        <v>8</v>
      </c>
      <c r="B171">
        <v>8018847</v>
      </c>
      <c r="C171" s="2" t="s">
        <v>290</v>
      </c>
      <c r="D171" s="2" t="str">
        <f>LEFT(TRIM(MID(SUBSTITUTE(tblShipments2[[#This Row],[Details]],CHAR(10)," "), FIND(CHAR(10),tblShipments2[[#This Row],[Details]])+1, 50)), 10)</f>
        <v>0514081988</v>
      </c>
      <c r="E171" t="s">
        <v>291</v>
      </c>
      <c r="F17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1" t="str">
        <f>IF(tblShipments2[[#This Row],[EGM no]]="", "Missing EGM", "EGM Submitted")</f>
        <v>EGM Submitted</v>
      </c>
      <c r="H171" t="str">
        <f>IF(OR(ISNUMBER(SEARCH("Released",tblShipments2[[#This Row],[ROSL]])),
      ISNUMBER(SEARCH("Scroll",tblShipments2[[#This Row],[ROSL]])),
      ISNUMBER(SEARCH("Y",tblShipments2[[#This Row],[ROSL]]))),
   "Released",
   "Not Released")</f>
        <v>Released</v>
      </c>
      <c r="I171" t="str">
        <f>IF(OR(tblShipments2[[#This Row],[EGM no]]="", tblShipments2[[#This Row],[EGM no]]="N.A."), "Not Submitted", "Submitted")</f>
        <v>Submitted</v>
      </c>
      <c r="J171" t="str">
        <f>IF(LEFT(tblShipments2[[#This Row],[Gateway_Extracted]],2)="IN","Valid","Invalid")</f>
        <v>Valid</v>
      </c>
      <c r="K171" t="s">
        <v>286</v>
      </c>
      <c r="L171" t="s">
        <v>292</v>
      </c>
      <c r="M171" t="s">
        <v>13</v>
      </c>
      <c r="N171" t="s">
        <v>293</v>
      </c>
      <c r="O171" t="str">
        <f>IFERROR("IN" &amp; _xlfn.TEXTBEFORE(_xlfn.TEXTAFTER(UPPER(tblShipments2[[#This Row],[Gateway_clean]]),"IN")," ",1),"")</f>
        <v>INPAV1</v>
      </c>
      <c r="P171" t="str">
        <f>SUBSTITUTE(tblShipments2[[#This Row],[Gateway]], CHAR(10), " ")</f>
        <v xml:space="preserve">AWB No. Gateway Port Gateway EGM No. Gateway EGM Date Gateway Site ID Error Code N.A.  INPAV1  132215  2017-07-26 00:00:00.0  INPAV1  S </v>
      </c>
      <c r="Q171" t="s">
        <v>294</v>
      </c>
    </row>
    <row r="172" spans="1:17" x14ac:dyDescent="0.35">
      <c r="A172" t="s">
        <v>8</v>
      </c>
      <c r="B172">
        <v>8022473</v>
      </c>
      <c r="C172" s="2" t="s">
        <v>295</v>
      </c>
      <c r="D172" s="2" t="str">
        <f>LEFT(TRIM(MID(SUBSTITUTE(tblShipments2[[#This Row],[Details]],CHAR(10)," "), FIND(CHAR(10),tblShipments2[[#This Row],[Details]])+1, 50)), 10)</f>
        <v>0512062013</v>
      </c>
      <c r="E172" t="s">
        <v>296</v>
      </c>
      <c r="F17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2" t="str">
        <f>IF(tblShipments2[[#This Row],[EGM no]]="", "Missing EGM", "EGM Submitted")</f>
        <v>EGM Submitted</v>
      </c>
      <c r="H172" t="str">
        <f>IF(OR(ISNUMBER(SEARCH("Released",tblShipments2[[#This Row],[ROSL]])),
      ISNUMBER(SEARCH("Scroll",tblShipments2[[#This Row],[ROSL]])),
      ISNUMBER(SEARCH("Y",tblShipments2[[#This Row],[ROSL]]))),
   "Released",
   "Not Released")</f>
        <v>Released</v>
      </c>
      <c r="I172" t="str">
        <f>IF(OR(tblShipments2[[#This Row],[EGM no]]="", tblShipments2[[#This Row],[EGM no]]="N.A."), "Not Submitted", "Submitted")</f>
        <v>Submitted</v>
      </c>
      <c r="J172" t="str">
        <f>IF(LEFT(tblShipments2[[#This Row],[Gateway_Extracted]],2)="IN","Valid","Invalid")</f>
        <v>Valid</v>
      </c>
      <c r="K172" t="s">
        <v>297</v>
      </c>
      <c r="L172" t="s">
        <v>298</v>
      </c>
      <c r="M172" t="s">
        <v>13</v>
      </c>
      <c r="N172" t="s">
        <v>299</v>
      </c>
      <c r="O172" t="str">
        <f>IFERROR("IN" &amp; _xlfn.TEXTBEFORE(_xlfn.TEXTAFTER(UPPER(tblShipments2[[#This Row],[Gateway_clean]]),"IN")," ",1),"")</f>
        <v>INNSA1</v>
      </c>
      <c r="P172" t="str">
        <f>SUBSTITUTE(tblShipments2[[#This Row],[Gateway]], CHAR(10), " ")</f>
        <v xml:space="preserve">AWB No. Gateway Port Gateway EGM No. Gateway EGM Date Gateway Site ID Error Code N.A.  INNSA1  134040  2017-08-28 00:00:00.0  INNSA1  S </v>
      </c>
      <c r="Q172" t="s">
        <v>300</v>
      </c>
    </row>
    <row r="173" spans="1:17" x14ac:dyDescent="0.35">
      <c r="A173" t="s">
        <v>8</v>
      </c>
      <c r="B173">
        <v>8035307</v>
      </c>
      <c r="C173" s="2" t="s">
        <v>295</v>
      </c>
      <c r="D173" s="2" t="str">
        <f>LEFT(TRIM(MID(SUBSTITUTE(tblShipments2[[#This Row],[Details]],CHAR(10)," "), FIND(CHAR(10),tblShipments2[[#This Row],[Details]])+1, 50)), 10)</f>
        <v>0513021612</v>
      </c>
      <c r="E173" t="s">
        <v>301</v>
      </c>
      <c r="F17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3" t="str">
        <f>IF(tblShipments2[[#This Row],[EGM no]]="", "Missing EGM", "EGM Submitted")</f>
        <v>EGM Submitted</v>
      </c>
      <c r="H173" t="str">
        <f>IF(OR(ISNUMBER(SEARCH("Released",tblShipments2[[#This Row],[ROSL]])),
      ISNUMBER(SEARCH("Scroll",tblShipments2[[#This Row],[ROSL]])),
      ISNUMBER(SEARCH("Y",tblShipments2[[#This Row],[ROSL]]))),
   "Released",
   "Not Released")</f>
        <v>Released</v>
      </c>
      <c r="I173" t="str">
        <f>IF(OR(tblShipments2[[#This Row],[EGM no]]="", tblShipments2[[#This Row],[EGM no]]="N.A."), "Not Submitted", "Submitted")</f>
        <v>Submitted</v>
      </c>
      <c r="J173" t="str">
        <f>IF(LEFT(tblShipments2[[#This Row],[Gateway_Extracted]],2)="IN","Valid","Invalid")</f>
        <v>Valid</v>
      </c>
      <c r="K173" t="s">
        <v>302</v>
      </c>
      <c r="L173" t="s">
        <v>303</v>
      </c>
      <c r="M173" t="s">
        <v>13</v>
      </c>
      <c r="N173" t="s">
        <v>304</v>
      </c>
      <c r="O173" t="str">
        <f>IFERROR("IN" &amp; _xlfn.TEXTBEFORE(_xlfn.TEXTAFTER(UPPER(tblShipments2[[#This Row],[Gateway_clean]]),"IN")," ",1),"")</f>
        <v>INNSA1</v>
      </c>
      <c r="P173" t="str">
        <f>SUBSTITUTE(tblShipments2[[#This Row],[Gateway]], CHAR(10), " ")</f>
        <v xml:space="preserve">AWB No. Gateway Port Gateway EGM No. Gateway EGM Date Gateway Site ID Error Code N.A.  INNSA1  133314  2017-08-16 00:00:00.0  INNSA1  S </v>
      </c>
      <c r="Q173" t="s">
        <v>305</v>
      </c>
    </row>
    <row r="174" spans="1:17" x14ac:dyDescent="0.35">
      <c r="A174" t="s">
        <v>8</v>
      </c>
      <c r="B174">
        <v>8039228</v>
      </c>
      <c r="C174" s="2" t="s">
        <v>295</v>
      </c>
      <c r="D174" s="2" t="str">
        <f>LEFT(TRIM(MID(SUBSTITUTE(tblShipments2[[#This Row],[Details]],CHAR(10)," "), FIND(CHAR(10),tblShipments2[[#This Row],[Details]])+1, 50)), 10)</f>
        <v>0515042064</v>
      </c>
      <c r="E174" t="s">
        <v>306</v>
      </c>
      <c r="F17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4" t="str">
        <f>IF(tblShipments2[[#This Row],[EGM no]]="", "Missing EGM", "EGM Submitted")</f>
        <v>EGM Submitted</v>
      </c>
      <c r="H174" t="str">
        <f>IF(OR(ISNUMBER(SEARCH("Released",tblShipments2[[#This Row],[ROSL]])),
      ISNUMBER(SEARCH("Scroll",tblShipments2[[#This Row],[ROSL]])),
      ISNUMBER(SEARCH("Y",tblShipments2[[#This Row],[ROSL]]))),
   "Released",
   "Not Released")</f>
        <v>Released</v>
      </c>
      <c r="I174" t="str">
        <f>IF(OR(tblShipments2[[#This Row],[EGM no]]="", tblShipments2[[#This Row],[EGM no]]="N.A."), "Not Submitted", "Submitted")</f>
        <v>Submitted</v>
      </c>
      <c r="J174" t="str">
        <f>IF(LEFT(tblShipments2[[#This Row],[Gateway_Extracted]],2)="IN","Valid","Invalid")</f>
        <v>Valid</v>
      </c>
      <c r="K174" t="s">
        <v>307</v>
      </c>
      <c r="L174" t="s">
        <v>308</v>
      </c>
      <c r="M174" t="s">
        <v>13</v>
      </c>
      <c r="N174" t="s">
        <v>309</v>
      </c>
      <c r="O174" t="str">
        <f>IFERROR("IN" &amp; _xlfn.TEXTBEFORE(_xlfn.TEXTAFTER(UPPER(tblShipments2[[#This Row],[Gateway_clean]]),"IN")," ",1),"")</f>
        <v>INNSA1</v>
      </c>
      <c r="P174" t="str">
        <f>SUBSTITUTE(tblShipments2[[#This Row],[Gateway]], CHAR(10), " ")</f>
        <v xml:space="preserve">AWB No. Gateway Port Gateway EGM No. Gateway EGM Date Gateway Site ID Error Code N.A.  INNSA1  N.A.  N.A.  N.A.  N.A. </v>
      </c>
      <c r="Q174" t="s">
        <v>26</v>
      </c>
    </row>
    <row r="175" spans="1:17" x14ac:dyDescent="0.35">
      <c r="A175" t="s">
        <v>8</v>
      </c>
      <c r="B175">
        <v>8055596</v>
      </c>
      <c r="C175" s="2" t="s">
        <v>310</v>
      </c>
      <c r="D175" s="2" t="str">
        <f>LEFT(TRIM(MID(SUBSTITUTE(tblShipments2[[#This Row],[Details]],CHAR(10)," "), FIND(CHAR(10),tblShipments2[[#This Row],[Details]])+1, 50)), 10)</f>
        <v>0593058577</v>
      </c>
      <c r="E175" t="s">
        <v>311</v>
      </c>
      <c r="F17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5" t="str">
        <f>IF(tblShipments2[[#This Row],[EGM no]]="", "Missing EGM", "EGM Submitted")</f>
        <v>EGM Submitted</v>
      </c>
      <c r="H175" t="str">
        <f>IF(OR(ISNUMBER(SEARCH("Released",tblShipments2[[#This Row],[ROSL]])),
      ISNUMBER(SEARCH("Scroll",tblShipments2[[#This Row],[ROSL]])),
      ISNUMBER(SEARCH("Y",tblShipments2[[#This Row],[ROSL]]))),
   "Released",
   "Not Released")</f>
        <v>Released</v>
      </c>
      <c r="I175" t="str">
        <f>IF(OR(tblShipments2[[#This Row],[EGM no]]="", tblShipments2[[#This Row],[EGM no]]="N.A."), "Not Submitted", "Submitted")</f>
        <v>Submitted</v>
      </c>
      <c r="J175" t="str">
        <f>IF(LEFT(tblShipments2[[#This Row],[Gateway_Extracted]],2)="IN","Valid","Invalid")</f>
        <v>Valid</v>
      </c>
      <c r="K175" t="s">
        <v>312</v>
      </c>
      <c r="L175" t="s">
        <v>313</v>
      </c>
      <c r="M175" t="s">
        <v>13</v>
      </c>
      <c r="N175" t="s">
        <v>314</v>
      </c>
      <c r="O175" t="str">
        <f>IFERROR("IN" &amp; _xlfn.TEXTBEFORE(_xlfn.TEXTAFTER(UPPER(tblShipments2[[#This Row],[Gateway_clean]]),"IN")," ",1),"")</f>
        <v>INMUN1</v>
      </c>
      <c r="P175" t="str">
        <f>SUBSTITUTE(tblShipments2[[#This Row],[Gateway]], CHAR(10), " ")</f>
        <v xml:space="preserve">AWB No. Gateway Port Gateway EGM No. Gateway EGM Date Gateway Site ID Error Code N.A.  INMUN1  134051  2017-08-28 00:00:00.0  INMUN1  S </v>
      </c>
      <c r="Q175" t="s">
        <v>315</v>
      </c>
    </row>
    <row r="176" spans="1:17" x14ac:dyDescent="0.35">
      <c r="A176" t="s">
        <v>8</v>
      </c>
      <c r="B176">
        <v>8061134</v>
      </c>
      <c r="C176" s="2" t="s">
        <v>310</v>
      </c>
      <c r="D176" s="2" t="str">
        <f>LEFT(TRIM(MID(SUBSTITUTE(tblShipments2[[#This Row],[Details]],CHAR(10)," "), FIND(CHAR(10),tblShipments2[[#This Row],[Details]])+1, 50)), 10)</f>
        <v>0515042064</v>
      </c>
      <c r="E176" t="s">
        <v>316</v>
      </c>
      <c r="F17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6" t="str">
        <f>IF(tblShipments2[[#This Row],[EGM no]]="", "Missing EGM", "EGM Submitted")</f>
        <v>EGM Submitted</v>
      </c>
      <c r="H176" t="str">
        <f>IF(OR(ISNUMBER(SEARCH("Released",tblShipments2[[#This Row],[ROSL]])),
      ISNUMBER(SEARCH("Scroll",tblShipments2[[#This Row],[ROSL]])),
      ISNUMBER(SEARCH("Y",tblShipments2[[#This Row],[ROSL]]))),
   "Released",
   "Not Released")</f>
        <v>Released</v>
      </c>
      <c r="I176" t="str">
        <f>IF(OR(tblShipments2[[#This Row],[EGM no]]="", tblShipments2[[#This Row],[EGM no]]="N.A."), "Not Submitted", "Submitted")</f>
        <v>Submitted</v>
      </c>
      <c r="J176" t="str">
        <f>IF(LEFT(tblShipments2[[#This Row],[Gateway_Extracted]],2)="IN","Valid","Invalid")</f>
        <v>Valid</v>
      </c>
      <c r="K176" t="s">
        <v>317</v>
      </c>
      <c r="L176" t="s">
        <v>318</v>
      </c>
      <c r="M176" t="s">
        <v>13</v>
      </c>
      <c r="N176" t="s">
        <v>319</v>
      </c>
      <c r="O176" t="str">
        <f>IFERROR("IN" &amp; _xlfn.TEXTBEFORE(_xlfn.TEXTAFTER(UPPER(tblShipments2[[#This Row],[Gateway_clean]]),"IN")," ",1),"")</f>
        <v>INNSA1</v>
      </c>
      <c r="P176" t="str">
        <f>SUBSTITUTE(tblShipments2[[#This Row],[Gateway]], CHAR(10), " ")</f>
        <v xml:space="preserve">AWB No. Gateway Port Gateway EGM No. Gateway EGM Date Gateway Site ID Error Code N.A.  INNSA1  134474  2017-09-04 00:00:00.0  INNSA1  C </v>
      </c>
      <c r="Q176" t="s">
        <v>320</v>
      </c>
    </row>
    <row r="177" spans="1:17" x14ac:dyDescent="0.35">
      <c r="A177" t="s">
        <v>8</v>
      </c>
      <c r="B177">
        <v>8065467</v>
      </c>
      <c r="C177" s="2" t="s">
        <v>310</v>
      </c>
      <c r="D177" s="2" t="str">
        <f>LEFT(TRIM(MID(SUBSTITUTE(tblShipments2[[#This Row],[Details]],CHAR(10)," "), FIND(CHAR(10),tblShipments2[[#This Row],[Details]])+1, 50)), 10)</f>
        <v>0509092110</v>
      </c>
      <c r="E177" t="s">
        <v>321</v>
      </c>
      <c r="F17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7" t="str">
        <f>IF(tblShipments2[[#This Row],[EGM no]]="", "Missing EGM", "EGM Submitted")</f>
        <v>EGM Submitted</v>
      </c>
      <c r="H177" t="str">
        <f>IF(OR(ISNUMBER(SEARCH("Released",tblShipments2[[#This Row],[ROSL]])),
      ISNUMBER(SEARCH("Scroll",tblShipments2[[#This Row],[ROSL]])),
      ISNUMBER(SEARCH("Y",tblShipments2[[#This Row],[ROSL]]))),
   "Released",
   "Not Released")</f>
        <v>Not Released</v>
      </c>
      <c r="I177" t="str">
        <f>IF(OR(tblShipments2[[#This Row],[EGM no]]="", tblShipments2[[#This Row],[EGM no]]="N.A."), "Not Submitted", "Submitted")</f>
        <v>Submitted</v>
      </c>
      <c r="J177" t="str">
        <f>IF(LEFT(tblShipments2[[#This Row],[Gateway_Extracted]],2)="IN","Valid","Invalid")</f>
        <v>Valid</v>
      </c>
      <c r="K177" t="s">
        <v>261</v>
      </c>
      <c r="L177" t="s">
        <v>322</v>
      </c>
      <c r="M177" t="s">
        <v>105</v>
      </c>
      <c r="N177" t="s">
        <v>323</v>
      </c>
      <c r="O177" t="str">
        <f>IFERROR("IN" &amp; _xlfn.TEXTBEFORE(_xlfn.TEXTAFTER(UPPER(tblShipments2[[#This Row],[Gateway_clean]]),"IN")," ",1),"")</f>
        <v>INMUN1</v>
      </c>
      <c r="P177" t="str">
        <f>SUBSTITUTE(tblShipments2[[#This Row],[Gateway]], CHAR(10), " ")</f>
        <v xml:space="preserve">AWB No. Gateway Port Gateway EGM No. Gateway EGM Date Gateway Site ID Error Code N.A.  INMUN1  137180  2017-10-18 00:00:00.0  INMUN1  ST </v>
      </c>
      <c r="Q177" t="s">
        <v>212</v>
      </c>
    </row>
    <row r="178" spans="1:17" x14ac:dyDescent="0.35">
      <c r="A178" t="s">
        <v>8</v>
      </c>
      <c r="B178">
        <v>8065602</v>
      </c>
      <c r="C178" s="2" t="s">
        <v>310</v>
      </c>
      <c r="D178" s="2" t="str">
        <f>LEFT(TRIM(MID(SUBSTITUTE(tblShipments2[[#This Row],[Details]],CHAR(10)," "), FIND(CHAR(10),tblShipments2[[#This Row],[Details]])+1, 50)), 10)</f>
        <v>0599007931</v>
      </c>
      <c r="E178" t="s">
        <v>324</v>
      </c>
      <c r="F17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8" t="str">
        <f>IF(tblShipments2[[#This Row],[EGM no]]="", "Missing EGM", "EGM Submitted")</f>
        <v>EGM Submitted</v>
      </c>
      <c r="H178" t="str">
        <f>IF(OR(ISNUMBER(SEARCH("Released",tblShipments2[[#This Row],[ROSL]])),
      ISNUMBER(SEARCH("Scroll",tblShipments2[[#This Row],[ROSL]])),
      ISNUMBER(SEARCH("Y",tblShipments2[[#This Row],[ROSL]]))),
   "Released",
   "Not Released")</f>
        <v>Released</v>
      </c>
      <c r="I178" t="str">
        <f>IF(OR(tblShipments2[[#This Row],[EGM no]]="", tblShipments2[[#This Row],[EGM no]]="N.A."), "Not Submitted", "Submitted")</f>
        <v>Submitted</v>
      </c>
      <c r="J178" t="str">
        <f>IF(LEFT(tblShipments2[[#This Row],[Gateway_Extracted]],2)="IN","Valid","Invalid")</f>
        <v>Valid</v>
      </c>
      <c r="K178" t="s">
        <v>325</v>
      </c>
      <c r="L178" t="s">
        <v>326</v>
      </c>
      <c r="M178" t="s">
        <v>31</v>
      </c>
      <c r="N178" t="s">
        <v>327</v>
      </c>
      <c r="O178" t="str">
        <f>IFERROR("IN" &amp; _xlfn.TEXTBEFORE(_xlfn.TEXTAFTER(UPPER(tblShipments2[[#This Row],[Gateway_clean]]),"IN")," ",1),"")</f>
        <v>INNSA1</v>
      </c>
      <c r="P178" t="str">
        <f>SUBSTITUTE(tblShipments2[[#This Row],[Gateway]], CHAR(10), " ")</f>
        <v xml:space="preserve">AWB No. Gateway Port Gateway EGM No. Gateway EGM Date Gateway Site ID Error Code N.A.  INNSA1  134681  2017-09-07 00:00:00.0  INNSA1  S </v>
      </c>
      <c r="Q178" t="s">
        <v>328</v>
      </c>
    </row>
    <row r="179" spans="1:17" x14ac:dyDescent="0.35">
      <c r="A179" t="s">
        <v>8</v>
      </c>
      <c r="B179">
        <v>8067051</v>
      </c>
      <c r="C179" s="2" t="s">
        <v>310</v>
      </c>
      <c r="D179" s="2" t="str">
        <f>LEFT(TRIM(MID(SUBSTITUTE(tblShipments2[[#This Row],[Details]],CHAR(10)," "), FIND(CHAR(10),tblShipments2[[#This Row],[Details]])+1, 50)), 10)</f>
        <v>0514087234</v>
      </c>
      <c r="E179" t="s">
        <v>329</v>
      </c>
      <c r="F17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79" t="str">
        <f>IF(tblShipments2[[#This Row],[EGM no]]="", "Missing EGM", "EGM Submitted")</f>
        <v>EGM Submitted</v>
      </c>
      <c r="H179" t="str">
        <f>IF(OR(ISNUMBER(SEARCH("Released",tblShipments2[[#This Row],[ROSL]])),
      ISNUMBER(SEARCH("Scroll",tblShipments2[[#This Row],[ROSL]])),
      ISNUMBER(SEARCH("Y",tblShipments2[[#This Row],[ROSL]]))),
   "Released",
   "Not Released")</f>
        <v>Released</v>
      </c>
      <c r="I179" t="str">
        <f>IF(OR(tblShipments2[[#This Row],[EGM no]]="", tblShipments2[[#This Row],[EGM no]]="N.A."), "Not Submitted", "Submitted")</f>
        <v>Submitted</v>
      </c>
      <c r="J179" t="str">
        <f>IF(LEFT(tblShipments2[[#This Row],[Gateway_Extracted]],2)="IN","Valid","Invalid")</f>
        <v>Valid</v>
      </c>
      <c r="K179" t="s">
        <v>330</v>
      </c>
      <c r="L179" t="s">
        <v>331</v>
      </c>
      <c r="M179" t="s">
        <v>13</v>
      </c>
      <c r="N179" t="s">
        <v>332</v>
      </c>
      <c r="O179" t="str">
        <f>IFERROR("IN" &amp; _xlfn.TEXTBEFORE(_xlfn.TEXTAFTER(UPPER(tblShipments2[[#This Row],[Gateway_clean]]),"IN")," ",1),"")</f>
        <v>INMUN1</v>
      </c>
      <c r="P179" t="str">
        <f>SUBSTITUTE(tblShipments2[[#This Row],[Gateway]], CHAR(10), " ")</f>
        <v xml:space="preserve">AWB No. Gateway Port Gateway EGM No. Gateway EGM Date Gateway Site ID Error Code N.A.  INMUN1  133949  2017-08-26 00:00:00.0  INMUN1  S </v>
      </c>
      <c r="Q179" t="s">
        <v>333</v>
      </c>
    </row>
    <row r="180" spans="1:17" x14ac:dyDescent="0.35">
      <c r="A180" t="s">
        <v>8</v>
      </c>
      <c r="B180">
        <v>8086454</v>
      </c>
      <c r="C180" s="2" t="s">
        <v>334</v>
      </c>
      <c r="D180" s="2" t="str">
        <f>LEFT(TRIM(MID(SUBSTITUTE(tblShipments2[[#This Row],[Details]],CHAR(10)," "), FIND(CHAR(10),tblShipments2[[#This Row],[Details]])+1, 50)), 10)</f>
        <v>0509006191</v>
      </c>
      <c r="E180" t="s">
        <v>335</v>
      </c>
      <c r="F18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0" t="str">
        <f>IF(tblShipments2[[#This Row],[EGM no]]="", "Missing EGM", "EGM Submitted")</f>
        <v>EGM Submitted</v>
      </c>
      <c r="H180" t="str">
        <f>IF(OR(ISNUMBER(SEARCH("Released",tblShipments2[[#This Row],[ROSL]])),
      ISNUMBER(SEARCH("Scroll",tblShipments2[[#This Row],[ROSL]])),
      ISNUMBER(SEARCH("Y",tblShipments2[[#This Row],[ROSL]]))),
   "Released",
   "Not Released")</f>
        <v>Released</v>
      </c>
      <c r="I180" t="str">
        <f>IF(OR(tblShipments2[[#This Row],[EGM no]]="", tblShipments2[[#This Row],[EGM no]]="N.A."), "Not Submitted", "Submitted")</f>
        <v>Submitted</v>
      </c>
      <c r="J180" t="str">
        <f>IF(LEFT(tblShipments2[[#This Row],[Gateway_Extracted]],2)="IN","Valid","Invalid")</f>
        <v>Valid</v>
      </c>
      <c r="K180" t="s">
        <v>336</v>
      </c>
      <c r="L180" t="s">
        <v>337</v>
      </c>
      <c r="M180" t="s">
        <v>31</v>
      </c>
      <c r="N180" t="s">
        <v>338</v>
      </c>
      <c r="O180" t="str">
        <f>IFERROR("IN" &amp; _xlfn.TEXTBEFORE(_xlfn.TEXTAFTER(UPPER(tblShipments2[[#This Row],[Gateway_clean]]),"IN")," ",1),"")</f>
        <v>INNSA1</v>
      </c>
      <c r="P180" t="str">
        <f>SUBSTITUTE(tblShipments2[[#This Row],[Gateway]], CHAR(10), " ")</f>
        <v xml:space="preserve">AWB No. Gateway Port Gateway EGM No. Gateway EGM Date Gateway Site ID Error Code N.A.  INNSA1  133604  2017-08-19 00:00:00.0  INNSA1  S </v>
      </c>
      <c r="Q180" t="s">
        <v>339</v>
      </c>
    </row>
    <row r="181" spans="1:17" x14ac:dyDescent="0.35">
      <c r="A181" t="s">
        <v>8</v>
      </c>
      <c r="B181">
        <v>8090388</v>
      </c>
      <c r="C181" s="2" t="s">
        <v>334</v>
      </c>
      <c r="D181" s="2" t="str">
        <f>LEFT(TRIM(MID(SUBSTITUTE(tblShipments2[[#This Row],[Details]],CHAR(10)," "), FIND(CHAR(10),tblShipments2[[#This Row],[Details]])+1, 50)), 10)</f>
        <v>0507062884</v>
      </c>
      <c r="E181" t="s">
        <v>340</v>
      </c>
      <c r="F18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1" t="str">
        <f>IF(tblShipments2[[#This Row],[EGM no]]="", "Missing EGM", "EGM Submitted")</f>
        <v>EGM Submitted</v>
      </c>
      <c r="H181" t="str">
        <f>IF(OR(ISNUMBER(SEARCH("Released",tblShipments2[[#This Row],[ROSL]])),
      ISNUMBER(SEARCH("Scroll",tblShipments2[[#This Row],[ROSL]])),
      ISNUMBER(SEARCH("Y",tblShipments2[[#This Row],[ROSL]]))),
   "Released",
   "Not Released")</f>
        <v>Released</v>
      </c>
      <c r="I181" t="str">
        <f>IF(OR(tblShipments2[[#This Row],[EGM no]]="", tblShipments2[[#This Row],[EGM no]]="N.A."), "Not Submitted", "Submitted")</f>
        <v>Submitted</v>
      </c>
      <c r="J181" t="str">
        <f>IF(LEFT(tblShipments2[[#This Row],[Gateway_Extracted]],2)="IN","Valid","Invalid")</f>
        <v>Valid</v>
      </c>
      <c r="K181" t="s">
        <v>261</v>
      </c>
      <c r="L181" t="s">
        <v>341</v>
      </c>
      <c r="M181" t="s">
        <v>13</v>
      </c>
      <c r="N181" t="s">
        <v>342</v>
      </c>
      <c r="O181" t="str">
        <f>IFERROR("IN" &amp; _xlfn.TEXTBEFORE(_xlfn.TEXTAFTER(UPPER(tblShipments2[[#This Row],[Gateway_clean]]),"IN")," ",1),"")</f>
        <v>INMUN1</v>
      </c>
      <c r="P181" t="str">
        <f>SUBSTITUTE(tblShipments2[[#This Row],[Gateway]], CHAR(10), " ")</f>
        <v xml:space="preserve">AWB No. Gateway Port Gateway EGM No. Gateway EGM Date Gateway Site ID Error Code N.A.  INMUN1  134147  2017-08-29 00:00:00.0  INMUN1  S </v>
      </c>
      <c r="Q181" t="s">
        <v>275</v>
      </c>
    </row>
    <row r="182" spans="1:17" x14ac:dyDescent="0.35">
      <c r="A182" t="s">
        <v>8</v>
      </c>
      <c r="B182">
        <v>8091385</v>
      </c>
      <c r="C182" s="2" t="s">
        <v>334</v>
      </c>
      <c r="D182" s="2" t="str">
        <f>LEFT(TRIM(MID(SUBSTITUTE(tblShipments2[[#This Row],[Details]],CHAR(10)," "), FIND(CHAR(10),tblShipments2[[#This Row],[Details]])+1, 50)), 10)</f>
        <v>0512002835</v>
      </c>
      <c r="E182" t="s">
        <v>343</v>
      </c>
      <c r="F18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2" t="str">
        <f>IF(tblShipments2[[#This Row],[EGM no]]="", "Missing EGM", "EGM Submitted")</f>
        <v>EGM Submitted</v>
      </c>
      <c r="H182" t="str">
        <f>IF(OR(ISNUMBER(SEARCH("Released",tblShipments2[[#This Row],[ROSL]])),
      ISNUMBER(SEARCH("Scroll",tblShipments2[[#This Row],[ROSL]])),
      ISNUMBER(SEARCH("Y",tblShipments2[[#This Row],[ROSL]]))),
   "Released",
   "Not Released")</f>
        <v>Released</v>
      </c>
      <c r="I182" t="str">
        <f>IF(OR(tblShipments2[[#This Row],[EGM no]]="", tblShipments2[[#This Row],[EGM no]]="N.A."), "Not Submitted", "Submitted")</f>
        <v>Submitted</v>
      </c>
      <c r="J182" t="str">
        <f>IF(LEFT(tblShipments2[[#This Row],[Gateway_Extracted]],2)="IN","Valid","Invalid")</f>
        <v>Valid</v>
      </c>
      <c r="K182" t="s">
        <v>307</v>
      </c>
      <c r="L182" t="s">
        <v>344</v>
      </c>
      <c r="M182" t="s">
        <v>13</v>
      </c>
      <c r="N182" t="s">
        <v>345</v>
      </c>
      <c r="O182" t="str">
        <f>IFERROR("IN" &amp; _xlfn.TEXTBEFORE(_xlfn.TEXTAFTER(UPPER(tblShipments2[[#This Row],[Gateway_clean]]),"IN")," ",1),"")</f>
        <v>INMUN1</v>
      </c>
      <c r="P182" t="str">
        <f>SUBSTITUTE(tblShipments2[[#This Row],[Gateway]], CHAR(10), " ")</f>
        <v xml:space="preserve">AWB No. Gateway Port Gateway EGM No. Gateway EGM Date Gateway Site ID Error Code N.A.  INMUN1  N.A.  N.A.  N.A.  N.A. </v>
      </c>
      <c r="Q182" t="s">
        <v>244</v>
      </c>
    </row>
    <row r="183" spans="1:17" x14ac:dyDescent="0.35">
      <c r="A183" t="s">
        <v>8</v>
      </c>
      <c r="B183">
        <v>8102896</v>
      </c>
      <c r="C183" s="2" t="s">
        <v>346</v>
      </c>
      <c r="D183" s="2" t="str">
        <f>LEFT(TRIM(MID(SUBSTITUTE(tblShipments2[[#This Row],[Details]],CHAR(10)," "), FIND(CHAR(10),tblShipments2[[#This Row],[Details]])+1, 50)), 10)</f>
        <v>0589053850</v>
      </c>
      <c r="E183" t="s">
        <v>347</v>
      </c>
      <c r="F18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3" t="str">
        <f>IF(tblShipments2[[#This Row],[EGM no]]="", "Missing EGM", "EGM Submitted")</f>
        <v>EGM Submitted</v>
      </c>
      <c r="H183" t="str">
        <f>IF(OR(ISNUMBER(SEARCH("Released",tblShipments2[[#This Row],[ROSL]])),
      ISNUMBER(SEARCH("Scroll",tblShipments2[[#This Row],[ROSL]])),
      ISNUMBER(SEARCH("Y",tblShipments2[[#This Row],[ROSL]]))),
   "Released",
   "Not Released")</f>
        <v>Released</v>
      </c>
      <c r="I183" t="str">
        <f>IF(OR(tblShipments2[[#This Row],[EGM no]]="", tblShipments2[[#This Row],[EGM no]]="N.A."), "Not Submitted", "Submitted")</f>
        <v>Submitted</v>
      </c>
      <c r="J183" t="str">
        <f>IF(LEFT(tblShipments2[[#This Row],[Gateway_Extracted]],2)="IN","Valid","Invalid")</f>
        <v>Valid</v>
      </c>
      <c r="K183" t="s">
        <v>261</v>
      </c>
      <c r="L183" t="s">
        <v>348</v>
      </c>
      <c r="M183" t="s">
        <v>13</v>
      </c>
      <c r="N183" t="s">
        <v>349</v>
      </c>
      <c r="O183" t="str">
        <f>IFERROR("IN" &amp; _xlfn.TEXTBEFORE(_xlfn.TEXTAFTER(UPPER(tblShipments2[[#This Row],[Gateway_clean]]),"IN")," ",1),"")</f>
        <v>INMUN1</v>
      </c>
      <c r="P183" t="str">
        <f>SUBSTITUTE(tblShipments2[[#This Row],[Gateway]], CHAR(10), " ")</f>
        <v xml:space="preserve">AWB No. Gateway Port Gateway EGM No. Gateway EGM Date Gateway Site ID Error Code N.A.  INMUN1  137180  2017-10-18 00:00:00.0  INMUN1  ST </v>
      </c>
      <c r="Q183" t="s">
        <v>212</v>
      </c>
    </row>
    <row r="184" spans="1:17" x14ac:dyDescent="0.35">
      <c r="A184" t="s">
        <v>8</v>
      </c>
      <c r="B184">
        <v>8122393</v>
      </c>
      <c r="C184" s="2" t="s">
        <v>350</v>
      </c>
      <c r="D184" s="2" t="str">
        <f>LEFT(TRIM(MID(SUBSTITUTE(tblShipments2[[#This Row],[Details]],CHAR(10)," "), FIND(CHAR(10),tblShipments2[[#This Row],[Details]])+1, 50)), 10)</f>
        <v>0516515403</v>
      </c>
      <c r="E184" t="s">
        <v>351</v>
      </c>
      <c r="F18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4" t="str">
        <f>IF(tblShipments2[[#This Row],[EGM no]]="", "Missing EGM", "EGM Submitted")</f>
        <v>EGM Submitted</v>
      </c>
      <c r="H184" t="str">
        <f>IF(OR(ISNUMBER(SEARCH("Released",tblShipments2[[#This Row],[ROSL]])),
      ISNUMBER(SEARCH("Scroll",tblShipments2[[#This Row],[ROSL]])),
      ISNUMBER(SEARCH("Y",tblShipments2[[#This Row],[ROSL]]))),
   "Released",
   "Not Released")</f>
        <v>Released</v>
      </c>
      <c r="I184" t="str">
        <f>IF(OR(tblShipments2[[#This Row],[EGM no]]="", tblShipments2[[#This Row],[EGM no]]="N.A."), "Not Submitted", "Submitted")</f>
        <v>Submitted</v>
      </c>
      <c r="J184" t="str">
        <f>IF(LEFT(tblShipments2[[#This Row],[Gateway_Extracted]],2)="IN","Valid","Invalid")</f>
        <v>Valid</v>
      </c>
      <c r="K184" t="s">
        <v>352</v>
      </c>
      <c r="L184" t="s">
        <v>353</v>
      </c>
      <c r="M184" t="s">
        <v>13</v>
      </c>
      <c r="N184" t="s">
        <v>354</v>
      </c>
      <c r="O184" t="str">
        <f>IFERROR("IN" &amp; _xlfn.TEXTBEFORE(_xlfn.TEXTAFTER(UPPER(tblShipments2[[#This Row],[Gateway_clean]]),"IN")," ",1),"")</f>
        <v>INNSA1</v>
      </c>
      <c r="P184" t="str">
        <f>SUBSTITUTE(tblShipments2[[#This Row],[Gateway]], CHAR(10), " ")</f>
        <v xml:space="preserve">AWB No. Gateway Port Gateway EGM No. Gateway EGM Date Gateway Site ID Error Code N.A.  INNSA1  133611  2017-08-21 00:00:00.0  INNSA1  S </v>
      </c>
      <c r="Q184" t="s">
        <v>355</v>
      </c>
    </row>
    <row r="185" spans="1:17" x14ac:dyDescent="0.35">
      <c r="A185" t="s">
        <v>8</v>
      </c>
      <c r="B185">
        <v>8128641</v>
      </c>
      <c r="C185" s="2" t="s">
        <v>356</v>
      </c>
      <c r="D185" s="2" t="str">
        <f>LEFT(TRIM(MID(SUBSTITUTE(tblShipments2[[#This Row],[Details]],CHAR(10)," "), FIND(CHAR(10),tblShipments2[[#This Row],[Details]])+1, 50)), 10)</f>
        <v>0512072388</v>
      </c>
      <c r="E185" t="s">
        <v>357</v>
      </c>
      <c r="F18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5" t="str">
        <f>IF(tblShipments2[[#This Row],[EGM no]]="", "Missing EGM", "EGM Submitted")</f>
        <v>EGM Submitted</v>
      </c>
      <c r="H185" t="str">
        <f>IF(OR(ISNUMBER(SEARCH("Released",tblShipments2[[#This Row],[ROSL]])),
      ISNUMBER(SEARCH("Scroll",tblShipments2[[#This Row],[ROSL]])),
      ISNUMBER(SEARCH("Y",tblShipments2[[#This Row],[ROSL]]))),
   "Released",
   "Not Released")</f>
        <v>Released</v>
      </c>
      <c r="I185" t="str">
        <f>IF(OR(tblShipments2[[#This Row],[EGM no]]="", tblShipments2[[#This Row],[EGM no]]="N.A."), "Not Submitted", "Submitted")</f>
        <v>Submitted</v>
      </c>
      <c r="J185" t="str">
        <f>IF(LEFT(tblShipments2[[#This Row],[Gateway_Extracted]],2)="IN","Valid","Invalid")</f>
        <v>Valid</v>
      </c>
      <c r="K185" t="s">
        <v>358</v>
      </c>
      <c r="L185" t="s">
        <v>359</v>
      </c>
      <c r="M185" t="s">
        <v>13</v>
      </c>
      <c r="N185" t="s">
        <v>360</v>
      </c>
      <c r="O185" t="str">
        <f>IFERROR("IN" &amp; _xlfn.TEXTBEFORE(_xlfn.TEXTAFTER(UPPER(tblShipments2[[#This Row],[Gateway_clean]]),"IN")," ",1),"")</f>
        <v>INNSA1</v>
      </c>
      <c r="P185" t="str">
        <f>SUBSTITUTE(tblShipments2[[#This Row],[Gateway]], CHAR(10), " ")</f>
        <v xml:space="preserve">AWB No. Gateway Port Gateway EGM No. Gateway EGM Date Gateway Site ID Error Code N.A.  INNSA1  N.A.  N.A.  N.A.  N.A. </v>
      </c>
      <c r="Q185" t="s">
        <v>26</v>
      </c>
    </row>
    <row r="186" spans="1:17" x14ac:dyDescent="0.35">
      <c r="A186" t="s">
        <v>8</v>
      </c>
      <c r="B186">
        <v>8140525</v>
      </c>
      <c r="C186" s="2" t="s">
        <v>356</v>
      </c>
      <c r="D186" s="2" t="str">
        <f>LEFT(TRIM(MID(SUBSTITUTE(tblShipments2[[#This Row],[Details]],CHAR(10)," "), FIND(CHAR(10),tblShipments2[[#This Row],[Details]])+1, 50)), 10)</f>
        <v>0504064754</v>
      </c>
      <c r="E186" t="s">
        <v>361</v>
      </c>
      <c r="F18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6" t="str">
        <f>IF(tblShipments2[[#This Row],[EGM no]]="", "Missing EGM", "EGM Submitted")</f>
        <v>EGM Submitted</v>
      </c>
      <c r="H186" t="str">
        <f>IF(OR(ISNUMBER(SEARCH("Released",tblShipments2[[#This Row],[ROSL]])),
      ISNUMBER(SEARCH("Scroll",tblShipments2[[#This Row],[ROSL]])),
      ISNUMBER(SEARCH("Y",tblShipments2[[#This Row],[ROSL]]))),
   "Released",
   "Not Released")</f>
        <v>Released</v>
      </c>
      <c r="I186" t="str">
        <f>IF(OR(tblShipments2[[#This Row],[EGM no]]="", tblShipments2[[#This Row],[EGM no]]="N.A."), "Not Submitted", "Submitted")</f>
        <v>Submitted</v>
      </c>
      <c r="J186" t="str">
        <f>IF(LEFT(tblShipments2[[#This Row],[Gateway_Extracted]],2)="IN","Valid","Invalid")</f>
        <v>Valid</v>
      </c>
      <c r="K186" t="s">
        <v>261</v>
      </c>
      <c r="L186" t="s">
        <v>362</v>
      </c>
      <c r="M186" t="s">
        <v>13</v>
      </c>
      <c r="N186" t="s">
        <v>363</v>
      </c>
      <c r="O186" t="str">
        <f>IFERROR("IN" &amp; _xlfn.TEXTBEFORE(_xlfn.TEXTAFTER(UPPER(tblShipments2[[#This Row],[Gateway_clean]]),"IN")," ",1),"")</f>
        <v>INPAV1</v>
      </c>
      <c r="P186" t="str">
        <f>SUBSTITUTE(tblShipments2[[#This Row],[Gateway]], CHAR(10), " ")</f>
        <v xml:space="preserve">AWB No. Gateway Port Gateway EGM No. Gateway EGM Date Gateway Site ID Error Code N.A.  INPAV1  131777  2017-07-19 00:00:00.0  INPAV1  L </v>
      </c>
      <c r="Q186" t="s">
        <v>364</v>
      </c>
    </row>
    <row r="187" spans="1:17" x14ac:dyDescent="0.35">
      <c r="A187" t="s">
        <v>8</v>
      </c>
      <c r="B187">
        <v>8140947</v>
      </c>
      <c r="C187" s="2" t="s">
        <v>356</v>
      </c>
      <c r="D187" s="2" t="str">
        <f>LEFT(TRIM(MID(SUBSTITUTE(tblShipments2[[#This Row],[Details]],CHAR(10)," "), FIND(CHAR(10),tblShipments2[[#This Row],[Details]])+1, 50)), 10)</f>
        <v>0592023052</v>
      </c>
      <c r="E187" t="s">
        <v>365</v>
      </c>
      <c r="F18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7" t="str">
        <f>IF(tblShipments2[[#This Row],[EGM no]]="", "Missing EGM", "EGM Submitted")</f>
        <v>EGM Submitted</v>
      </c>
      <c r="H187" t="str">
        <f>IF(OR(ISNUMBER(SEARCH("Released",tblShipments2[[#This Row],[ROSL]])),
      ISNUMBER(SEARCH("Scroll",tblShipments2[[#This Row],[ROSL]])),
      ISNUMBER(SEARCH("Y",tblShipments2[[#This Row],[ROSL]]))),
   "Released",
   "Not Released")</f>
        <v>Released</v>
      </c>
      <c r="I187" t="str">
        <f>IF(OR(tblShipments2[[#This Row],[EGM no]]="", tblShipments2[[#This Row],[EGM no]]="N.A."), "Not Submitted", "Submitted")</f>
        <v>Submitted</v>
      </c>
      <c r="J187" t="str">
        <f>IF(LEFT(tblShipments2[[#This Row],[Gateway_Extracted]],2)="IN","Valid","Invalid")</f>
        <v>Valid</v>
      </c>
      <c r="K187" t="s">
        <v>261</v>
      </c>
      <c r="L187" t="s">
        <v>366</v>
      </c>
      <c r="M187" t="s">
        <v>13</v>
      </c>
      <c r="N187" t="s">
        <v>367</v>
      </c>
      <c r="O187" t="str">
        <f>IFERROR("IN" &amp; _xlfn.TEXTBEFORE(_xlfn.TEXTAFTER(UPPER(tblShipments2[[#This Row],[Gateway_clean]]),"IN")," ",1),"")</f>
        <v>INNSA1</v>
      </c>
      <c r="P187" t="str">
        <f>SUBSTITUTE(tblShipments2[[#This Row],[Gateway]], CHAR(10), " ")</f>
        <v xml:space="preserve">AWB No. Gateway Port Gateway EGM No. Gateway EGM Date Gateway Site ID Error Code N.A.  INNSA1  N.A.  N.A.  N.A.  N.A. </v>
      </c>
      <c r="Q187" t="s">
        <v>26</v>
      </c>
    </row>
    <row r="188" spans="1:17" x14ac:dyDescent="0.35">
      <c r="A188" t="s">
        <v>8</v>
      </c>
      <c r="B188">
        <v>8144422</v>
      </c>
      <c r="C188" s="2" t="s">
        <v>356</v>
      </c>
      <c r="D188" s="2" t="str">
        <f>LEFT(TRIM(MID(SUBSTITUTE(tblShipments2[[#This Row],[Details]],CHAR(10)," "), FIND(CHAR(10),tblShipments2[[#This Row],[Details]])+1, 50)), 10)</f>
        <v>0511026242</v>
      </c>
      <c r="E188" t="s">
        <v>368</v>
      </c>
      <c r="F18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8" t="str">
        <f>IF(tblShipments2[[#This Row],[EGM no]]="", "Missing EGM", "EGM Submitted")</f>
        <v>EGM Submitted</v>
      </c>
      <c r="H188" t="str">
        <f>IF(OR(ISNUMBER(SEARCH("Released",tblShipments2[[#This Row],[ROSL]])),
      ISNUMBER(SEARCH("Scroll",tblShipments2[[#This Row],[ROSL]])),
      ISNUMBER(SEARCH("Y",tblShipments2[[#This Row],[ROSL]]))),
   "Released",
   "Not Released")</f>
        <v>Released</v>
      </c>
      <c r="I188" t="str">
        <f>IF(OR(tblShipments2[[#This Row],[EGM no]]="", tblShipments2[[#This Row],[EGM no]]="N.A."), "Not Submitted", "Submitted")</f>
        <v>Submitted</v>
      </c>
      <c r="J188" t="str">
        <f>IF(LEFT(tblShipments2[[#This Row],[Gateway_Extracted]],2)="IN","Valid","Invalid")</f>
        <v>Valid</v>
      </c>
      <c r="K188" t="s">
        <v>369</v>
      </c>
      <c r="L188" t="s">
        <v>370</v>
      </c>
      <c r="M188" t="s">
        <v>31</v>
      </c>
      <c r="N188" t="s">
        <v>371</v>
      </c>
      <c r="O188" t="str">
        <f>IFERROR("IN" &amp; _xlfn.TEXTBEFORE(_xlfn.TEXTAFTER(UPPER(tblShipments2[[#This Row],[Gateway_clean]]),"IN")," ",1),"")</f>
        <v>INNSA1</v>
      </c>
      <c r="P188" t="str">
        <f>SUBSTITUTE(tblShipments2[[#This Row],[Gateway]], CHAR(10), " ")</f>
        <v xml:space="preserve">AWB No. Gateway Port Gateway EGM No. Gateway EGM Date Gateway Site ID Error Code N.A.  INNSA1  134462  2017-09-04 00:00:00.0  INNSA1  S </v>
      </c>
      <c r="Q188" t="s">
        <v>372</v>
      </c>
    </row>
    <row r="189" spans="1:17" x14ac:dyDescent="0.35">
      <c r="A189" t="s">
        <v>8</v>
      </c>
      <c r="B189">
        <v>8146066</v>
      </c>
      <c r="C189" s="2" t="s">
        <v>356</v>
      </c>
      <c r="D189" s="2" t="str">
        <f>LEFT(TRIM(MID(SUBSTITUTE(tblShipments2[[#This Row],[Details]],CHAR(10)," "), FIND(CHAR(10),tblShipments2[[#This Row],[Details]])+1, 50)), 10)</f>
        <v>0288012101</v>
      </c>
      <c r="E189" t="s">
        <v>373</v>
      </c>
      <c r="F18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89" t="str">
        <f>IF(tblShipments2[[#This Row],[EGM no]]="", "Missing EGM", "EGM Submitted")</f>
        <v>EGM Submitted</v>
      </c>
      <c r="H189" t="str">
        <f>IF(OR(ISNUMBER(SEARCH("Released",tblShipments2[[#This Row],[ROSL]])),
      ISNUMBER(SEARCH("Scroll",tblShipments2[[#This Row],[ROSL]])),
      ISNUMBER(SEARCH("Y",tblShipments2[[#This Row],[ROSL]]))),
   "Released",
   "Not Released")</f>
        <v>Released</v>
      </c>
      <c r="I189" t="str">
        <f>IF(OR(tblShipments2[[#This Row],[EGM no]]="", tblShipments2[[#This Row],[EGM no]]="N.A."), "Not Submitted", "Submitted")</f>
        <v>Submitted</v>
      </c>
      <c r="J189" t="str">
        <f>IF(LEFT(tblShipments2[[#This Row],[Gateway_Extracted]],2)="IN","Valid","Invalid")</f>
        <v>Valid</v>
      </c>
      <c r="K189" t="s">
        <v>374</v>
      </c>
      <c r="L189" t="s">
        <v>375</v>
      </c>
      <c r="M189" t="s">
        <v>13</v>
      </c>
      <c r="N189" t="s">
        <v>376</v>
      </c>
      <c r="O189" t="str">
        <f>IFERROR("IN" &amp; _xlfn.TEXTBEFORE(_xlfn.TEXTAFTER(UPPER(tblShipments2[[#This Row],[Gateway_clean]]),"IN")," ",1),"")</f>
        <v>INMUN1</v>
      </c>
      <c r="P189" t="str">
        <f>SUBSTITUTE(tblShipments2[[#This Row],[Gateway]], CHAR(10), " ")</f>
        <v xml:space="preserve">AWB No. Gateway Port Gateway EGM No. Gateway EGM Date Gateway Site ID Error Code N.A.  INMUN1  134134  2017-08-29 00:00:00.0  INMUN1  S </v>
      </c>
      <c r="Q189" t="s">
        <v>377</v>
      </c>
    </row>
    <row r="190" spans="1:17" x14ac:dyDescent="0.35">
      <c r="A190" t="s">
        <v>8</v>
      </c>
      <c r="B190">
        <v>8146068</v>
      </c>
      <c r="C190" s="2" t="s">
        <v>356</v>
      </c>
      <c r="D190" s="2" t="str">
        <f>LEFT(TRIM(MID(SUBSTITUTE(tblShipments2[[#This Row],[Details]],CHAR(10)," "), FIND(CHAR(10),tblShipments2[[#This Row],[Details]])+1, 50)), 10)</f>
        <v>0288012101</v>
      </c>
      <c r="E190" t="s">
        <v>378</v>
      </c>
      <c r="F19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0" t="str">
        <f>IF(tblShipments2[[#This Row],[EGM no]]="", "Missing EGM", "EGM Submitted")</f>
        <v>EGM Submitted</v>
      </c>
      <c r="H190" t="str">
        <f>IF(OR(ISNUMBER(SEARCH("Released",tblShipments2[[#This Row],[ROSL]])),
      ISNUMBER(SEARCH("Scroll",tblShipments2[[#This Row],[ROSL]])),
      ISNUMBER(SEARCH("Y",tblShipments2[[#This Row],[ROSL]]))),
   "Released",
   "Not Released")</f>
        <v>Released</v>
      </c>
      <c r="I190" t="str">
        <f>IF(OR(tblShipments2[[#This Row],[EGM no]]="", tblShipments2[[#This Row],[EGM no]]="N.A."), "Not Submitted", "Submitted")</f>
        <v>Submitted</v>
      </c>
      <c r="J190" t="str">
        <f>IF(LEFT(tblShipments2[[#This Row],[Gateway_Extracted]],2)="IN","Valid","Invalid")</f>
        <v>Valid</v>
      </c>
      <c r="K190" t="s">
        <v>261</v>
      </c>
      <c r="L190" t="s">
        <v>375</v>
      </c>
      <c r="M190" t="s">
        <v>13</v>
      </c>
      <c r="N190" t="s">
        <v>379</v>
      </c>
      <c r="O190" t="str">
        <f>IFERROR("IN" &amp; _xlfn.TEXTBEFORE(_xlfn.TEXTAFTER(UPPER(tblShipments2[[#This Row],[Gateway_clean]]),"IN")," ",1),"")</f>
        <v>INMUN1</v>
      </c>
      <c r="P190" t="str">
        <f>SUBSTITUTE(tblShipments2[[#This Row],[Gateway]], CHAR(10), " ")</f>
        <v xml:space="preserve">AWB No. Gateway Port Gateway EGM No. Gateway EGM Date Gateway Site ID Error Code N.A.  INMUN1  134134  2017-08-29 00:00:00.0  INMUN1  S </v>
      </c>
      <c r="Q190" t="s">
        <v>377</v>
      </c>
    </row>
    <row r="191" spans="1:17" x14ac:dyDescent="0.35">
      <c r="A191" t="s">
        <v>8</v>
      </c>
      <c r="B191">
        <v>8159434</v>
      </c>
      <c r="C191" s="2" t="s">
        <v>380</v>
      </c>
      <c r="D191" s="2" t="str">
        <f>LEFT(TRIM(MID(SUBSTITUTE(tblShipments2[[#This Row],[Details]],CHAR(10)," "), FIND(CHAR(10),tblShipments2[[#This Row],[Details]])+1, 50)), 10)</f>
        <v>0595012647</v>
      </c>
      <c r="E191" t="s">
        <v>381</v>
      </c>
      <c r="F19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1" t="str">
        <f>IF(tblShipments2[[#This Row],[EGM no]]="", "Missing EGM", "EGM Submitted")</f>
        <v>EGM Submitted</v>
      </c>
      <c r="H191" t="str">
        <f>IF(OR(ISNUMBER(SEARCH("Released",tblShipments2[[#This Row],[ROSL]])),
      ISNUMBER(SEARCH("Scroll",tblShipments2[[#This Row],[ROSL]])),
      ISNUMBER(SEARCH("Y",tblShipments2[[#This Row],[ROSL]]))),
   "Released",
   "Not Released")</f>
        <v>Released</v>
      </c>
      <c r="I191" t="str">
        <f>IF(OR(tblShipments2[[#This Row],[EGM no]]="", tblShipments2[[#This Row],[EGM no]]="N.A."), "Not Submitted", "Submitted")</f>
        <v>Submitted</v>
      </c>
      <c r="J191" t="str">
        <f>IF(LEFT(tblShipments2[[#This Row],[Gateway_Extracted]],2)="IN","Valid","Invalid")</f>
        <v>Valid</v>
      </c>
      <c r="K191" t="s">
        <v>382</v>
      </c>
      <c r="L191" t="s">
        <v>383</v>
      </c>
      <c r="M191" t="s">
        <v>13</v>
      </c>
      <c r="N191" t="s">
        <v>384</v>
      </c>
      <c r="O191" t="str">
        <f>IFERROR("IN" &amp; _xlfn.TEXTBEFORE(_xlfn.TEXTAFTER(UPPER(tblShipments2[[#This Row],[Gateway_clean]]),"IN")," ",1),"")</f>
        <v>INMUN1</v>
      </c>
      <c r="P191" t="str">
        <f>SUBSTITUTE(tblShipments2[[#This Row],[Gateway]], CHAR(10), " ")</f>
        <v xml:space="preserve">AWB No. Gateway Port Gateway EGM No. Gateway EGM Date Gateway Site ID Error Code N.A.  INMUN1  134209  2017-08-30 00:00:00.0  INMUN1  S </v>
      </c>
      <c r="Q191" t="s">
        <v>385</v>
      </c>
    </row>
    <row r="192" spans="1:17" x14ac:dyDescent="0.35">
      <c r="A192" t="s">
        <v>8</v>
      </c>
      <c r="B192">
        <v>8160683</v>
      </c>
      <c r="C192" s="2" t="s">
        <v>380</v>
      </c>
      <c r="D192" s="2" t="str">
        <f>LEFT(TRIM(MID(SUBSTITUTE(tblShipments2[[#This Row],[Details]],CHAR(10)," "), FIND(CHAR(10),tblShipments2[[#This Row],[Details]])+1, 50)), 10)</f>
        <v>0595012647</v>
      </c>
      <c r="E192" t="s">
        <v>386</v>
      </c>
      <c r="F19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2" t="str">
        <f>IF(tblShipments2[[#This Row],[EGM no]]="", "Missing EGM", "EGM Submitted")</f>
        <v>EGM Submitted</v>
      </c>
      <c r="H192" t="str">
        <f>IF(OR(ISNUMBER(SEARCH("Released",tblShipments2[[#This Row],[ROSL]])),
      ISNUMBER(SEARCH("Scroll",tblShipments2[[#This Row],[ROSL]])),
      ISNUMBER(SEARCH("Y",tblShipments2[[#This Row],[ROSL]]))),
   "Released",
   "Not Released")</f>
        <v>Released</v>
      </c>
      <c r="I192" t="str">
        <f>IF(OR(tblShipments2[[#This Row],[EGM no]]="", tblShipments2[[#This Row],[EGM no]]="N.A."), "Not Submitted", "Submitted")</f>
        <v>Submitted</v>
      </c>
      <c r="J192" t="str">
        <f>IF(LEFT(tblShipments2[[#This Row],[Gateway_Extracted]],2)="IN","Valid","Invalid")</f>
        <v>Valid</v>
      </c>
      <c r="K192" t="s">
        <v>382</v>
      </c>
      <c r="L192" t="s">
        <v>383</v>
      </c>
      <c r="M192" t="s">
        <v>13</v>
      </c>
      <c r="N192" t="s">
        <v>387</v>
      </c>
      <c r="O192" t="str">
        <f>IFERROR("IN" &amp; _xlfn.TEXTBEFORE(_xlfn.TEXTAFTER(UPPER(tblShipments2[[#This Row],[Gateway_clean]]),"IN")," ",1),"")</f>
        <v>INMUN1</v>
      </c>
      <c r="P192" t="str">
        <f>SUBSTITUTE(tblShipments2[[#This Row],[Gateway]], CHAR(10), " ")</f>
        <v xml:space="preserve">AWB No. Gateway Port Gateway EGM No. Gateway EGM Date Gateway Site ID Error Code N.A.  INMUN1  134209  2017-08-30 00:00:00.0  INMUN1  S </v>
      </c>
      <c r="Q192" t="s">
        <v>385</v>
      </c>
    </row>
    <row r="193" spans="1:17" x14ac:dyDescent="0.35">
      <c r="A193" t="s">
        <v>8</v>
      </c>
      <c r="B193">
        <v>8169500</v>
      </c>
      <c r="C193" s="2" t="s">
        <v>380</v>
      </c>
      <c r="D193" s="2" t="str">
        <f>LEFT(TRIM(MID(SUBSTITUTE(tblShipments2[[#This Row],[Details]],CHAR(10)," "), FIND(CHAR(10),tblShipments2[[#This Row],[Details]])+1, 50)), 10)</f>
        <v>0591028549</v>
      </c>
      <c r="E193" t="s">
        <v>388</v>
      </c>
      <c r="F19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3" t="str">
        <f>IF(tblShipments2[[#This Row],[EGM no]]="", "Missing EGM", "EGM Submitted")</f>
        <v>EGM Submitted</v>
      </c>
      <c r="H193" t="str">
        <f>IF(OR(ISNUMBER(SEARCH("Released",tblShipments2[[#This Row],[ROSL]])),
      ISNUMBER(SEARCH("Scroll",tblShipments2[[#This Row],[ROSL]])),
      ISNUMBER(SEARCH("Y",tblShipments2[[#This Row],[ROSL]]))),
   "Released",
   "Not Released")</f>
        <v>Released</v>
      </c>
      <c r="I193" t="str">
        <f>IF(OR(tblShipments2[[#This Row],[EGM no]]="", tblShipments2[[#This Row],[EGM no]]="N.A."), "Not Submitted", "Submitted")</f>
        <v>Submitted</v>
      </c>
      <c r="J193" t="str">
        <f>IF(LEFT(tblShipments2[[#This Row],[Gateway_Extracted]],2)="IN","Valid","Invalid")</f>
        <v>Valid</v>
      </c>
      <c r="K193" t="s">
        <v>389</v>
      </c>
      <c r="L193" t="s">
        <v>390</v>
      </c>
      <c r="M193" t="s">
        <v>31</v>
      </c>
      <c r="N193" t="s">
        <v>391</v>
      </c>
      <c r="O193" t="str">
        <f>IFERROR("IN" &amp; _xlfn.TEXTBEFORE(_xlfn.TEXTAFTER(UPPER(tblShipments2[[#This Row],[Gateway_clean]]),"IN")," ",1),"")</f>
        <v>INNSA1</v>
      </c>
      <c r="P193" t="str">
        <f>SUBSTITUTE(tblShipments2[[#This Row],[Gateway]], CHAR(10), " ")</f>
        <v xml:space="preserve">AWB No. Gateway Port Gateway EGM No. Gateway EGM Date Gateway Site ID Error Code N.A.  INNSA1  133453  2017-08-17 00:00:00.0  INNSA1  S </v>
      </c>
      <c r="Q193" t="s">
        <v>392</v>
      </c>
    </row>
    <row r="194" spans="1:17" x14ac:dyDescent="0.35">
      <c r="A194" t="s">
        <v>8</v>
      </c>
      <c r="B194">
        <v>8170873</v>
      </c>
      <c r="C194" s="2" t="s">
        <v>380</v>
      </c>
      <c r="D194" s="2" t="str">
        <f>LEFT(TRIM(MID(SUBSTITUTE(tblShipments2[[#This Row],[Details]],CHAR(10)," "), FIND(CHAR(10),tblShipments2[[#This Row],[Details]])+1, 50)), 10)</f>
        <v>3104003254</v>
      </c>
      <c r="E194" t="s">
        <v>393</v>
      </c>
      <c r="F19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4" t="str">
        <f>IF(tblShipments2[[#This Row],[EGM no]]="", "Missing EGM", "EGM Submitted")</f>
        <v>EGM Submitted</v>
      </c>
      <c r="H194" t="str">
        <f>IF(OR(ISNUMBER(SEARCH("Released",tblShipments2[[#This Row],[ROSL]])),
      ISNUMBER(SEARCH("Scroll",tblShipments2[[#This Row],[ROSL]])),
      ISNUMBER(SEARCH("Y",tblShipments2[[#This Row],[ROSL]]))),
   "Released",
   "Not Released")</f>
        <v>Released</v>
      </c>
      <c r="I194" t="str">
        <f>IF(OR(tblShipments2[[#This Row],[EGM no]]="", tblShipments2[[#This Row],[EGM no]]="N.A."), "Not Submitted", "Submitted")</f>
        <v>Submitted</v>
      </c>
      <c r="J194" t="str">
        <f>IF(LEFT(tblShipments2[[#This Row],[Gateway_Extracted]],2)="IN","Valid","Invalid")</f>
        <v>Valid</v>
      </c>
      <c r="K194" t="s">
        <v>394</v>
      </c>
      <c r="L194" t="s">
        <v>395</v>
      </c>
      <c r="M194" t="s">
        <v>13</v>
      </c>
      <c r="N194" t="s">
        <v>396</v>
      </c>
      <c r="O194" t="str">
        <f>IFERROR("IN" &amp; _xlfn.TEXTBEFORE(_xlfn.TEXTAFTER(UPPER(tblShipments2[[#This Row],[Gateway_clean]]),"IN")," ",1),"")</f>
        <v>INNSA1</v>
      </c>
      <c r="P194" t="str">
        <f>SUBSTITUTE(tblShipments2[[#This Row],[Gateway]], CHAR(10), " ")</f>
        <v xml:space="preserve">AWB No. Gateway Port Gateway EGM No. Gateway EGM Date Gateway Site ID Error Code N.A.  INNSA1  134462  2017-09-04 00:00:00.0  INNSA1  S </v>
      </c>
      <c r="Q194" t="s">
        <v>372</v>
      </c>
    </row>
    <row r="195" spans="1:17" x14ac:dyDescent="0.35">
      <c r="A195" t="s">
        <v>8</v>
      </c>
      <c r="B195">
        <v>8173971</v>
      </c>
      <c r="C195" s="2" t="s">
        <v>380</v>
      </c>
      <c r="D195" s="2" t="str">
        <f>LEFT(TRIM(MID(SUBSTITUTE(tblShipments2[[#This Row],[Details]],CHAR(10)," "), FIND(CHAR(10),tblShipments2[[#This Row],[Details]])+1, 50)), 10)</f>
        <v>0504038966</v>
      </c>
      <c r="E195" t="s">
        <v>397</v>
      </c>
      <c r="F19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5" t="str">
        <f>IF(tblShipments2[[#This Row],[EGM no]]="", "Missing EGM", "EGM Submitted")</f>
        <v>EGM Submitted</v>
      </c>
      <c r="H195" t="str">
        <f>IF(OR(ISNUMBER(SEARCH("Released",tblShipments2[[#This Row],[ROSL]])),
      ISNUMBER(SEARCH("Scroll",tblShipments2[[#This Row],[ROSL]])),
      ISNUMBER(SEARCH("Y",tblShipments2[[#This Row],[ROSL]]))),
   "Released",
   "Not Released")</f>
        <v>Released</v>
      </c>
      <c r="I195" t="str">
        <f>IF(OR(tblShipments2[[#This Row],[EGM no]]="", tblShipments2[[#This Row],[EGM no]]="N.A."), "Not Submitted", "Submitted")</f>
        <v>Submitted</v>
      </c>
      <c r="J195" t="str">
        <f>IF(LEFT(tblShipments2[[#This Row],[Gateway_Extracted]],2)="IN","Valid","Invalid")</f>
        <v>Valid</v>
      </c>
      <c r="K195" t="s">
        <v>317</v>
      </c>
      <c r="L195" t="s">
        <v>398</v>
      </c>
      <c r="M195" t="s">
        <v>13</v>
      </c>
      <c r="N195" t="s">
        <v>399</v>
      </c>
      <c r="O195" t="str">
        <f>IFERROR("IN" &amp; _xlfn.TEXTBEFORE(_xlfn.TEXTAFTER(UPPER(tblShipments2[[#This Row],[Gateway_clean]]),"IN")," ",1),"")</f>
        <v>INMUN1</v>
      </c>
      <c r="P195" t="str">
        <f>SUBSTITUTE(tblShipments2[[#This Row],[Gateway]], CHAR(10), " ")</f>
        <v xml:space="preserve">AWB No. Gateway Port Gateway EGM No. Gateway EGM Date Gateway Site ID Error Code N.A.  INMUN1  134487  2017-09-04 00:00:00.0  INMUN1  S </v>
      </c>
      <c r="Q195" t="s">
        <v>400</v>
      </c>
    </row>
    <row r="196" spans="1:17" x14ac:dyDescent="0.35">
      <c r="A196" t="s">
        <v>8</v>
      </c>
      <c r="B196">
        <v>8180485</v>
      </c>
      <c r="C196" s="2" t="s">
        <v>401</v>
      </c>
      <c r="D196" s="2" t="str">
        <f>LEFT(TRIM(MID(SUBSTITUTE(tblShipments2[[#This Row],[Details]],CHAR(10)," "), FIND(CHAR(10),tblShipments2[[#This Row],[Details]])+1, 50)), 10)</f>
        <v>0505023954</v>
      </c>
      <c r="E196" t="s">
        <v>402</v>
      </c>
      <c r="F19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6" t="str">
        <f>IF(tblShipments2[[#This Row],[EGM no]]="", "Missing EGM", "EGM Submitted")</f>
        <v>EGM Submitted</v>
      </c>
      <c r="H196" t="str">
        <f>IF(OR(ISNUMBER(SEARCH("Released",tblShipments2[[#This Row],[ROSL]])),
      ISNUMBER(SEARCH("Scroll",tblShipments2[[#This Row],[ROSL]])),
      ISNUMBER(SEARCH("Y",tblShipments2[[#This Row],[ROSL]]))),
   "Released",
   "Not Released")</f>
        <v>Released</v>
      </c>
      <c r="I196" t="str">
        <f>IF(OR(tblShipments2[[#This Row],[EGM no]]="", tblShipments2[[#This Row],[EGM no]]="N.A."), "Not Submitted", "Submitted")</f>
        <v>Submitted</v>
      </c>
      <c r="J196" t="str">
        <f>IF(LEFT(tblShipments2[[#This Row],[Gateway_Extracted]],2)="IN","Valid","Invalid")</f>
        <v>Valid</v>
      </c>
      <c r="K196" t="s">
        <v>369</v>
      </c>
      <c r="L196" t="s">
        <v>403</v>
      </c>
      <c r="M196" t="s">
        <v>31</v>
      </c>
      <c r="N196" t="s">
        <v>404</v>
      </c>
      <c r="O196" t="str">
        <f>IFERROR("IN" &amp; _xlfn.TEXTBEFORE(_xlfn.TEXTAFTER(UPPER(tblShipments2[[#This Row],[Gateway_clean]]),"IN")," ",1),"")</f>
        <v>INNSA1</v>
      </c>
      <c r="P196" t="str">
        <f>SUBSTITUTE(tblShipments2[[#This Row],[Gateway]], CHAR(10), " ")</f>
        <v xml:space="preserve">AWB No. Gateway Port Gateway EGM No. Gateway EGM Date Gateway Site ID Error Code N.A.  INNSA1  N.A.  N.A.  N.A.  N.A. </v>
      </c>
      <c r="Q196" t="s">
        <v>26</v>
      </c>
    </row>
    <row r="197" spans="1:17" x14ac:dyDescent="0.35">
      <c r="A197" t="s">
        <v>8</v>
      </c>
      <c r="B197">
        <v>8190870</v>
      </c>
      <c r="C197" s="2" t="s">
        <v>401</v>
      </c>
      <c r="D197" s="2" t="str">
        <f>LEFT(TRIM(MID(SUBSTITUTE(tblShipments2[[#This Row],[Details]],CHAR(10)," "), FIND(CHAR(10),tblShipments2[[#This Row],[Details]])+1, 50)), 10)</f>
        <v>0505000873</v>
      </c>
      <c r="E197" t="s">
        <v>405</v>
      </c>
      <c r="F19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7" t="str">
        <f>IF(tblShipments2[[#This Row],[EGM no]]="", "Missing EGM", "EGM Submitted")</f>
        <v>EGM Submitted</v>
      </c>
      <c r="H197" t="str">
        <f>IF(OR(ISNUMBER(SEARCH("Released",tblShipments2[[#This Row],[ROSL]])),
      ISNUMBER(SEARCH("Scroll",tblShipments2[[#This Row],[ROSL]])),
      ISNUMBER(SEARCH("Y",tblShipments2[[#This Row],[ROSL]]))),
   "Released",
   "Not Released")</f>
        <v>Released</v>
      </c>
      <c r="I197" t="str">
        <f>IF(OR(tblShipments2[[#This Row],[EGM no]]="", tblShipments2[[#This Row],[EGM no]]="N.A."), "Not Submitted", "Submitted")</f>
        <v>Submitted</v>
      </c>
      <c r="J197" t="str">
        <f>IF(LEFT(tblShipments2[[#This Row],[Gateway_Extracted]],2)="IN","Valid","Invalid")</f>
        <v>Valid</v>
      </c>
      <c r="K197" t="s">
        <v>406</v>
      </c>
      <c r="L197" t="s">
        <v>407</v>
      </c>
      <c r="M197" t="s">
        <v>13</v>
      </c>
      <c r="N197" t="s">
        <v>408</v>
      </c>
      <c r="O197" t="str">
        <f>IFERROR("IN" &amp; _xlfn.TEXTBEFORE(_xlfn.TEXTAFTER(UPPER(tblShipments2[[#This Row],[Gateway_clean]]),"IN")," ",1),"")</f>
        <v>INNSA1</v>
      </c>
      <c r="P197" t="str">
        <f>SUBSTITUTE(tblShipments2[[#This Row],[Gateway]], CHAR(10), " ")</f>
        <v xml:space="preserve">AWB No. Gateway Port Gateway EGM No. Gateway EGM Date Gateway Site ID Error Code N.A.  INNSA1  N.A.  N.A.  N.A.  N.A. </v>
      </c>
      <c r="Q197" t="s">
        <v>26</v>
      </c>
    </row>
    <row r="198" spans="1:17" x14ac:dyDescent="0.35">
      <c r="A198" t="s">
        <v>8</v>
      </c>
      <c r="B198">
        <v>8201692</v>
      </c>
      <c r="C198" s="2" t="s">
        <v>409</v>
      </c>
      <c r="D198" s="2" t="str">
        <f>LEFT(TRIM(MID(SUBSTITUTE(tblShipments2[[#This Row],[Details]],CHAR(10)," "), FIND(CHAR(10),tblShipments2[[#This Row],[Details]])+1, 50)), 10)</f>
        <v>0507042034</v>
      </c>
      <c r="E198" t="s">
        <v>410</v>
      </c>
      <c r="F19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8" t="str">
        <f>IF(tblShipments2[[#This Row],[EGM no]]="", "Missing EGM", "EGM Submitted")</f>
        <v>EGM Submitted</v>
      </c>
      <c r="H198" t="str">
        <f>IF(OR(ISNUMBER(SEARCH("Released",tblShipments2[[#This Row],[ROSL]])),
      ISNUMBER(SEARCH("Scroll",tblShipments2[[#This Row],[ROSL]])),
      ISNUMBER(SEARCH("Y",tblShipments2[[#This Row],[ROSL]]))),
   "Released",
   "Not Released")</f>
        <v>Released</v>
      </c>
      <c r="I198" t="str">
        <f>IF(OR(tblShipments2[[#This Row],[EGM no]]="", tblShipments2[[#This Row],[EGM no]]="N.A."), "Not Submitted", "Submitted")</f>
        <v>Submitted</v>
      </c>
      <c r="J198" t="str">
        <f>IF(LEFT(tblShipments2[[#This Row],[Gateway_Extracted]],2)="IN","Valid","Invalid")</f>
        <v>Valid</v>
      </c>
      <c r="K198" t="s">
        <v>374</v>
      </c>
      <c r="L198" t="s">
        <v>411</v>
      </c>
      <c r="M198" t="s">
        <v>13</v>
      </c>
      <c r="N198" t="s">
        <v>412</v>
      </c>
      <c r="O198" t="str">
        <f>IFERROR("IN" &amp; _xlfn.TEXTBEFORE(_xlfn.TEXTAFTER(UPPER(tblShipments2[[#This Row],[Gateway_clean]]),"IN")," ",1),"")</f>
        <v>INMUN1</v>
      </c>
      <c r="P198" t="str">
        <f>SUBSTITUTE(tblShipments2[[#This Row],[Gateway]], CHAR(10), " ")</f>
        <v xml:space="preserve">AWB No. Gateway Port Gateway EGM No. Gateway EGM Date Gateway Site ID Error Code N.A.  INMUN1  133789  2017-08-23 00:00:00.0  INMUN1  S </v>
      </c>
      <c r="Q198" t="s">
        <v>413</v>
      </c>
    </row>
    <row r="199" spans="1:17" x14ac:dyDescent="0.35">
      <c r="A199" t="s">
        <v>8</v>
      </c>
      <c r="B199">
        <v>8204016</v>
      </c>
      <c r="C199" s="2" t="s">
        <v>409</v>
      </c>
      <c r="D199" s="2" t="str">
        <f>LEFT(TRIM(MID(SUBSTITUTE(tblShipments2[[#This Row],[Details]],CHAR(10)," "), FIND(CHAR(10),tblShipments2[[#This Row],[Details]])+1, 50)), 10)</f>
        <v>0510085423</v>
      </c>
      <c r="E199" t="s">
        <v>414</v>
      </c>
      <c r="F19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199" t="str">
        <f>IF(tblShipments2[[#This Row],[EGM no]]="", "Missing EGM", "EGM Submitted")</f>
        <v>EGM Submitted</v>
      </c>
      <c r="H199" t="str">
        <f>IF(OR(ISNUMBER(SEARCH("Released",tblShipments2[[#This Row],[ROSL]])),
      ISNUMBER(SEARCH("Scroll",tblShipments2[[#This Row],[ROSL]])),
      ISNUMBER(SEARCH("Y",tblShipments2[[#This Row],[ROSL]]))),
   "Released",
   "Not Released")</f>
        <v>Released</v>
      </c>
      <c r="I199" t="str">
        <f>IF(OR(tblShipments2[[#This Row],[EGM no]]="", tblShipments2[[#This Row],[EGM no]]="N.A."), "Not Submitted", "Submitted")</f>
        <v>Submitted</v>
      </c>
      <c r="J199" t="str">
        <f>IF(LEFT(tblShipments2[[#This Row],[Gateway_Extracted]],2)="IN","Valid","Invalid")</f>
        <v>Valid</v>
      </c>
      <c r="K199" t="s">
        <v>406</v>
      </c>
      <c r="L199" t="s">
        <v>415</v>
      </c>
      <c r="M199" t="s">
        <v>13</v>
      </c>
      <c r="N199" t="s">
        <v>416</v>
      </c>
      <c r="O199" t="str">
        <f>IFERROR("IN" &amp; _xlfn.TEXTBEFORE(_xlfn.TEXTAFTER(UPPER(tblShipments2[[#This Row],[Gateway_clean]]),"IN")," ",1),"")</f>
        <v>INNSA1</v>
      </c>
      <c r="P199" t="str">
        <f>SUBSTITUTE(tblShipments2[[#This Row],[Gateway]], CHAR(10), " ")</f>
        <v xml:space="preserve">AWB No. Gateway Port Gateway EGM No. Gateway EGM Date Gateway Site ID Error Code N.A.  INNSA1  N.A.  N.A.  N.A.  N.A. </v>
      </c>
      <c r="Q199" t="s">
        <v>26</v>
      </c>
    </row>
    <row r="200" spans="1:17" x14ac:dyDescent="0.35">
      <c r="A200" t="s">
        <v>8</v>
      </c>
      <c r="B200">
        <v>8216051</v>
      </c>
      <c r="C200" s="2" t="s">
        <v>409</v>
      </c>
      <c r="D200" s="2" t="str">
        <f>LEFT(TRIM(MID(SUBSTITUTE(tblShipments2[[#This Row],[Details]],CHAR(10)," "), FIND(CHAR(10),tblShipments2[[#This Row],[Details]])+1, 50)), 10)</f>
        <v>AAKFN5762C</v>
      </c>
      <c r="E200" t="s">
        <v>417</v>
      </c>
      <c r="F20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0" t="str">
        <f>IF(tblShipments2[[#This Row],[EGM no]]="", "Missing EGM", "EGM Submitted")</f>
        <v>EGM Submitted</v>
      </c>
      <c r="H200" t="str">
        <f>IF(OR(ISNUMBER(SEARCH("Released",tblShipments2[[#This Row],[ROSL]])),
      ISNUMBER(SEARCH("Scroll",tblShipments2[[#This Row],[ROSL]])),
      ISNUMBER(SEARCH("Y",tblShipments2[[#This Row],[ROSL]]))),
   "Released",
   "Not Released")</f>
        <v>Released</v>
      </c>
      <c r="I200" t="str">
        <f>IF(OR(tblShipments2[[#This Row],[EGM no]]="", tblShipments2[[#This Row],[EGM no]]="N.A."), "Not Submitted", "Submitted")</f>
        <v>Submitted</v>
      </c>
      <c r="J200" t="str">
        <f>IF(LEFT(tblShipments2[[#This Row],[Gateway_Extracted]],2)="IN","Valid","Invalid")</f>
        <v>Valid</v>
      </c>
      <c r="K200" t="s">
        <v>418</v>
      </c>
      <c r="L200" t="s">
        <v>419</v>
      </c>
      <c r="M200" t="s">
        <v>13</v>
      </c>
      <c r="N200" t="s">
        <v>420</v>
      </c>
      <c r="O200" t="str">
        <f>IFERROR("IN" &amp; _xlfn.TEXTBEFORE(_xlfn.TEXTAFTER(UPPER(tblShipments2[[#This Row],[Gateway_clean]]),"IN")," ",1),"")</f>
        <v>INNSA1</v>
      </c>
      <c r="P200" t="str">
        <f>SUBSTITUTE(tblShipments2[[#This Row],[Gateway]], CHAR(10), " ")</f>
        <v xml:space="preserve">AWB No. Gateway Port Gateway EGM No. Gateway EGM Date Gateway Site ID Error Code N.A.  INNSA1  134167  2017-08-29 00:00:00.0  INNSA1  S </v>
      </c>
      <c r="Q200" t="s">
        <v>421</v>
      </c>
    </row>
    <row r="201" spans="1:17" x14ac:dyDescent="0.35">
      <c r="A201" t="s">
        <v>8</v>
      </c>
      <c r="B201">
        <v>8216744</v>
      </c>
      <c r="C201" s="2" t="s">
        <v>409</v>
      </c>
      <c r="D201" s="2" t="str">
        <f>LEFT(TRIM(MID(SUBSTITUTE(tblShipments2[[#This Row],[Details]],CHAR(10)," "), FIND(CHAR(10),tblShipments2[[#This Row],[Details]])+1, 50)), 10)</f>
        <v>0591046270</v>
      </c>
      <c r="E201" t="s">
        <v>422</v>
      </c>
      <c r="F20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1" t="str">
        <f>IF(tblShipments2[[#This Row],[EGM no]]="", "Missing EGM", "EGM Submitted")</f>
        <v>EGM Submitted</v>
      </c>
      <c r="H201" t="str">
        <f>IF(OR(ISNUMBER(SEARCH("Released",tblShipments2[[#This Row],[ROSL]])),
      ISNUMBER(SEARCH("Scroll",tblShipments2[[#This Row],[ROSL]])),
      ISNUMBER(SEARCH("Y",tblShipments2[[#This Row],[ROSL]]))),
   "Released",
   "Not Released")</f>
        <v>Released</v>
      </c>
      <c r="I201" t="str">
        <f>IF(OR(tblShipments2[[#This Row],[EGM no]]="", tblShipments2[[#This Row],[EGM no]]="N.A."), "Not Submitted", "Submitted")</f>
        <v>Submitted</v>
      </c>
      <c r="J201" t="str">
        <f>IF(LEFT(tblShipments2[[#This Row],[Gateway_Extracted]],2)="IN","Valid","Invalid")</f>
        <v>Valid</v>
      </c>
      <c r="K201" t="s">
        <v>394</v>
      </c>
      <c r="L201" t="s">
        <v>423</v>
      </c>
      <c r="M201" t="s">
        <v>13</v>
      </c>
      <c r="N201" t="s">
        <v>424</v>
      </c>
      <c r="O201" t="str">
        <f>IFERROR("IN" &amp; _xlfn.TEXTBEFORE(_xlfn.TEXTAFTER(UPPER(tblShipments2[[#This Row],[Gateway_clean]]),"IN")," ",1),"")</f>
        <v>INMUN1</v>
      </c>
      <c r="P201" t="str">
        <f>SUBSTITUTE(tblShipments2[[#This Row],[Gateway]], CHAR(10), " ")</f>
        <v xml:space="preserve">AWB No. Gateway Port Gateway EGM No. Gateway EGM Date Gateway Site ID Error Code N.A.  INMUN1  135378  2017-09-19 00:00:00.0  INMUN1  S </v>
      </c>
      <c r="Q201" t="s">
        <v>425</v>
      </c>
    </row>
    <row r="202" spans="1:17" x14ac:dyDescent="0.35">
      <c r="A202" t="s">
        <v>8</v>
      </c>
      <c r="B202">
        <v>8220992</v>
      </c>
      <c r="C202" s="2" t="s">
        <v>409</v>
      </c>
      <c r="D202" s="2" t="str">
        <f>LEFT(TRIM(MID(SUBSTITUTE(tblShipments2[[#This Row],[Details]],CHAR(10)," "), FIND(CHAR(10),tblShipments2[[#This Row],[Details]])+1, 50)), 10)</f>
        <v>0508074321</v>
      </c>
      <c r="E202" t="s">
        <v>426</v>
      </c>
      <c r="F20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2" t="str">
        <f>IF(tblShipments2[[#This Row],[EGM no]]="", "Missing EGM", "EGM Submitted")</f>
        <v>EGM Submitted</v>
      </c>
      <c r="H202" t="str">
        <f>IF(OR(ISNUMBER(SEARCH("Released",tblShipments2[[#This Row],[ROSL]])),
      ISNUMBER(SEARCH("Scroll",tblShipments2[[#This Row],[ROSL]])),
      ISNUMBER(SEARCH("Y",tblShipments2[[#This Row],[ROSL]]))),
   "Released",
   "Not Released")</f>
        <v>Released</v>
      </c>
      <c r="I202" t="str">
        <f>IF(OR(tblShipments2[[#This Row],[EGM no]]="", tblShipments2[[#This Row],[EGM no]]="N.A."), "Not Submitted", "Submitted")</f>
        <v>Submitted</v>
      </c>
      <c r="J202" t="str">
        <f>IF(LEFT(tblShipments2[[#This Row],[Gateway_Extracted]],2)="IN","Valid","Invalid")</f>
        <v>Valid</v>
      </c>
      <c r="K202" t="s">
        <v>427</v>
      </c>
      <c r="L202" t="s">
        <v>428</v>
      </c>
      <c r="M202" t="s">
        <v>13</v>
      </c>
      <c r="N202" t="s">
        <v>429</v>
      </c>
      <c r="O202" t="str">
        <f>IFERROR("IN" &amp; _xlfn.TEXTBEFORE(_xlfn.TEXTAFTER(UPPER(tblShipments2[[#This Row],[Gateway_clean]]),"IN")," ",1),"")</f>
        <v>INPAV1</v>
      </c>
      <c r="P202" t="str">
        <f>SUBSTITUTE(tblShipments2[[#This Row],[Gateway]], CHAR(10), " ")</f>
        <v xml:space="preserve">AWB No. Gateway Port Gateway EGM No. Gateway EGM Date Gateway Site ID Error Code N.A.  INPAV1  134074  2017-08-28 00:00:00.0  INPAV1  S </v>
      </c>
      <c r="Q202" t="s">
        <v>430</v>
      </c>
    </row>
    <row r="203" spans="1:17" x14ac:dyDescent="0.35">
      <c r="A203" t="s">
        <v>8</v>
      </c>
      <c r="B203">
        <v>8222240</v>
      </c>
      <c r="C203" s="2" t="s">
        <v>409</v>
      </c>
      <c r="D203" s="2" t="str">
        <f>LEFT(TRIM(MID(SUBSTITUTE(tblShipments2[[#This Row],[Details]],CHAR(10)," "), FIND(CHAR(10),tblShipments2[[#This Row],[Details]])+1, 50)), 10)</f>
        <v>0510059732</v>
      </c>
      <c r="E203" t="s">
        <v>431</v>
      </c>
      <c r="F20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3" t="str">
        <f>IF(tblShipments2[[#This Row],[EGM no]]="", "Missing EGM", "EGM Submitted")</f>
        <v>EGM Submitted</v>
      </c>
      <c r="H203" t="str">
        <f>IF(OR(ISNUMBER(SEARCH("Released",tblShipments2[[#This Row],[ROSL]])),
      ISNUMBER(SEARCH("Scroll",tblShipments2[[#This Row],[ROSL]])),
      ISNUMBER(SEARCH("Y",tblShipments2[[#This Row],[ROSL]]))),
   "Released",
   "Not Released")</f>
        <v>Released</v>
      </c>
      <c r="I203" t="str">
        <f>IF(OR(tblShipments2[[#This Row],[EGM no]]="", tblShipments2[[#This Row],[EGM no]]="N.A."), "Not Submitted", "Submitted")</f>
        <v>Submitted</v>
      </c>
      <c r="J203" t="str">
        <f>IF(LEFT(tblShipments2[[#This Row],[Gateway_Extracted]],2)="IN","Valid","Invalid")</f>
        <v>Valid</v>
      </c>
      <c r="K203" t="s">
        <v>432</v>
      </c>
      <c r="L203" t="s">
        <v>433</v>
      </c>
      <c r="M203" t="s">
        <v>31</v>
      </c>
      <c r="N203" t="s">
        <v>434</v>
      </c>
      <c r="O203" t="str">
        <f>IFERROR("IN" &amp; _xlfn.TEXTBEFORE(_xlfn.TEXTAFTER(UPPER(tblShipments2[[#This Row],[Gateway_clean]]),"IN")," ",1),"")</f>
        <v>INMUN1</v>
      </c>
      <c r="P203" t="str">
        <f>SUBSTITUTE(tblShipments2[[#This Row],[Gateway]], CHAR(10), " ")</f>
        <v xml:space="preserve">AWB No. Gateway Port Gateway EGM No. Gateway EGM Date Gateway Site ID Error Code N.A.  INMUN1  140358  2017-12-08 00:00:00.0  INMUN1  ST </v>
      </c>
      <c r="Q203" t="s">
        <v>435</v>
      </c>
    </row>
    <row r="204" spans="1:17" x14ac:dyDescent="0.35">
      <c r="A204" t="s">
        <v>8</v>
      </c>
      <c r="B204">
        <v>8228343</v>
      </c>
      <c r="C204" s="2" t="s">
        <v>409</v>
      </c>
      <c r="D204" s="2" t="str">
        <f>LEFT(TRIM(MID(SUBSTITUTE(tblShipments2[[#This Row],[Details]],CHAR(10)," "), FIND(CHAR(10),tblShipments2[[#This Row],[Details]])+1, 50)), 10)</f>
        <v>0500075158</v>
      </c>
      <c r="E204" t="s">
        <v>436</v>
      </c>
      <c r="F20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4" t="str">
        <f>IF(tblShipments2[[#This Row],[EGM no]]="", "Missing EGM", "EGM Submitted")</f>
        <v>EGM Submitted</v>
      </c>
      <c r="H204" t="str">
        <f>IF(OR(ISNUMBER(SEARCH("Released",tblShipments2[[#This Row],[ROSL]])),
      ISNUMBER(SEARCH("Scroll",tblShipments2[[#This Row],[ROSL]])),
      ISNUMBER(SEARCH("Y",tblShipments2[[#This Row],[ROSL]]))),
   "Released",
   "Not Released")</f>
        <v>Released</v>
      </c>
      <c r="I204" t="str">
        <f>IF(OR(tblShipments2[[#This Row],[EGM no]]="", tblShipments2[[#This Row],[EGM no]]="N.A."), "Not Submitted", "Submitted")</f>
        <v>Submitted</v>
      </c>
      <c r="J204" t="str">
        <f>IF(LEFT(tblShipments2[[#This Row],[Gateway_Extracted]],2)="IN","Valid","Invalid")</f>
        <v>Valid</v>
      </c>
      <c r="K204" t="s">
        <v>437</v>
      </c>
      <c r="L204" t="s">
        <v>438</v>
      </c>
      <c r="M204" t="s">
        <v>439</v>
      </c>
      <c r="N204" t="s">
        <v>440</v>
      </c>
      <c r="O204" t="str">
        <f>IFERROR("IN" &amp; _xlfn.TEXTBEFORE(_xlfn.TEXTAFTER(UPPER(tblShipments2[[#This Row],[Gateway_clean]]),"IN")," ",1),"")</f>
        <v>INMUN1</v>
      </c>
      <c r="P204" t="str">
        <f>SUBSTITUTE(tblShipments2[[#This Row],[Gateway]], CHAR(10), " ")</f>
        <v xml:space="preserve">AWB No. Gateway Port Gateway EGM No. Gateway EGM Date Gateway Site ID Error Code N.A.  INMUN1  134796  2017-09-08 00:00:00.0  INMUN1  S </v>
      </c>
      <c r="Q204" t="s">
        <v>441</v>
      </c>
    </row>
    <row r="205" spans="1:17" x14ac:dyDescent="0.35">
      <c r="A205" t="s">
        <v>8</v>
      </c>
      <c r="B205">
        <v>8234289</v>
      </c>
      <c r="C205" s="2" t="s">
        <v>442</v>
      </c>
      <c r="D205" s="2" t="str">
        <f>LEFT(TRIM(MID(SUBSTITUTE(tblShipments2[[#This Row],[Details]],CHAR(10)," "), FIND(CHAR(10),tblShipments2[[#This Row],[Details]])+1, 50)), 10)</f>
        <v>0507001061</v>
      </c>
      <c r="E205" t="s">
        <v>443</v>
      </c>
      <c r="F20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5" t="str">
        <f>IF(tblShipments2[[#This Row],[EGM no]]="", "Missing EGM", "EGM Submitted")</f>
        <v>EGM Submitted</v>
      </c>
      <c r="H205" t="str">
        <f>IF(OR(ISNUMBER(SEARCH("Released",tblShipments2[[#This Row],[ROSL]])),
      ISNUMBER(SEARCH("Scroll",tblShipments2[[#This Row],[ROSL]])),
      ISNUMBER(SEARCH("Y",tblShipments2[[#This Row],[ROSL]]))),
   "Released",
   "Not Released")</f>
        <v>Released</v>
      </c>
      <c r="I205" t="str">
        <f>IF(OR(tblShipments2[[#This Row],[EGM no]]="", tblShipments2[[#This Row],[EGM no]]="N.A."), "Not Submitted", "Submitted")</f>
        <v>Submitted</v>
      </c>
      <c r="J205" t="str">
        <f>IF(LEFT(tblShipments2[[#This Row],[Gateway_Extracted]],2)="IN","Valid","Invalid")</f>
        <v>Valid</v>
      </c>
      <c r="K205" t="s">
        <v>444</v>
      </c>
      <c r="L205" t="s">
        <v>445</v>
      </c>
      <c r="M205" t="s">
        <v>13</v>
      </c>
      <c r="N205" t="s">
        <v>446</v>
      </c>
      <c r="O205" t="str">
        <f>IFERROR("IN" &amp; _xlfn.TEXTBEFORE(_xlfn.TEXTAFTER(UPPER(tblShipments2[[#This Row],[Gateway_clean]]),"IN")," ",1),"")</f>
        <v>INMUN1</v>
      </c>
      <c r="P205" t="str">
        <f>SUBSTITUTE(tblShipments2[[#This Row],[Gateway]], CHAR(10), " ")</f>
        <v xml:space="preserve">AWB No. Gateway Port Gateway EGM No. Gateway EGM Date Gateway Site ID Error Code N.A.  INMUN1  134487  2017-09-04 00:00:00.0  INMUN1  S </v>
      </c>
      <c r="Q205" t="s">
        <v>400</v>
      </c>
    </row>
    <row r="206" spans="1:17" x14ac:dyDescent="0.35">
      <c r="A206" t="s">
        <v>8</v>
      </c>
      <c r="B206">
        <v>8235656</v>
      </c>
      <c r="C206" s="2" t="s">
        <v>442</v>
      </c>
      <c r="D206" s="2" t="str">
        <f>LEFT(TRIM(MID(SUBSTITUTE(tblShipments2[[#This Row],[Details]],CHAR(10)," "), FIND(CHAR(10),tblShipments2[[#This Row],[Details]])+1, 50)), 10)</f>
        <v>0510064663</v>
      </c>
      <c r="E206" t="s">
        <v>447</v>
      </c>
      <c r="F20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6" t="str">
        <f>IF(tblShipments2[[#This Row],[EGM no]]="", "Missing EGM", "EGM Submitted")</f>
        <v>EGM Submitted</v>
      </c>
      <c r="H206" t="str">
        <f>IF(OR(ISNUMBER(SEARCH("Released",tblShipments2[[#This Row],[ROSL]])),
      ISNUMBER(SEARCH("Scroll",tblShipments2[[#This Row],[ROSL]])),
      ISNUMBER(SEARCH("Y",tblShipments2[[#This Row],[ROSL]]))),
   "Released",
   "Not Released")</f>
        <v>Released</v>
      </c>
      <c r="I206" t="str">
        <f>IF(OR(tblShipments2[[#This Row],[EGM no]]="", tblShipments2[[#This Row],[EGM no]]="N.A."), "Not Submitted", "Submitted")</f>
        <v>Submitted</v>
      </c>
      <c r="J206" t="str">
        <f>IF(LEFT(tblShipments2[[#This Row],[Gateway_Extracted]],2)="IN","Valid","Invalid")</f>
        <v>Valid</v>
      </c>
      <c r="K206" t="s">
        <v>382</v>
      </c>
      <c r="L206" t="s">
        <v>448</v>
      </c>
      <c r="M206" t="s">
        <v>449</v>
      </c>
      <c r="N206" t="s">
        <v>450</v>
      </c>
      <c r="O206" t="str">
        <f>IFERROR("IN" &amp; _xlfn.TEXTBEFORE(_xlfn.TEXTAFTER(UPPER(tblShipments2[[#This Row],[Gateway_clean]]),"IN")," ",1),"")</f>
        <v>INMUN1</v>
      </c>
      <c r="P206" t="str">
        <f>SUBSTITUTE(tblShipments2[[#This Row],[Gateway]], CHAR(10), " ")</f>
        <v xml:space="preserve">AWB No. Gateway Port Gateway EGM No. Gateway EGM Date Gateway Site ID Error Code N.A.  INMUN1  134795  2017-09-08 00:00:00.0  INMUN1  S </v>
      </c>
      <c r="Q206" t="s">
        <v>451</v>
      </c>
    </row>
    <row r="207" spans="1:17" x14ac:dyDescent="0.35">
      <c r="A207" t="s">
        <v>8</v>
      </c>
      <c r="B207">
        <v>8239122</v>
      </c>
      <c r="C207" s="2" t="s">
        <v>442</v>
      </c>
      <c r="D207" s="2" t="str">
        <f>LEFT(TRIM(MID(SUBSTITUTE(tblShipments2[[#This Row],[Details]],CHAR(10)," "), FIND(CHAR(10),tblShipments2[[#This Row],[Details]])+1, 50)), 10)</f>
        <v>AAHCC0755A</v>
      </c>
      <c r="E207" t="s">
        <v>452</v>
      </c>
      <c r="F20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7" t="str">
        <f>IF(tblShipments2[[#This Row],[EGM no]]="", "Missing EGM", "EGM Submitted")</f>
        <v>EGM Submitted</v>
      </c>
      <c r="H207" t="str">
        <f>IF(OR(ISNUMBER(SEARCH("Released",tblShipments2[[#This Row],[ROSL]])),
      ISNUMBER(SEARCH("Scroll",tblShipments2[[#This Row],[ROSL]])),
      ISNUMBER(SEARCH("Y",tblShipments2[[#This Row],[ROSL]]))),
   "Released",
   "Not Released")</f>
        <v>Released</v>
      </c>
      <c r="I207" t="str">
        <f>IF(OR(tblShipments2[[#This Row],[EGM no]]="", tblShipments2[[#This Row],[EGM no]]="N.A."), "Not Submitted", "Submitted")</f>
        <v>Submitted</v>
      </c>
      <c r="J207" t="str">
        <f>IF(LEFT(tblShipments2[[#This Row],[Gateway_Extracted]],2)="IN","Valid","Invalid")</f>
        <v>Valid</v>
      </c>
      <c r="K207" t="s">
        <v>352</v>
      </c>
      <c r="L207" t="s">
        <v>453</v>
      </c>
      <c r="M207" t="s">
        <v>454</v>
      </c>
      <c r="N207" t="s">
        <v>455</v>
      </c>
      <c r="O207" t="str">
        <f>IFERROR("IN" &amp; _xlfn.TEXTBEFORE(_xlfn.TEXTAFTER(UPPER(tblShipments2[[#This Row],[Gateway_clean]]),"IN")," ",1),"")</f>
        <v>INPAV1</v>
      </c>
      <c r="P207" t="str">
        <f>SUBSTITUTE(tblShipments2[[#This Row],[Gateway]], CHAR(10), " ")</f>
        <v xml:space="preserve">AWB No. Gateway Port Gateway EGM No. Gateway EGM Date Gateway Site ID Error Code N.A.  INPAV1  132218  2017-07-26 00:00:00.0  INPAV1  S </v>
      </c>
      <c r="Q207" t="s">
        <v>456</v>
      </c>
    </row>
    <row r="208" spans="1:17" x14ac:dyDescent="0.35">
      <c r="A208" t="s">
        <v>8</v>
      </c>
      <c r="B208">
        <v>8239128</v>
      </c>
      <c r="C208" s="2" t="s">
        <v>442</v>
      </c>
      <c r="D208" s="2" t="str">
        <f>LEFT(TRIM(MID(SUBSTITUTE(tblShipments2[[#This Row],[Details]],CHAR(10)," "), FIND(CHAR(10),tblShipments2[[#This Row],[Details]])+1, 50)), 10)</f>
        <v>AAHCC0755A</v>
      </c>
      <c r="E208" t="s">
        <v>457</v>
      </c>
      <c r="F20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8" t="str">
        <f>IF(tblShipments2[[#This Row],[EGM no]]="", "Missing EGM", "EGM Submitted")</f>
        <v>EGM Submitted</v>
      </c>
      <c r="H208" t="str">
        <f>IF(OR(ISNUMBER(SEARCH("Released",tblShipments2[[#This Row],[ROSL]])),
      ISNUMBER(SEARCH("Scroll",tblShipments2[[#This Row],[ROSL]])),
      ISNUMBER(SEARCH("Y",tblShipments2[[#This Row],[ROSL]]))),
   "Released",
   "Not Released")</f>
        <v>Released</v>
      </c>
      <c r="I208" t="str">
        <f>IF(OR(tblShipments2[[#This Row],[EGM no]]="", tblShipments2[[#This Row],[EGM no]]="N.A."), "Not Submitted", "Submitted")</f>
        <v>Submitted</v>
      </c>
      <c r="J208" t="str">
        <f>IF(LEFT(tblShipments2[[#This Row],[Gateway_Extracted]],2)="IN","Valid","Invalid")</f>
        <v>Valid</v>
      </c>
      <c r="K208" t="s">
        <v>352</v>
      </c>
      <c r="L208" t="s">
        <v>453</v>
      </c>
      <c r="M208" t="s">
        <v>454</v>
      </c>
      <c r="N208" t="s">
        <v>455</v>
      </c>
      <c r="O208" t="str">
        <f>IFERROR("IN" &amp; _xlfn.TEXTBEFORE(_xlfn.TEXTAFTER(UPPER(tblShipments2[[#This Row],[Gateway_clean]]),"IN")," ",1),"")</f>
        <v>INPAV1</v>
      </c>
      <c r="P208" t="str">
        <f>SUBSTITUTE(tblShipments2[[#This Row],[Gateway]], CHAR(10), " ")</f>
        <v xml:space="preserve">AWB No. Gateway Port Gateway EGM No. Gateway EGM Date Gateway Site ID Error Code N.A.  INPAV1  132218  2017-07-26 00:00:00.0  INPAV1  S </v>
      </c>
      <c r="Q208" t="s">
        <v>456</v>
      </c>
    </row>
    <row r="209" spans="1:17" x14ac:dyDescent="0.35">
      <c r="A209" t="s">
        <v>8</v>
      </c>
      <c r="B209">
        <v>8239129</v>
      </c>
      <c r="C209" s="2" t="s">
        <v>442</v>
      </c>
      <c r="D209" s="2" t="str">
        <f>LEFT(TRIM(MID(SUBSTITUTE(tblShipments2[[#This Row],[Details]],CHAR(10)," "), FIND(CHAR(10),tblShipments2[[#This Row],[Details]])+1, 50)), 10)</f>
        <v>AAHCC0755A</v>
      </c>
      <c r="E209" t="s">
        <v>458</v>
      </c>
      <c r="F20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09" t="str">
        <f>IF(tblShipments2[[#This Row],[EGM no]]="", "Missing EGM", "EGM Submitted")</f>
        <v>EGM Submitted</v>
      </c>
      <c r="H209" t="str">
        <f>IF(OR(ISNUMBER(SEARCH("Released",tblShipments2[[#This Row],[ROSL]])),
      ISNUMBER(SEARCH("Scroll",tblShipments2[[#This Row],[ROSL]])),
      ISNUMBER(SEARCH("Y",tblShipments2[[#This Row],[ROSL]]))),
   "Released",
   "Not Released")</f>
        <v>Released</v>
      </c>
      <c r="I209" t="str">
        <f>IF(OR(tblShipments2[[#This Row],[EGM no]]="", tblShipments2[[#This Row],[EGM no]]="N.A."), "Not Submitted", "Submitted")</f>
        <v>Submitted</v>
      </c>
      <c r="J209" t="str">
        <f>IF(LEFT(tblShipments2[[#This Row],[Gateway_Extracted]],2)="IN","Valid","Invalid")</f>
        <v>Valid</v>
      </c>
      <c r="K209" t="s">
        <v>352</v>
      </c>
      <c r="L209" t="s">
        <v>453</v>
      </c>
      <c r="M209" t="s">
        <v>454</v>
      </c>
      <c r="N209" t="s">
        <v>455</v>
      </c>
      <c r="O209" t="str">
        <f>IFERROR("IN" &amp; _xlfn.TEXTBEFORE(_xlfn.TEXTAFTER(UPPER(tblShipments2[[#This Row],[Gateway_clean]]),"IN")," ",1),"")</f>
        <v>INPAV1</v>
      </c>
      <c r="P209" t="str">
        <f>SUBSTITUTE(tblShipments2[[#This Row],[Gateway]], CHAR(10), " ")</f>
        <v xml:space="preserve">AWB No. Gateway Port Gateway EGM No. Gateway EGM Date Gateway Site ID Error Code N.A.  INPAV1  132218  2017-07-26 00:00:00.0  INPAV1  S </v>
      </c>
      <c r="Q209" t="s">
        <v>456</v>
      </c>
    </row>
    <row r="210" spans="1:17" x14ac:dyDescent="0.35">
      <c r="A210" t="s">
        <v>8</v>
      </c>
      <c r="B210">
        <v>8241970</v>
      </c>
      <c r="C210" s="2" t="s">
        <v>442</v>
      </c>
      <c r="D210" s="2" t="str">
        <f>LEFT(TRIM(MID(SUBSTITUTE(tblShipments2[[#This Row],[Details]],CHAR(10)," "), FIND(CHAR(10),tblShipments2[[#This Row],[Details]])+1, 50)), 10)</f>
        <v>AAHCC0755A</v>
      </c>
      <c r="E210" t="s">
        <v>459</v>
      </c>
      <c r="F21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0" t="str">
        <f>IF(tblShipments2[[#This Row],[EGM no]]="", "Missing EGM", "EGM Submitted")</f>
        <v>EGM Submitted</v>
      </c>
      <c r="H210" t="str">
        <f>IF(OR(ISNUMBER(SEARCH("Released",tblShipments2[[#This Row],[ROSL]])),
      ISNUMBER(SEARCH("Scroll",tblShipments2[[#This Row],[ROSL]])),
      ISNUMBER(SEARCH("Y",tblShipments2[[#This Row],[ROSL]]))),
   "Released",
   "Not Released")</f>
        <v>Released</v>
      </c>
      <c r="I210" t="str">
        <f>IF(OR(tblShipments2[[#This Row],[EGM no]]="", tblShipments2[[#This Row],[EGM no]]="N.A."), "Not Submitted", "Submitted")</f>
        <v>Submitted</v>
      </c>
      <c r="J210" t="str">
        <f>IF(LEFT(tblShipments2[[#This Row],[Gateway_Extracted]],2)="IN","Valid","Invalid")</f>
        <v>Valid</v>
      </c>
      <c r="K210" t="s">
        <v>427</v>
      </c>
      <c r="L210" t="s">
        <v>460</v>
      </c>
      <c r="M210" t="s">
        <v>461</v>
      </c>
      <c r="N210" t="s">
        <v>462</v>
      </c>
      <c r="O210" t="str">
        <f>IFERROR("IN" &amp; _xlfn.TEXTBEFORE(_xlfn.TEXTAFTER(UPPER(tblShipments2[[#This Row],[Gateway_clean]]),"IN")," ",1),"")</f>
        <v>INPAV1</v>
      </c>
      <c r="P210" t="str">
        <f>SUBSTITUTE(tblShipments2[[#This Row],[Gateway]], CHAR(10), " ")</f>
        <v xml:space="preserve">AWB No. Gateway Port Gateway EGM No. Gateway EGM Date Gateway Site ID Error Code N.A.  INPAV1  132218  2017-07-26 00:00:00.0  INPAV1  S </v>
      </c>
      <c r="Q210" t="s">
        <v>456</v>
      </c>
    </row>
    <row r="211" spans="1:17" x14ac:dyDescent="0.35">
      <c r="A211" t="s">
        <v>8</v>
      </c>
      <c r="B211">
        <v>8241971</v>
      </c>
      <c r="C211" s="2" t="s">
        <v>442</v>
      </c>
      <c r="D211" s="2" t="str">
        <f>LEFT(TRIM(MID(SUBSTITUTE(tblShipments2[[#This Row],[Details]],CHAR(10)," "), FIND(CHAR(10),tblShipments2[[#This Row],[Details]])+1, 50)), 10)</f>
        <v>AAHCC0755A</v>
      </c>
      <c r="E211" t="s">
        <v>463</v>
      </c>
      <c r="F21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1" t="str">
        <f>IF(tblShipments2[[#This Row],[EGM no]]="", "Missing EGM", "EGM Submitted")</f>
        <v>EGM Submitted</v>
      </c>
      <c r="H211" t="str">
        <f>IF(OR(ISNUMBER(SEARCH("Released",tblShipments2[[#This Row],[ROSL]])),
      ISNUMBER(SEARCH("Scroll",tblShipments2[[#This Row],[ROSL]])),
      ISNUMBER(SEARCH("Y",tblShipments2[[#This Row],[ROSL]]))),
   "Released",
   "Not Released")</f>
        <v>Released</v>
      </c>
      <c r="I211" t="str">
        <f>IF(OR(tblShipments2[[#This Row],[EGM no]]="", tblShipments2[[#This Row],[EGM no]]="N.A."), "Not Submitted", "Submitted")</f>
        <v>Submitted</v>
      </c>
      <c r="J211" t="str">
        <f>IF(LEFT(tblShipments2[[#This Row],[Gateway_Extracted]],2)="IN","Valid","Invalid")</f>
        <v>Valid</v>
      </c>
      <c r="K211" t="s">
        <v>427</v>
      </c>
      <c r="L211" t="s">
        <v>460</v>
      </c>
      <c r="M211" t="s">
        <v>461</v>
      </c>
      <c r="N211" t="s">
        <v>462</v>
      </c>
      <c r="O211" t="str">
        <f>IFERROR("IN" &amp; _xlfn.TEXTBEFORE(_xlfn.TEXTAFTER(UPPER(tblShipments2[[#This Row],[Gateway_clean]]),"IN")," ",1),"")</f>
        <v>INPAV1</v>
      </c>
      <c r="P211" t="str">
        <f>SUBSTITUTE(tblShipments2[[#This Row],[Gateway]], CHAR(10), " ")</f>
        <v xml:space="preserve">AWB No. Gateway Port Gateway EGM No. Gateway EGM Date Gateway Site ID Error Code N.A.  INPAV1  132218  2017-07-26 00:00:00.0  INPAV1  S </v>
      </c>
      <c r="Q211" t="s">
        <v>456</v>
      </c>
    </row>
    <row r="212" spans="1:17" x14ac:dyDescent="0.35">
      <c r="A212" t="s">
        <v>8</v>
      </c>
      <c r="B212">
        <v>8241978</v>
      </c>
      <c r="C212" s="2" t="s">
        <v>442</v>
      </c>
      <c r="D212" s="2" t="str">
        <f>LEFT(TRIM(MID(SUBSTITUTE(tblShipments2[[#This Row],[Details]],CHAR(10)," "), FIND(CHAR(10),tblShipments2[[#This Row],[Details]])+1, 50)), 10)</f>
        <v>AAHCC0755A</v>
      </c>
      <c r="E212" t="s">
        <v>464</v>
      </c>
      <c r="F21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2" t="str">
        <f>IF(tblShipments2[[#This Row],[EGM no]]="", "Missing EGM", "EGM Submitted")</f>
        <v>EGM Submitted</v>
      </c>
      <c r="H212" t="str">
        <f>IF(OR(ISNUMBER(SEARCH("Released",tblShipments2[[#This Row],[ROSL]])),
      ISNUMBER(SEARCH("Scroll",tblShipments2[[#This Row],[ROSL]])),
      ISNUMBER(SEARCH("Y",tblShipments2[[#This Row],[ROSL]]))),
   "Released",
   "Not Released")</f>
        <v>Released</v>
      </c>
      <c r="I212" t="str">
        <f>IF(OR(tblShipments2[[#This Row],[EGM no]]="", tblShipments2[[#This Row],[EGM no]]="N.A."), "Not Submitted", "Submitted")</f>
        <v>Submitted</v>
      </c>
      <c r="J212" t="str">
        <f>IF(LEFT(tblShipments2[[#This Row],[Gateway_Extracted]],2)="IN","Valid","Invalid")</f>
        <v>Valid</v>
      </c>
      <c r="K212" t="s">
        <v>427</v>
      </c>
      <c r="L212" t="s">
        <v>460</v>
      </c>
      <c r="M212" t="s">
        <v>465</v>
      </c>
      <c r="N212" t="s">
        <v>466</v>
      </c>
      <c r="O212" t="str">
        <f>IFERROR("IN" &amp; _xlfn.TEXTBEFORE(_xlfn.TEXTAFTER(UPPER(tblShipments2[[#This Row],[Gateway_clean]]),"IN")," ",1),"")</f>
        <v>INPAV1</v>
      </c>
      <c r="P212" t="str">
        <f>SUBSTITUTE(tblShipments2[[#This Row],[Gateway]], CHAR(10), " ")</f>
        <v xml:space="preserve">AWB No. Gateway Port Gateway EGM No. Gateway EGM Date Gateway Site ID Error Code N.A.  INPAV1  132218  2017-07-26 00:00:00.0  INPAV1  S </v>
      </c>
      <c r="Q212" t="s">
        <v>456</v>
      </c>
    </row>
    <row r="213" spans="1:17" x14ac:dyDescent="0.35">
      <c r="A213" t="s">
        <v>8</v>
      </c>
      <c r="B213">
        <v>8247826</v>
      </c>
      <c r="C213" s="2" t="s">
        <v>467</v>
      </c>
      <c r="D213" s="2" t="str">
        <f>LEFT(TRIM(MID(SUBSTITUTE(tblShipments2[[#This Row],[Details]],CHAR(10)," "), FIND(CHAR(10),tblShipments2[[#This Row],[Details]])+1, 50)), 10)</f>
        <v>0512081786</v>
      </c>
      <c r="E213" t="s">
        <v>468</v>
      </c>
      <c r="F21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3" t="str">
        <f>IF(tblShipments2[[#This Row],[EGM no]]="", "Missing EGM", "EGM Submitted")</f>
        <v>EGM Submitted</v>
      </c>
      <c r="H213" t="str">
        <f>IF(OR(ISNUMBER(SEARCH("Released",tblShipments2[[#This Row],[ROSL]])),
      ISNUMBER(SEARCH("Scroll",tblShipments2[[#This Row],[ROSL]])),
      ISNUMBER(SEARCH("Y",tblShipments2[[#This Row],[ROSL]]))),
   "Released",
   "Not Released")</f>
        <v>Released</v>
      </c>
      <c r="I213" t="str">
        <f>IF(OR(tblShipments2[[#This Row],[EGM no]]="", tblShipments2[[#This Row],[EGM no]]="N.A."), "Not Submitted", "Submitted")</f>
        <v>Submitted</v>
      </c>
      <c r="J213" t="str">
        <f>IF(LEFT(tblShipments2[[#This Row],[Gateway_Extracted]],2)="IN","Valid","Invalid")</f>
        <v>Valid</v>
      </c>
      <c r="K213" t="s">
        <v>427</v>
      </c>
      <c r="L213" t="s">
        <v>469</v>
      </c>
      <c r="M213" t="s">
        <v>13</v>
      </c>
      <c r="N213" t="s">
        <v>470</v>
      </c>
      <c r="O213" t="str">
        <f>IFERROR("IN" &amp; _xlfn.TEXTBEFORE(_xlfn.TEXTAFTER(UPPER(tblShipments2[[#This Row],[Gateway_clean]]),"IN")," ",1),"")</f>
        <v>INPAV1</v>
      </c>
      <c r="P213" t="str">
        <f>SUBSTITUTE(tblShipments2[[#This Row],[Gateway]], CHAR(10), " ")</f>
        <v xml:space="preserve">AWB No. Gateway Port Gateway EGM No. Gateway EGM Date Gateway Site ID Error Code N.A.  INPAV1  134066  2017-08-28 00:00:00.0  INPAV1  S </v>
      </c>
      <c r="Q213" t="s">
        <v>471</v>
      </c>
    </row>
    <row r="214" spans="1:17" x14ac:dyDescent="0.35">
      <c r="A214" t="s">
        <v>8</v>
      </c>
      <c r="B214">
        <v>8249349</v>
      </c>
      <c r="C214" s="2" t="s">
        <v>467</v>
      </c>
      <c r="D214" s="2" t="str">
        <f>LEFT(TRIM(MID(SUBSTITUTE(tblShipments2[[#This Row],[Details]],CHAR(10)," "), FIND(CHAR(10),tblShipments2[[#This Row],[Details]])+1, 50)), 10)</f>
        <v>0510056601</v>
      </c>
      <c r="E214" t="s">
        <v>472</v>
      </c>
      <c r="F21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4" t="str">
        <f>IF(tblShipments2[[#This Row],[EGM no]]="", "Missing EGM", "EGM Submitted")</f>
        <v>EGM Submitted</v>
      </c>
      <c r="H214" t="str">
        <f>IF(OR(ISNUMBER(SEARCH("Released",tblShipments2[[#This Row],[ROSL]])),
      ISNUMBER(SEARCH("Scroll",tblShipments2[[#This Row],[ROSL]])),
      ISNUMBER(SEARCH("Y",tblShipments2[[#This Row],[ROSL]]))),
   "Released",
   "Not Released")</f>
        <v>Released</v>
      </c>
      <c r="I214" t="str">
        <f>IF(OR(tblShipments2[[#This Row],[EGM no]]="", tblShipments2[[#This Row],[EGM no]]="N.A."), "Not Submitted", "Submitted")</f>
        <v>Submitted</v>
      </c>
      <c r="J214" t="str">
        <f>IF(LEFT(tblShipments2[[#This Row],[Gateway_Extracted]],2)="IN","Valid","Invalid")</f>
        <v>Valid</v>
      </c>
      <c r="K214" t="s">
        <v>473</v>
      </c>
      <c r="L214" t="s">
        <v>474</v>
      </c>
      <c r="M214" t="s">
        <v>13</v>
      </c>
      <c r="N214" t="s">
        <v>475</v>
      </c>
      <c r="O214" t="str">
        <f>IFERROR("IN" &amp; _xlfn.TEXTBEFORE(_xlfn.TEXTAFTER(UPPER(tblShipments2[[#This Row],[Gateway_clean]]),"IN")," ",1),"")</f>
        <v>INNSA1</v>
      </c>
      <c r="P214" t="str">
        <f>SUBSTITUTE(tblShipments2[[#This Row],[Gateway]], CHAR(10), " ")</f>
        <v xml:space="preserve">AWB No. Gateway Port Gateway EGM No. Gateway EGM Date Gateway Site ID Error Code N.A.  INNSA1  N.A.  N.A.  N.A.  N.A. </v>
      </c>
      <c r="Q214" t="s">
        <v>26</v>
      </c>
    </row>
    <row r="215" spans="1:17" x14ac:dyDescent="0.35">
      <c r="A215" t="s">
        <v>8</v>
      </c>
      <c r="B215">
        <v>8263241</v>
      </c>
      <c r="C215" s="2" t="s">
        <v>467</v>
      </c>
      <c r="D215" s="2" t="str">
        <f>LEFT(TRIM(MID(SUBSTITUTE(tblShipments2[[#This Row],[Details]],CHAR(10)," "), FIND(CHAR(10),tblShipments2[[#This Row],[Details]])+1, 50)), 10)</f>
        <v>0592023052</v>
      </c>
      <c r="E215" t="s">
        <v>476</v>
      </c>
      <c r="F21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5" t="str">
        <f>IF(tblShipments2[[#This Row],[EGM no]]="", "Missing EGM", "EGM Submitted")</f>
        <v>EGM Submitted</v>
      </c>
      <c r="H215" t="str">
        <f>IF(OR(ISNUMBER(SEARCH("Released",tblShipments2[[#This Row],[ROSL]])),
      ISNUMBER(SEARCH("Scroll",tblShipments2[[#This Row],[ROSL]])),
      ISNUMBER(SEARCH("Y",tblShipments2[[#This Row],[ROSL]]))),
   "Released",
   "Not Released")</f>
        <v>Released</v>
      </c>
      <c r="I215" t="str">
        <f>IF(OR(tblShipments2[[#This Row],[EGM no]]="", tblShipments2[[#This Row],[EGM no]]="N.A."), "Not Submitted", "Submitted")</f>
        <v>Submitted</v>
      </c>
      <c r="J215" t="str">
        <f>IF(LEFT(tblShipments2[[#This Row],[Gateway_Extracted]],2)="IN","Valid","Invalid")</f>
        <v>Valid</v>
      </c>
      <c r="K215" t="s">
        <v>473</v>
      </c>
      <c r="L215" t="s">
        <v>477</v>
      </c>
      <c r="M215" t="s">
        <v>13</v>
      </c>
      <c r="N215" t="s">
        <v>478</v>
      </c>
      <c r="O215" t="str">
        <f>IFERROR("IN" &amp; _xlfn.TEXTBEFORE(_xlfn.TEXTAFTER(UPPER(tblShipments2[[#This Row],[Gateway_clean]]),"IN")," ",1),"")</f>
        <v>INNSA1</v>
      </c>
      <c r="P215" t="str">
        <f>SUBSTITUTE(tblShipments2[[#This Row],[Gateway]], CHAR(10), " ")</f>
        <v xml:space="preserve">AWB No. Gateway Port Gateway EGM No. Gateway EGM Date Gateway Site ID Error Code N.A.  INNSA1  N.A.  N.A.  N.A.  N.A. </v>
      </c>
      <c r="Q215" t="s">
        <v>26</v>
      </c>
    </row>
    <row r="216" spans="1:17" x14ac:dyDescent="0.35">
      <c r="A216" t="s">
        <v>8</v>
      </c>
      <c r="B216">
        <v>8288523</v>
      </c>
      <c r="C216" s="2" t="s">
        <v>479</v>
      </c>
      <c r="D216" s="2" t="str">
        <f>LEFT(TRIM(MID(SUBSTITUTE(tblShipments2[[#This Row],[Details]],CHAR(10)," "), FIND(CHAR(10),tblShipments2[[#This Row],[Details]])+1, 50)), 10)</f>
        <v>0515069272</v>
      </c>
      <c r="E216" t="s">
        <v>480</v>
      </c>
      <c r="F21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6" t="str">
        <f>IF(tblShipments2[[#This Row],[EGM no]]="", "Missing EGM", "EGM Submitted")</f>
        <v>EGM Submitted</v>
      </c>
      <c r="H216" t="str">
        <f>IF(OR(ISNUMBER(SEARCH("Released",tblShipments2[[#This Row],[ROSL]])),
      ISNUMBER(SEARCH("Scroll",tblShipments2[[#This Row],[ROSL]])),
      ISNUMBER(SEARCH("Y",tblShipments2[[#This Row],[ROSL]]))),
   "Released",
   "Not Released")</f>
        <v>Released</v>
      </c>
      <c r="I216" t="str">
        <f>IF(OR(tblShipments2[[#This Row],[EGM no]]="", tblShipments2[[#This Row],[EGM no]]="N.A."), "Not Submitted", "Submitted")</f>
        <v>Submitted</v>
      </c>
      <c r="J216" t="str">
        <f>IF(LEFT(tblShipments2[[#This Row],[Gateway_Extracted]],2)="IN","Valid","Invalid")</f>
        <v>Valid</v>
      </c>
      <c r="K216" t="s">
        <v>473</v>
      </c>
      <c r="L216" t="s">
        <v>481</v>
      </c>
      <c r="M216" t="s">
        <v>482</v>
      </c>
      <c r="N216" t="s">
        <v>483</v>
      </c>
      <c r="O216" t="str">
        <f>IFERROR("IN" &amp; _xlfn.TEXTBEFORE(_xlfn.TEXTAFTER(UPPER(tblShipments2[[#This Row],[Gateway_clean]]),"IN")," ",1),"")</f>
        <v>INPAV1</v>
      </c>
      <c r="P216" t="str">
        <f>SUBSTITUTE(tblShipments2[[#This Row],[Gateway]], CHAR(10), " ")</f>
        <v xml:space="preserve">AWB No. Gateway Port Gateway EGM No. Gateway EGM Date Gateway Site ID Error Code N.A.  INPAV1  132218  2017-07-26 00:00:00.0  INPAV1  S </v>
      </c>
      <c r="Q216" t="s">
        <v>456</v>
      </c>
    </row>
    <row r="217" spans="1:17" x14ac:dyDescent="0.35">
      <c r="A217" t="s">
        <v>8</v>
      </c>
      <c r="B217">
        <v>8290768</v>
      </c>
      <c r="C217" s="2" t="s">
        <v>479</v>
      </c>
      <c r="D217" s="2" t="str">
        <f>LEFT(TRIM(MID(SUBSTITUTE(tblShipments2[[#This Row],[Details]],CHAR(10)," "), FIND(CHAR(10),tblShipments2[[#This Row],[Details]])+1, 50)), 10)</f>
        <v>0517513668</v>
      </c>
      <c r="E217" t="s">
        <v>484</v>
      </c>
      <c r="F21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7" t="str">
        <f>IF(tblShipments2[[#This Row],[EGM no]]="", "Missing EGM", "EGM Submitted")</f>
        <v>EGM Submitted</v>
      </c>
      <c r="H217" t="str">
        <f>IF(OR(ISNUMBER(SEARCH("Released",tblShipments2[[#This Row],[ROSL]])),
      ISNUMBER(SEARCH("Scroll",tblShipments2[[#This Row],[ROSL]])),
      ISNUMBER(SEARCH("Y",tblShipments2[[#This Row],[ROSL]]))),
   "Released",
   "Not Released")</f>
        <v>Released</v>
      </c>
      <c r="I217" t="str">
        <f>IF(OR(tblShipments2[[#This Row],[EGM no]]="", tblShipments2[[#This Row],[EGM no]]="N.A."), "Not Submitted", "Submitted")</f>
        <v>Submitted</v>
      </c>
      <c r="J217" t="str">
        <f>IF(LEFT(tblShipments2[[#This Row],[Gateway_Extracted]],2)="IN","Valid","Invalid")</f>
        <v>Valid</v>
      </c>
      <c r="K217" t="s">
        <v>473</v>
      </c>
      <c r="L217" t="s">
        <v>485</v>
      </c>
      <c r="M217" t="s">
        <v>486</v>
      </c>
      <c r="N217" t="s">
        <v>487</v>
      </c>
      <c r="O217" t="str">
        <f>IFERROR("IN" &amp; _xlfn.TEXTBEFORE(_xlfn.TEXTAFTER(UPPER(tblShipments2[[#This Row],[Gateway_clean]]),"IN")," ",1),"")</f>
        <v>INPAV1</v>
      </c>
      <c r="P217" t="str">
        <f>SUBSTITUTE(tblShipments2[[#This Row],[Gateway]], CHAR(10), " ")</f>
        <v xml:space="preserve">AWB No. Gateway Port Gateway EGM No. Gateway EGM Date Gateway Site ID Error Code N.A.  INPAV1  132218  2017-07-26 00:00:00.0  INPAV1  S </v>
      </c>
      <c r="Q217" t="s">
        <v>456</v>
      </c>
    </row>
    <row r="218" spans="1:17" x14ac:dyDescent="0.35">
      <c r="A218" t="s">
        <v>8</v>
      </c>
      <c r="B218">
        <v>8290787</v>
      </c>
      <c r="C218" s="2" t="s">
        <v>479</v>
      </c>
      <c r="D218" s="2" t="str">
        <f>LEFT(TRIM(MID(SUBSTITUTE(tblShipments2[[#This Row],[Details]],CHAR(10)," "), FIND(CHAR(10),tblShipments2[[#This Row],[Details]])+1, 50)), 10)</f>
        <v>0517513668</v>
      </c>
      <c r="E218" t="s">
        <v>488</v>
      </c>
      <c r="F21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8" t="str">
        <f>IF(tblShipments2[[#This Row],[EGM no]]="", "Missing EGM", "EGM Submitted")</f>
        <v>EGM Submitted</v>
      </c>
      <c r="H218" t="str">
        <f>IF(OR(ISNUMBER(SEARCH("Released",tblShipments2[[#This Row],[ROSL]])),
      ISNUMBER(SEARCH("Scroll",tblShipments2[[#This Row],[ROSL]])),
      ISNUMBER(SEARCH("Y",tblShipments2[[#This Row],[ROSL]]))),
   "Released",
   "Not Released")</f>
        <v>Released</v>
      </c>
      <c r="I218" t="str">
        <f>IF(OR(tblShipments2[[#This Row],[EGM no]]="", tblShipments2[[#This Row],[EGM no]]="N.A."), "Not Submitted", "Submitted")</f>
        <v>Submitted</v>
      </c>
      <c r="J218" t="str">
        <f>IF(LEFT(tblShipments2[[#This Row],[Gateway_Extracted]],2)="IN","Valid","Invalid")</f>
        <v>Valid</v>
      </c>
      <c r="K218" t="s">
        <v>473</v>
      </c>
      <c r="L218" t="s">
        <v>485</v>
      </c>
      <c r="M218" t="s">
        <v>486</v>
      </c>
      <c r="N218" t="s">
        <v>487</v>
      </c>
      <c r="O218" t="str">
        <f>IFERROR("IN" &amp; _xlfn.TEXTBEFORE(_xlfn.TEXTAFTER(UPPER(tblShipments2[[#This Row],[Gateway_clean]]),"IN")," ",1),"")</f>
        <v>INPAV1</v>
      </c>
      <c r="P218" t="str">
        <f>SUBSTITUTE(tblShipments2[[#This Row],[Gateway]], CHAR(10), " ")</f>
        <v xml:space="preserve">AWB No. Gateway Port Gateway EGM No. Gateway EGM Date Gateway Site ID Error Code N.A.  INPAV1  132218  2017-07-26 00:00:00.0  INPAV1  S </v>
      </c>
      <c r="Q218" t="s">
        <v>456</v>
      </c>
    </row>
    <row r="219" spans="1:17" x14ac:dyDescent="0.35">
      <c r="A219" t="s">
        <v>8</v>
      </c>
      <c r="B219">
        <v>8304313</v>
      </c>
      <c r="C219" s="2" t="s">
        <v>489</v>
      </c>
      <c r="D219" s="2" t="str">
        <f>LEFT(TRIM(MID(SUBSTITUTE(tblShipments2[[#This Row],[Details]],CHAR(10)," "), FIND(CHAR(10),tblShipments2[[#This Row],[Details]])+1, 50)), 10)</f>
        <v>0505088681</v>
      </c>
      <c r="E219" t="s">
        <v>490</v>
      </c>
      <c r="F21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19" t="str">
        <f>IF(tblShipments2[[#This Row],[EGM no]]="", "Missing EGM", "EGM Submitted")</f>
        <v>EGM Submitted</v>
      </c>
      <c r="H219" t="str">
        <f>IF(OR(ISNUMBER(SEARCH("Released",tblShipments2[[#This Row],[ROSL]])),
      ISNUMBER(SEARCH("Scroll",tblShipments2[[#This Row],[ROSL]])),
      ISNUMBER(SEARCH("Y",tblShipments2[[#This Row],[ROSL]]))),
   "Released",
   "Not Released")</f>
        <v>Released</v>
      </c>
      <c r="I219" t="str">
        <f>IF(OR(tblShipments2[[#This Row],[EGM no]]="", tblShipments2[[#This Row],[EGM no]]="N.A."), "Not Submitted", "Submitted")</f>
        <v>Submitted</v>
      </c>
      <c r="J219" t="str">
        <f>IF(LEFT(tblShipments2[[#This Row],[Gateway_Extracted]],2)="IN","Valid","Invalid")</f>
        <v>Valid</v>
      </c>
      <c r="K219" t="s">
        <v>382</v>
      </c>
      <c r="L219" t="s">
        <v>491</v>
      </c>
      <c r="M219" t="s">
        <v>13</v>
      </c>
      <c r="N219" t="s">
        <v>492</v>
      </c>
      <c r="O219" t="str">
        <f>IFERROR("IN" &amp; _xlfn.TEXTBEFORE(_xlfn.TEXTAFTER(UPPER(tblShipments2[[#This Row],[Gateway_clean]]),"IN")," ",1),"")</f>
        <v>INMUN1</v>
      </c>
      <c r="P219" t="str">
        <f>SUBSTITUTE(tblShipments2[[#This Row],[Gateway]], CHAR(10), " ")</f>
        <v xml:space="preserve">AWB No. Gateway Port Gateway EGM No. Gateway EGM Date Gateway Site ID Error Code N.A.  INMUN1  134406  2017-09-01 00:00:00.0  INMUN1  S </v>
      </c>
      <c r="Q219" t="s">
        <v>493</v>
      </c>
    </row>
    <row r="220" spans="1:17" x14ac:dyDescent="0.35">
      <c r="A220" t="s">
        <v>8</v>
      </c>
      <c r="B220">
        <v>8305029</v>
      </c>
      <c r="C220" s="2" t="s">
        <v>489</v>
      </c>
      <c r="D220" s="2" t="str">
        <f>LEFT(TRIM(MID(SUBSTITUTE(tblShipments2[[#This Row],[Details]],CHAR(10)," "), FIND(CHAR(10),tblShipments2[[#This Row],[Details]])+1, 50)), 10)</f>
        <v>0507062884</v>
      </c>
      <c r="E220" t="s">
        <v>494</v>
      </c>
      <c r="F22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0" t="str">
        <f>IF(tblShipments2[[#This Row],[EGM no]]="", "Missing EGM", "EGM Submitted")</f>
        <v>EGM Submitted</v>
      </c>
      <c r="H220" t="str">
        <f>IF(OR(ISNUMBER(SEARCH("Released",tblShipments2[[#This Row],[ROSL]])),
      ISNUMBER(SEARCH("Scroll",tblShipments2[[#This Row],[ROSL]])),
      ISNUMBER(SEARCH("Y",tblShipments2[[#This Row],[ROSL]]))),
   "Released",
   "Not Released")</f>
        <v>Released</v>
      </c>
      <c r="I220" t="str">
        <f>IF(OR(tblShipments2[[#This Row],[EGM no]]="", tblShipments2[[#This Row],[EGM no]]="N.A."), "Not Submitted", "Submitted")</f>
        <v>Submitted</v>
      </c>
      <c r="J220" t="str">
        <f>IF(LEFT(tblShipments2[[#This Row],[Gateway_Extracted]],2)="IN","Valid","Invalid")</f>
        <v>Valid</v>
      </c>
      <c r="K220" t="s">
        <v>394</v>
      </c>
      <c r="L220" t="s">
        <v>495</v>
      </c>
      <c r="M220" t="s">
        <v>13</v>
      </c>
      <c r="N220" t="s">
        <v>496</v>
      </c>
      <c r="O220" t="str">
        <f>IFERROR("IN" &amp; _xlfn.TEXTBEFORE(_xlfn.TEXTAFTER(UPPER(tblShipments2[[#This Row],[Gateway_clean]]),"IN")," ",1),"")</f>
        <v>INMUN1</v>
      </c>
      <c r="P220" t="str">
        <f>SUBSTITUTE(tblShipments2[[#This Row],[Gateway]], CHAR(10), " ")</f>
        <v xml:space="preserve">AWB No. Gateway Port Gateway EGM No. Gateway EGM Date Gateway Site ID Error Code N.A.  INMUN1  134923  2017-09-12 00:00:00.0  INMUN1  S </v>
      </c>
      <c r="Q220" t="s">
        <v>497</v>
      </c>
    </row>
    <row r="221" spans="1:17" x14ac:dyDescent="0.35">
      <c r="A221" t="s">
        <v>8</v>
      </c>
      <c r="B221">
        <v>8322996</v>
      </c>
      <c r="C221" s="2" t="s">
        <v>498</v>
      </c>
      <c r="D221" s="2" t="str">
        <f>LEFT(TRIM(MID(SUBSTITUTE(tblShipments2[[#This Row],[Details]],CHAR(10)," "), FIND(CHAR(10),tblShipments2[[#This Row],[Details]])+1, 50)), 10)</f>
        <v>0509003061</v>
      </c>
      <c r="E221" t="s">
        <v>499</v>
      </c>
      <c r="F22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1" t="str">
        <f>IF(tblShipments2[[#This Row],[EGM no]]="", "Missing EGM", "EGM Submitted")</f>
        <v>EGM Submitted</v>
      </c>
      <c r="H221" t="str">
        <f>IF(OR(ISNUMBER(SEARCH("Released",tblShipments2[[#This Row],[ROSL]])),
      ISNUMBER(SEARCH("Scroll",tblShipments2[[#This Row],[ROSL]])),
      ISNUMBER(SEARCH("Y",tblShipments2[[#This Row],[ROSL]]))),
   "Released",
   "Not Released")</f>
        <v>Released</v>
      </c>
      <c r="I221" t="str">
        <f>IF(OR(tblShipments2[[#This Row],[EGM no]]="", tblShipments2[[#This Row],[EGM no]]="N.A."), "Not Submitted", "Submitted")</f>
        <v>Submitted</v>
      </c>
      <c r="J221" t="str">
        <f>IF(LEFT(tblShipments2[[#This Row],[Gateway_Extracted]],2)="IN","Valid","Invalid")</f>
        <v>Valid</v>
      </c>
      <c r="K221" t="s">
        <v>394</v>
      </c>
      <c r="L221" t="s">
        <v>500</v>
      </c>
      <c r="M221" t="s">
        <v>13</v>
      </c>
      <c r="N221" t="s">
        <v>501</v>
      </c>
      <c r="O221" t="str">
        <f>IFERROR("IN" &amp; _xlfn.TEXTBEFORE(_xlfn.TEXTAFTER(UPPER(tblShipments2[[#This Row],[Gateway_clean]]),"IN")," ",1),"")</f>
        <v>INMUN1</v>
      </c>
      <c r="P221" t="str">
        <f>SUBSTITUTE(tblShipments2[[#This Row],[Gateway]], CHAR(10), " ")</f>
        <v xml:space="preserve">AWB No. Gateway Port Gateway EGM No. Gateway EGM Date Gateway Site ID Error Code N.A.  INMUN1  132131  2017-07-25 00:00:00.0  INMUN1  S </v>
      </c>
      <c r="Q221" t="s">
        <v>502</v>
      </c>
    </row>
    <row r="222" spans="1:17" x14ac:dyDescent="0.35">
      <c r="A222" t="s">
        <v>8</v>
      </c>
      <c r="B222">
        <v>8323127</v>
      </c>
      <c r="C222" s="2" t="s">
        <v>498</v>
      </c>
      <c r="D222" s="2" t="str">
        <f>LEFT(TRIM(MID(SUBSTITUTE(tblShipments2[[#This Row],[Details]],CHAR(10)," "), FIND(CHAR(10),tblShipments2[[#This Row],[Details]])+1, 50)), 10)</f>
        <v>2416910671</v>
      </c>
      <c r="E222" t="s">
        <v>503</v>
      </c>
      <c r="F22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2" t="str">
        <f>IF(tblShipments2[[#This Row],[EGM no]]="", "Missing EGM", "EGM Submitted")</f>
        <v>EGM Submitted</v>
      </c>
      <c r="H222" t="str">
        <f>IF(OR(ISNUMBER(SEARCH("Released",tblShipments2[[#This Row],[ROSL]])),
      ISNUMBER(SEARCH("Scroll",tblShipments2[[#This Row],[ROSL]])),
      ISNUMBER(SEARCH("Y",tblShipments2[[#This Row],[ROSL]]))),
   "Released",
   "Not Released")</f>
        <v>Released</v>
      </c>
      <c r="I222" t="str">
        <f>IF(OR(tblShipments2[[#This Row],[EGM no]]="", tblShipments2[[#This Row],[EGM no]]="N.A."), "Not Submitted", "Submitted")</f>
        <v>Submitted</v>
      </c>
      <c r="J222" t="str">
        <f>IF(LEFT(tblShipments2[[#This Row],[Gateway_Extracted]],2)="IN","Valid","Invalid")</f>
        <v>Valid</v>
      </c>
      <c r="K222" t="s">
        <v>504</v>
      </c>
      <c r="L222" t="s">
        <v>505</v>
      </c>
      <c r="M222" t="s">
        <v>31</v>
      </c>
      <c r="N222" t="s">
        <v>506</v>
      </c>
      <c r="O222" t="str">
        <f>IFERROR("IN" &amp; _xlfn.TEXTBEFORE(_xlfn.TEXTAFTER(UPPER(tblShipments2[[#This Row],[Gateway_clean]]),"IN")," ",1),"")</f>
        <v>INNSA1</v>
      </c>
      <c r="P222" t="str">
        <f>SUBSTITUTE(tblShipments2[[#This Row],[Gateway]], CHAR(10), " ")</f>
        <v xml:space="preserve">AWB No. Gateway Port Gateway EGM No. Gateway EGM Date Gateway Site ID Error Code N.A.  INNSA1  133327  2017-08-16 00:00:00.0  INNSA1  S </v>
      </c>
      <c r="Q222" t="s">
        <v>507</v>
      </c>
    </row>
    <row r="223" spans="1:17" x14ac:dyDescent="0.35">
      <c r="A223" t="s">
        <v>8</v>
      </c>
      <c r="B223">
        <v>8325105</v>
      </c>
      <c r="C223" s="2" t="s">
        <v>498</v>
      </c>
      <c r="D223" s="2" t="str">
        <f>LEFT(TRIM(MID(SUBSTITUTE(tblShipments2[[#This Row],[Details]],CHAR(10)," "), FIND(CHAR(10),tblShipments2[[#This Row],[Details]])+1, 50)), 10)</f>
        <v>0595021255</v>
      </c>
      <c r="E223" t="s">
        <v>508</v>
      </c>
      <c r="F22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3" t="str">
        <f>IF(tblShipments2[[#This Row],[EGM no]]="", "Missing EGM", "EGM Submitted")</f>
        <v>EGM Submitted</v>
      </c>
      <c r="H223" t="str">
        <f>IF(OR(ISNUMBER(SEARCH("Released",tblShipments2[[#This Row],[ROSL]])),
      ISNUMBER(SEARCH("Scroll",tblShipments2[[#This Row],[ROSL]])),
      ISNUMBER(SEARCH("Y",tblShipments2[[#This Row],[ROSL]]))),
   "Released",
   "Not Released")</f>
        <v>Released</v>
      </c>
      <c r="I223" t="str">
        <f>IF(OR(tblShipments2[[#This Row],[EGM no]]="", tblShipments2[[#This Row],[EGM no]]="N.A."), "Not Submitted", "Submitted")</f>
        <v>Submitted</v>
      </c>
      <c r="J223" t="str">
        <f>IF(LEFT(tblShipments2[[#This Row],[Gateway_Extracted]],2)="IN","Valid","Invalid")</f>
        <v>Valid</v>
      </c>
      <c r="K223" t="s">
        <v>509</v>
      </c>
      <c r="L223" t="s">
        <v>510</v>
      </c>
      <c r="M223" t="s">
        <v>13</v>
      </c>
      <c r="N223" t="s">
        <v>511</v>
      </c>
      <c r="O223" t="str">
        <f>IFERROR("IN" &amp; _xlfn.TEXTBEFORE(_xlfn.TEXTAFTER(UPPER(tblShipments2[[#This Row],[Gateway_clean]]),"IN")," ",1),"")</f>
        <v>INNSA1</v>
      </c>
      <c r="P223" t="str">
        <f>SUBSTITUTE(tblShipments2[[#This Row],[Gateway]], CHAR(10), " ")</f>
        <v xml:space="preserve">AWB No. Gateway Port Gateway EGM No. Gateway EGM Date Gateway Site ID Error Code N.A.  INNSA1  135507  2017-09-21 00:00:00.0  INNSA1  S </v>
      </c>
      <c r="Q223" t="s">
        <v>512</v>
      </c>
    </row>
    <row r="224" spans="1:17" x14ac:dyDescent="0.35">
      <c r="A224" t="s">
        <v>8</v>
      </c>
      <c r="B224">
        <v>8338701</v>
      </c>
      <c r="C224" s="2" t="s">
        <v>498</v>
      </c>
      <c r="D224" s="2" t="str">
        <f>LEFT(TRIM(MID(SUBSTITUTE(tblShipments2[[#This Row],[Details]],CHAR(10)," "), FIND(CHAR(10),tblShipments2[[#This Row],[Details]])+1, 50)), 10)</f>
        <v>1308012381</v>
      </c>
      <c r="E224" t="s">
        <v>513</v>
      </c>
      <c r="F22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4" t="str">
        <f>IF(tblShipments2[[#This Row],[EGM no]]="", "Missing EGM", "EGM Submitted")</f>
        <v>EGM Submitted</v>
      </c>
      <c r="H224" t="str">
        <f>IF(OR(ISNUMBER(SEARCH("Released",tblShipments2[[#This Row],[ROSL]])),
      ISNUMBER(SEARCH("Scroll",tblShipments2[[#This Row],[ROSL]])),
      ISNUMBER(SEARCH("Y",tblShipments2[[#This Row],[ROSL]]))),
   "Released",
   "Not Released")</f>
        <v>Released</v>
      </c>
      <c r="I224" t="str">
        <f>IF(OR(tblShipments2[[#This Row],[EGM no]]="", tblShipments2[[#This Row],[EGM no]]="N.A."), "Not Submitted", "Submitted")</f>
        <v>Submitted</v>
      </c>
      <c r="J224" t="str">
        <f>IF(LEFT(tblShipments2[[#This Row],[Gateway_Extracted]],2)="IN","Valid","Invalid")</f>
        <v>Valid</v>
      </c>
      <c r="K224" t="s">
        <v>382</v>
      </c>
      <c r="L224" t="s">
        <v>514</v>
      </c>
      <c r="M224" t="s">
        <v>13</v>
      </c>
      <c r="N224" t="s">
        <v>515</v>
      </c>
      <c r="O224" t="str">
        <f>IFERROR("IN" &amp; _xlfn.TEXTBEFORE(_xlfn.TEXTAFTER(UPPER(tblShipments2[[#This Row],[Gateway_clean]]),"IN")," ",1),"")</f>
        <v>INPAV1</v>
      </c>
      <c r="P224" t="str">
        <f>SUBSTITUTE(tblShipments2[[#This Row],[Gateway]], CHAR(10), " ")</f>
        <v xml:space="preserve">AWB No. Gateway Port Gateway EGM No. Gateway EGM Date Gateway Site ID Error Code N.A.  INPAV1  134495  2017-09-04 00:00:00.0  INPAV1  S </v>
      </c>
      <c r="Q224" t="s">
        <v>516</v>
      </c>
    </row>
    <row r="225" spans="1:17" x14ac:dyDescent="0.35">
      <c r="A225" t="s">
        <v>8</v>
      </c>
      <c r="B225">
        <v>8338807</v>
      </c>
      <c r="C225" s="2" t="s">
        <v>498</v>
      </c>
      <c r="D225" s="2" t="str">
        <f>LEFT(TRIM(MID(SUBSTITUTE(tblShipments2[[#This Row],[Details]],CHAR(10)," "), FIND(CHAR(10),tblShipments2[[#This Row],[Details]])+1, 50)), 10)</f>
        <v>0516954725</v>
      </c>
      <c r="E225" t="s">
        <v>517</v>
      </c>
      <c r="F22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5" t="str">
        <f>IF(tblShipments2[[#This Row],[EGM no]]="", "Missing EGM", "EGM Submitted")</f>
        <v>EGM Submitted</v>
      </c>
      <c r="H225" t="str">
        <f>IF(OR(ISNUMBER(SEARCH("Released",tblShipments2[[#This Row],[ROSL]])),
      ISNUMBER(SEARCH("Scroll",tblShipments2[[#This Row],[ROSL]])),
      ISNUMBER(SEARCH("Y",tblShipments2[[#This Row],[ROSL]]))),
   "Released",
   "Not Released")</f>
        <v>Released</v>
      </c>
      <c r="I225" t="str">
        <f>IF(OR(tblShipments2[[#This Row],[EGM no]]="", tblShipments2[[#This Row],[EGM no]]="N.A."), "Not Submitted", "Submitted")</f>
        <v>Submitted</v>
      </c>
      <c r="J225" t="str">
        <f>IF(LEFT(tblShipments2[[#This Row],[Gateway_Extracted]],2)="IN","Valid","Invalid")</f>
        <v>Valid</v>
      </c>
      <c r="K225" t="s">
        <v>518</v>
      </c>
      <c r="L225" t="s">
        <v>519</v>
      </c>
      <c r="M225" t="s">
        <v>31</v>
      </c>
      <c r="N225" t="s">
        <v>520</v>
      </c>
      <c r="O225" t="str">
        <f>IFERROR("IN" &amp; _xlfn.TEXTBEFORE(_xlfn.TEXTAFTER(UPPER(tblShipments2[[#This Row],[Gateway_clean]]),"IN")," ",1),"")</f>
        <v>INMUN1</v>
      </c>
      <c r="P225" t="str">
        <f>SUBSTITUTE(tblShipments2[[#This Row],[Gateway]], CHAR(10), " ")</f>
        <v xml:space="preserve">AWB No. Gateway Port Gateway EGM No. Gateway EGM Date Gateway Site ID Error Code N.A.  INMUN1  134870  2017-09-11 00:00:00.0  INMUN1  S </v>
      </c>
      <c r="Q225" t="s">
        <v>521</v>
      </c>
    </row>
    <row r="226" spans="1:17" x14ac:dyDescent="0.35">
      <c r="A226" t="s">
        <v>8</v>
      </c>
      <c r="B226">
        <v>8338839</v>
      </c>
      <c r="C226" s="2" t="s">
        <v>498</v>
      </c>
      <c r="D226" s="2" t="str">
        <f>LEFT(TRIM(MID(SUBSTITUTE(tblShipments2[[#This Row],[Details]],CHAR(10)," "), FIND(CHAR(10),tblShipments2[[#This Row],[Details]])+1, 50)), 10)</f>
        <v>0592023052</v>
      </c>
      <c r="E226" t="s">
        <v>522</v>
      </c>
      <c r="F22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6" t="str">
        <f>IF(tblShipments2[[#This Row],[EGM no]]="", "Missing EGM", "EGM Submitted")</f>
        <v>EGM Submitted</v>
      </c>
      <c r="H226" t="str">
        <f>IF(OR(ISNUMBER(SEARCH("Released",tblShipments2[[#This Row],[ROSL]])),
      ISNUMBER(SEARCH("Scroll",tblShipments2[[#This Row],[ROSL]])),
      ISNUMBER(SEARCH("Y",tblShipments2[[#This Row],[ROSL]]))),
   "Released",
   "Not Released")</f>
        <v>Released</v>
      </c>
      <c r="I226" t="str">
        <f>IF(OR(tblShipments2[[#This Row],[EGM no]]="", tblShipments2[[#This Row],[EGM no]]="N.A."), "Not Submitted", "Submitted")</f>
        <v>Submitted</v>
      </c>
      <c r="J226" t="str">
        <f>IF(LEFT(tblShipments2[[#This Row],[Gateway_Extracted]],2)="IN","Valid","Invalid")</f>
        <v>Valid</v>
      </c>
      <c r="K226" t="s">
        <v>523</v>
      </c>
      <c r="L226" t="s">
        <v>524</v>
      </c>
      <c r="M226" t="s">
        <v>13</v>
      </c>
      <c r="N226" t="s">
        <v>525</v>
      </c>
      <c r="O226" t="str">
        <f>IFERROR("IN" &amp; _xlfn.TEXTBEFORE(_xlfn.TEXTAFTER(UPPER(tblShipments2[[#This Row],[Gateway_clean]]),"IN")," ",1),"")</f>
        <v>INPAV1</v>
      </c>
      <c r="P226" t="str">
        <f>SUBSTITUTE(tblShipments2[[#This Row],[Gateway]], CHAR(10), " ")</f>
        <v xml:space="preserve">AWB No. Gateway Port Gateway EGM No. Gateway EGM Date Gateway Site ID Error Code N.A.  INPAV1  134667  2017-09-07 00:00:00.0  INMAA1  MC </v>
      </c>
      <c r="Q226" t="s">
        <v>526</v>
      </c>
    </row>
    <row r="227" spans="1:17" x14ac:dyDescent="0.35">
      <c r="A227" t="s">
        <v>8</v>
      </c>
      <c r="B227">
        <v>8340706</v>
      </c>
      <c r="C227" s="2" t="s">
        <v>498</v>
      </c>
      <c r="D227" s="2" t="str">
        <f>LEFT(TRIM(MID(SUBSTITUTE(tblShipments2[[#This Row],[Details]],CHAR(10)," "), FIND(CHAR(10),tblShipments2[[#This Row],[Details]])+1, 50)), 10)</f>
        <v>0507081668</v>
      </c>
      <c r="E227" t="s">
        <v>527</v>
      </c>
      <c r="F22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7" t="str">
        <f>IF(tblShipments2[[#This Row],[EGM no]]="", "Missing EGM", "EGM Submitted")</f>
        <v>EGM Submitted</v>
      </c>
      <c r="H227" t="str">
        <f>IF(OR(ISNUMBER(SEARCH("Released",tblShipments2[[#This Row],[ROSL]])),
      ISNUMBER(SEARCH("Scroll",tblShipments2[[#This Row],[ROSL]])),
      ISNUMBER(SEARCH("Y",tblShipments2[[#This Row],[ROSL]]))),
   "Released",
   "Not Released")</f>
        <v>Released</v>
      </c>
      <c r="I227" t="str">
        <f>IF(OR(tblShipments2[[#This Row],[EGM no]]="", tblShipments2[[#This Row],[EGM no]]="N.A."), "Not Submitted", "Submitted")</f>
        <v>Submitted</v>
      </c>
      <c r="J227" t="str">
        <f>IF(LEFT(tblShipments2[[#This Row],[Gateway_Extracted]],2)="IN","Valid","Invalid")</f>
        <v>Valid</v>
      </c>
      <c r="K227" t="s">
        <v>528</v>
      </c>
      <c r="L227" t="s">
        <v>529</v>
      </c>
      <c r="M227" t="s">
        <v>13</v>
      </c>
      <c r="N227" t="s">
        <v>530</v>
      </c>
      <c r="O227" t="str">
        <f>IFERROR("IN" &amp; _xlfn.TEXTBEFORE(_xlfn.TEXTAFTER(UPPER(tblShipments2[[#This Row],[Gateway_clean]]),"IN")," ",1),"")</f>
        <v>INNSA1</v>
      </c>
      <c r="P227" t="str">
        <f>SUBSTITUTE(tblShipments2[[#This Row],[Gateway]], CHAR(10), " ")</f>
        <v xml:space="preserve">AWB No. Gateway Port Gateway EGM No. Gateway EGM Date Gateway Site ID Error Code N.A.  INNSA1  137304  2017-10-23 00:00:00.0  INNSA1  S </v>
      </c>
      <c r="Q227" t="s">
        <v>531</v>
      </c>
    </row>
    <row r="228" spans="1:17" x14ac:dyDescent="0.35">
      <c r="A228" t="s">
        <v>8</v>
      </c>
      <c r="B228">
        <v>8348694</v>
      </c>
      <c r="C228" s="2" t="s">
        <v>532</v>
      </c>
      <c r="D228" s="2" t="str">
        <f>LEFT(TRIM(MID(SUBSTITUTE(tblShipments2[[#This Row],[Details]],CHAR(10)," "), FIND(CHAR(10),tblShipments2[[#This Row],[Details]])+1, 50)), 10)</f>
        <v>0595012647</v>
      </c>
      <c r="E228" t="s">
        <v>533</v>
      </c>
      <c r="F22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8" t="str">
        <f>IF(tblShipments2[[#This Row],[EGM no]]="", "Missing EGM", "EGM Submitted")</f>
        <v>EGM Submitted</v>
      </c>
      <c r="H228" t="str">
        <f>IF(OR(ISNUMBER(SEARCH("Released",tblShipments2[[#This Row],[ROSL]])),
      ISNUMBER(SEARCH("Scroll",tblShipments2[[#This Row],[ROSL]])),
      ISNUMBER(SEARCH("Y",tblShipments2[[#This Row],[ROSL]]))),
   "Released",
   "Not Released")</f>
        <v>Released</v>
      </c>
      <c r="I228" t="str">
        <f>IF(OR(tblShipments2[[#This Row],[EGM no]]="", tblShipments2[[#This Row],[EGM no]]="N.A."), "Not Submitted", "Submitted")</f>
        <v>Submitted</v>
      </c>
      <c r="J228" t="str">
        <f>IF(LEFT(tblShipments2[[#This Row],[Gateway_Extracted]],2)="IN","Valid","Invalid")</f>
        <v>Valid</v>
      </c>
      <c r="K228" t="s">
        <v>534</v>
      </c>
      <c r="L228" t="s">
        <v>535</v>
      </c>
      <c r="M228" t="s">
        <v>13</v>
      </c>
      <c r="N228" t="s">
        <v>536</v>
      </c>
      <c r="O228" t="str">
        <f>IFERROR("IN" &amp; _xlfn.TEXTBEFORE(_xlfn.TEXTAFTER(UPPER(tblShipments2[[#This Row],[Gateway_clean]]),"IN")," ",1),"")</f>
        <v>INMUN1</v>
      </c>
      <c r="P228" t="str">
        <f>SUBSTITUTE(tblShipments2[[#This Row],[Gateway]], CHAR(10), " ")</f>
        <v xml:space="preserve">AWB No. Gateway Port Gateway EGM No. Gateway EGM Date Gateway Site ID Error Code N.A.  INMUN1  134209  2017-08-30 00:00:00.0  INMUN1  S </v>
      </c>
      <c r="Q228" t="s">
        <v>385</v>
      </c>
    </row>
    <row r="229" spans="1:17" x14ac:dyDescent="0.35">
      <c r="A229" t="s">
        <v>8</v>
      </c>
      <c r="B229">
        <v>8361009</v>
      </c>
      <c r="C229" s="2" t="s">
        <v>532</v>
      </c>
      <c r="D229" s="2" t="str">
        <f>LEFT(TRIM(MID(SUBSTITUTE(tblShipments2[[#This Row],[Details]],CHAR(10)," "), FIND(CHAR(10),tblShipments2[[#This Row],[Details]])+1, 50)), 10)</f>
        <v>0500075158</v>
      </c>
      <c r="E229" t="s">
        <v>537</v>
      </c>
      <c r="F22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29" t="str">
        <f>IF(tblShipments2[[#This Row],[EGM no]]="", "Missing EGM", "EGM Submitted")</f>
        <v>EGM Submitted</v>
      </c>
      <c r="H229" t="str">
        <f>IF(OR(ISNUMBER(SEARCH("Released",tblShipments2[[#This Row],[ROSL]])),
      ISNUMBER(SEARCH("Scroll",tblShipments2[[#This Row],[ROSL]])),
      ISNUMBER(SEARCH("Y",tblShipments2[[#This Row],[ROSL]]))),
   "Released",
   "Not Released")</f>
        <v>Released</v>
      </c>
      <c r="I229" t="str">
        <f>IF(OR(tblShipments2[[#This Row],[EGM no]]="", tblShipments2[[#This Row],[EGM no]]="N.A."), "Not Submitted", "Submitted")</f>
        <v>Submitted</v>
      </c>
      <c r="J229" t="str">
        <f>IF(LEFT(tblShipments2[[#This Row],[Gateway_Extracted]],2)="IN","Valid","Invalid")</f>
        <v>Valid</v>
      </c>
      <c r="K229" t="s">
        <v>394</v>
      </c>
      <c r="L229" t="s">
        <v>500</v>
      </c>
      <c r="M229" t="s">
        <v>538</v>
      </c>
      <c r="N229" t="s">
        <v>539</v>
      </c>
      <c r="O229" t="str">
        <f>IFERROR("IN" &amp; _xlfn.TEXTBEFORE(_xlfn.TEXTAFTER(UPPER(tblShipments2[[#This Row],[Gateway_clean]]),"IN")," ",1),"")</f>
        <v>INMUN1</v>
      </c>
      <c r="P229" t="str">
        <f>SUBSTITUTE(tblShipments2[[#This Row],[Gateway]], CHAR(10), " ")</f>
        <v xml:space="preserve">AWB No. Gateway Port Gateway EGM No. Gateway EGM Date Gateway Site ID Error Code N.A.  INMUN1  132131  2017-07-25 00:00:00.0  INMUN1  S </v>
      </c>
      <c r="Q229" t="s">
        <v>502</v>
      </c>
    </row>
    <row r="230" spans="1:17" x14ac:dyDescent="0.35">
      <c r="A230" t="s">
        <v>8</v>
      </c>
      <c r="B230">
        <v>8371290</v>
      </c>
      <c r="C230" s="2" t="s">
        <v>532</v>
      </c>
      <c r="D230" s="2" t="str">
        <f>LEFT(TRIM(MID(SUBSTITUTE(tblShipments2[[#This Row],[Details]],CHAR(10)," "), FIND(CHAR(10),tblShipments2[[#This Row],[Details]])+1, 50)), 10)</f>
        <v>0508073324</v>
      </c>
      <c r="E230" t="s">
        <v>540</v>
      </c>
      <c r="F23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0" t="str">
        <f>IF(tblShipments2[[#This Row],[EGM no]]="", "Missing EGM", "EGM Submitted")</f>
        <v>EGM Submitted</v>
      </c>
      <c r="H230" t="str">
        <f>IF(OR(ISNUMBER(SEARCH("Released",tblShipments2[[#This Row],[ROSL]])),
      ISNUMBER(SEARCH("Scroll",tblShipments2[[#This Row],[ROSL]])),
      ISNUMBER(SEARCH("Y",tblShipments2[[#This Row],[ROSL]]))),
   "Released",
   "Not Released")</f>
        <v>Released</v>
      </c>
      <c r="I230" t="str">
        <f>IF(OR(tblShipments2[[#This Row],[EGM no]]="", tblShipments2[[#This Row],[EGM no]]="N.A."), "Not Submitted", "Submitted")</f>
        <v>Submitted</v>
      </c>
      <c r="J230" t="str">
        <f>IF(LEFT(tblShipments2[[#This Row],[Gateway_Extracted]],2)="IN","Valid","Invalid")</f>
        <v>Valid</v>
      </c>
      <c r="K230" t="s">
        <v>394</v>
      </c>
      <c r="L230" t="s">
        <v>541</v>
      </c>
      <c r="M230" t="s">
        <v>13</v>
      </c>
      <c r="N230" t="s">
        <v>542</v>
      </c>
      <c r="O230" t="str">
        <f>IFERROR("IN" &amp; _xlfn.TEXTBEFORE(_xlfn.TEXTAFTER(UPPER(tblShipments2[[#This Row],[Gateway_clean]]),"IN")," ",1),"")</f>
        <v>INNSA1</v>
      </c>
      <c r="P230" t="str">
        <f>SUBSTITUTE(tblShipments2[[#This Row],[Gateway]], CHAR(10), " ")</f>
        <v xml:space="preserve">AWB No. Gateway Port Gateway EGM No. Gateway EGM Date Gateway Site ID Error Code N.A.  INNSA1  134500  2017-09-04 00:00:00.0  INNSA1  STC </v>
      </c>
      <c r="Q230" t="s">
        <v>543</v>
      </c>
    </row>
    <row r="231" spans="1:17" x14ac:dyDescent="0.35">
      <c r="A231" t="s">
        <v>8</v>
      </c>
      <c r="B231">
        <v>8375057</v>
      </c>
      <c r="C231" s="2" t="s">
        <v>532</v>
      </c>
      <c r="D231" s="2" t="str">
        <f>LEFT(TRIM(MID(SUBSTITUTE(tblShipments2[[#This Row],[Details]],CHAR(10)," "), FIND(CHAR(10),tblShipments2[[#This Row],[Details]])+1, 50)), 10)</f>
        <v>0506035182</v>
      </c>
      <c r="E231" t="s">
        <v>544</v>
      </c>
      <c r="F23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1" t="str">
        <f>IF(tblShipments2[[#This Row],[EGM no]]="", "Missing EGM", "EGM Submitted")</f>
        <v>EGM Submitted</v>
      </c>
      <c r="H231" t="str">
        <f>IF(OR(ISNUMBER(SEARCH("Released",tblShipments2[[#This Row],[ROSL]])),
      ISNUMBER(SEARCH("Scroll",tblShipments2[[#This Row],[ROSL]])),
      ISNUMBER(SEARCH("Y",tblShipments2[[#This Row],[ROSL]]))),
   "Released",
   "Not Released")</f>
        <v>Released</v>
      </c>
      <c r="I231" t="str">
        <f>IF(OR(tblShipments2[[#This Row],[EGM no]]="", tblShipments2[[#This Row],[EGM no]]="N.A."), "Not Submitted", "Submitted")</f>
        <v>Submitted</v>
      </c>
      <c r="J231" t="str">
        <f>IF(LEFT(tblShipments2[[#This Row],[Gateway_Extracted]],2)="IN","Valid","Invalid")</f>
        <v>Valid</v>
      </c>
      <c r="K231" t="s">
        <v>545</v>
      </c>
      <c r="L231" t="s">
        <v>546</v>
      </c>
      <c r="M231" t="s">
        <v>13</v>
      </c>
      <c r="N231" t="s">
        <v>547</v>
      </c>
      <c r="O231" t="str">
        <f>IFERROR("IN" &amp; _xlfn.TEXTBEFORE(_xlfn.TEXTAFTER(UPPER(tblShipments2[[#This Row],[Gateway_clean]]),"IN")," ",1),"")</f>
        <v>INMUN1</v>
      </c>
      <c r="P231" t="str">
        <f>SUBSTITUTE(tblShipments2[[#This Row],[Gateway]], CHAR(10), " ")</f>
        <v xml:space="preserve">AWB No. Gateway Port Gateway EGM No. Gateway EGM Date Gateway Site ID Error Code N.A.  INMUN1  N.A.  N.A.  N.A.  N.A. </v>
      </c>
      <c r="Q231" t="s">
        <v>244</v>
      </c>
    </row>
    <row r="232" spans="1:17" x14ac:dyDescent="0.35">
      <c r="A232" t="s">
        <v>8</v>
      </c>
      <c r="B232">
        <v>8395136</v>
      </c>
      <c r="C232" s="2" t="s">
        <v>548</v>
      </c>
      <c r="D232" s="2" t="str">
        <f>LEFT(TRIM(MID(SUBSTITUTE(tblShipments2[[#This Row],[Details]],CHAR(10)," "), FIND(CHAR(10),tblShipments2[[#This Row],[Details]])+1, 50)), 10)</f>
        <v>0597069948</v>
      </c>
      <c r="E232" t="s">
        <v>549</v>
      </c>
      <c r="F23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2" t="str">
        <f>IF(tblShipments2[[#This Row],[EGM no]]="", "Missing EGM", "EGM Submitted")</f>
        <v>EGM Submitted</v>
      </c>
      <c r="H232" t="str">
        <f>IF(OR(ISNUMBER(SEARCH("Released",tblShipments2[[#This Row],[ROSL]])),
      ISNUMBER(SEARCH("Scroll",tblShipments2[[#This Row],[ROSL]])),
      ISNUMBER(SEARCH("Y",tblShipments2[[#This Row],[ROSL]]))),
   "Released",
   "Not Released")</f>
        <v>Released</v>
      </c>
      <c r="I232" t="str">
        <f>IF(OR(tblShipments2[[#This Row],[EGM no]]="", tblShipments2[[#This Row],[EGM no]]="N.A."), "Not Submitted", "Submitted")</f>
        <v>Submitted</v>
      </c>
      <c r="J232" t="str">
        <f>IF(LEFT(tblShipments2[[#This Row],[Gateway_Extracted]],2)="IN","Valid","Invalid")</f>
        <v>Valid</v>
      </c>
      <c r="K232" t="s">
        <v>518</v>
      </c>
      <c r="L232" t="s">
        <v>550</v>
      </c>
      <c r="M232" t="s">
        <v>13</v>
      </c>
      <c r="N232" t="s">
        <v>551</v>
      </c>
      <c r="O232" t="str">
        <f>IFERROR("IN" &amp; _xlfn.TEXTBEFORE(_xlfn.TEXTAFTER(UPPER(tblShipments2[[#This Row],[Gateway_clean]]),"IN")," ",1),"")</f>
        <v>INMUN1</v>
      </c>
      <c r="P232" t="str">
        <f>SUBSTITUTE(tblShipments2[[#This Row],[Gateway]], CHAR(10), " ")</f>
        <v xml:space="preserve">AWB No. Gateway Port Gateway EGM No. Gateway EGM Date Gateway Site ID Error Code N.A.  INMUN1  133179  2017-08-11 00:00:00.0  INMUN1  S </v>
      </c>
      <c r="Q232" t="s">
        <v>552</v>
      </c>
    </row>
    <row r="233" spans="1:17" x14ac:dyDescent="0.35">
      <c r="A233" t="s">
        <v>8</v>
      </c>
      <c r="B233">
        <v>8395644</v>
      </c>
      <c r="C233" s="2" t="s">
        <v>548</v>
      </c>
      <c r="D233" s="2" t="str">
        <f>LEFT(TRIM(MID(SUBSTITUTE(tblShipments2[[#This Row],[Details]],CHAR(10)," "), FIND(CHAR(10),tblShipments2[[#This Row],[Details]])+1, 50)), 10)</f>
        <v>1308012381</v>
      </c>
      <c r="E233" t="s">
        <v>553</v>
      </c>
      <c r="F23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3" t="str">
        <f>IF(tblShipments2[[#This Row],[EGM no]]="", "Missing EGM", "EGM Submitted")</f>
        <v>EGM Submitted</v>
      </c>
      <c r="H233" t="str">
        <f>IF(OR(ISNUMBER(SEARCH("Released",tblShipments2[[#This Row],[ROSL]])),
      ISNUMBER(SEARCH("Scroll",tblShipments2[[#This Row],[ROSL]])),
      ISNUMBER(SEARCH("Y",tblShipments2[[#This Row],[ROSL]]))),
   "Released",
   "Not Released")</f>
        <v>Released</v>
      </c>
      <c r="I233" t="str">
        <f>IF(OR(tblShipments2[[#This Row],[EGM no]]="", tblShipments2[[#This Row],[EGM no]]="N.A."), "Not Submitted", "Submitted")</f>
        <v>Submitted</v>
      </c>
      <c r="J233" t="str">
        <f>IF(LEFT(tblShipments2[[#This Row],[Gateway_Extracted]],2)="IN","Valid","Invalid")</f>
        <v>Valid</v>
      </c>
      <c r="K233" t="s">
        <v>528</v>
      </c>
      <c r="L233" t="s">
        <v>554</v>
      </c>
      <c r="M233" t="s">
        <v>13</v>
      </c>
      <c r="N233" t="s">
        <v>555</v>
      </c>
      <c r="O233" t="str">
        <f>IFERROR("IN" &amp; _xlfn.TEXTBEFORE(_xlfn.TEXTAFTER(UPPER(tblShipments2[[#This Row],[Gateway_clean]]),"IN")," ",1),"")</f>
        <v>INMUN1</v>
      </c>
      <c r="P233" t="str">
        <f>SUBSTITUTE(tblShipments2[[#This Row],[Gateway]], CHAR(10), " ")</f>
        <v xml:space="preserve">AWB No. Gateway Port Gateway EGM No. Gateway EGM Date Gateway Site ID Error Code N.A.  INMUN1  137035  2017-10-16 00:00:00.0  INMUN1  S </v>
      </c>
      <c r="Q233" t="s">
        <v>556</v>
      </c>
    </row>
    <row r="234" spans="1:17" x14ac:dyDescent="0.35">
      <c r="A234" t="s">
        <v>8</v>
      </c>
      <c r="B234">
        <v>8398137</v>
      </c>
      <c r="C234" s="2" t="s">
        <v>548</v>
      </c>
      <c r="D234" s="2" t="str">
        <f>LEFT(TRIM(MID(SUBSTITUTE(tblShipments2[[#This Row],[Details]],CHAR(10)," "), FIND(CHAR(10),tblShipments2[[#This Row],[Details]])+1, 50)), 10)</f>
        <v>0509056105</v>
      </c>
      <c r="E234" t="s">
        <v>557</v>
      </c>
      <c r="F23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4" t="str">
        <f>IF(tblShipments2[[#This Row],[EGM no]]="", "Missing EGM", "EGM Submitted")</f>
        <v>EGM Submitted</v>
      </c>
      <c r="H234" t="str">
        <f>IF(OR(ISNUMBER(SEARCH("Released",tblShipments2[[#This Row],[ROSL]])),
      ISNUMBER(SEARCH("Scroll",tblShipments2[[#This Row],[ROSL]])),
      ISNUMBER(SEARCH("Y",tblShipments2[[#This Row],[ROSL]]))),
   "Released",
   "Not Released")</f>
        <v>Released</v>
      </c>
      <c r="I234" t="str">
        <f>IF(OR(tblShipments2[[#This Row],[EGM no]]="", tblShipments2[[#This Row],[EGM no]]="N.A."), "Not Submitted", "Submitted")</f>
        <v>Submitted</v>
      </c>
      <c r="J234" t="str">
        <f>IF(LEFT(tblShipments2[[#This Row],[Gateway_Extracted]],2)="IN","Valid","Invalid")</f>
        <v>Valid</v>
      </c>
      <c r="K234" t="s">
        <v>545</v>
      </c>
      <c r="L234" t="s">
        <v>558</v>
      </c>
      <c r="M234" t="s">
        <v>13</v>
      </c>
      <c r="N234" t="s">
        <v>559</v>
      </c>
      <c r="O234" t="str">
        <f>IFERROR("IN" &amp; _xlfn.TEXTBEFORE(_xlfn.TEXTAFTER(UPPER(tblShipments2[[#This Row],[Gateway_clean]]),"IN")," ",1),"")</f>
        <v>INNSA1</v>
      </c>
      <c r="P234" t="str">
        <f>SUBSTITUTE(tblShipments2[[#This Row],[Gateway]], CHAR(10), " ")</f>
        <v xml:space="preserve">AWB No. Gateway Port Gateway EGM No. Gateway EGM Date Gateway Site ID Error Code N.A.  INNSA1  N.A.  N.A.  N.A.  N.A. </v>
      </c>
      <c r="Q234" t="s">
        <v>26</v>
      </c>
    </row>
    <row r="235" spans="1:17" x14ac:dyDescent="0.35">
      <c r="A235" t="s">
        <v>8</v>
      </c>
      <c r="B235">
        <v>8411392</v>
      </c>
      <c r="C235" s="2" t="s">
        <v>560</v>
      </c>
      <c r="D235" s="2" t="str">
        <f>LEFT(TRIM(MID(SUBSTITUTE(tblShipments2[[#This Row],[Details]],CHAR(10)," "), FIND(CHAR(10),tblShipments2[[#This Row],[Details]])+1, 50)), 10)</f>
        <v>0512072388</v>
      </c>
      <c r="E235" t="s">
        <v>561</v>
      </c>
      <c r="F23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5" t="str">
        <f>IF(tblShipments2[[#This Row],[EGM no]]="", "Missing EGM", "EGM Submitted")</f>
        <v>EGM Submitted</v>
      </c>
      <c r="H235" t="str">
        <f>IF(OR(ISNUMBER(SEARCH("Released",tblShipments2[[#This Row],[ROSL]])),
      ISNUMBER(SEARCH("Scroll",tblShipments2[[#This Row],[ROSL]])),
      ISNUMBER(SEARCH("Y",tblShipments2[[#This Row],[ROSL]]))),
   "Released",
   "Not Released")</f>
        <v>Released</v>
      </c>
      <c r="I235" t="str">
        <f>IF(OR(tblShipments2[[#This Row],[EGM no]]="", tblShipments2[[#This Row],[EGM no]]="N.A."), "Not Submitted", "Submitted")</f>
        <v>Submitted</v>
      </c>
      <c r="J235" t="str">
        <f>IF(LEFT(tblShipments2[[#This Row],[Gateway_Extracted]],2)="IN","Valid","Invalid")</f>
        <v>Valid</v>
      </c>
      <c r="K235" t="s">
        <v>562</v>
      </c>
      <c r="L235" t="s">
        <v>563</v>
      </c>
      <c r="M235" t="s">
        <v>31</v>
      </c>
      <c r="N235" t="s">
        <v>564</v>
      </c>
      <c r="O235" t="str">
        <f>IFERROR("IN" &amp; _xlfn.TEXTBEFORE(_xlfn.TEXTAFTER(UPPER(tblShipments2[[#This Row],[Gateway_clean]]),"IN")," ",1),"")</f>
        <v>INNSA1</v>
      </c>
      <c r="P235" t="str">
        <f>SUBSTITUTE(tblShipments2[[#This Row],[Gateway]], CHAR(10), " ")</f>
        <v xml:space="preserve">AWB No. Gateway Port Gateway EGM No. Gateway EGM Date Gateway Site ID Error Code N.A.  INNSA1  N.A.  N.A.  N.A.  N.A. </v>
      </c>
      <c r="Q235" t="s">
        <v>26</v>
      </c>
    </row>
    <row r="236" spans="1:17" x14ac:dyDescent="0.35">
      <c r="A236" t="s">
        <v>8</v>
      </c>
      <c r="B236">
        <v>8424214</v>
      </c>
      <c r="C236" s="2" t="s">
        <v>565</v>
      </c>
      <c r="D236" s="2" t="str">
        <f>LEFT(TRIM(MID(SUBSTITUTE(tblShipments2[[#This Row],[Details]],CHAR(10)," "), FIND(CHAR(10),tblShipments2[[#This Row],[Details]])+1, 50)), 10)</f>
        <v>0311014879</v>
      </c>
      <c r="E236" t="s">
        <v>566</v>
      </c>
      <c r="F23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6" t="str">
        <f>IF(tblShipments2[[#This Row],[EGM no]]="", "Missing EGM", "EGM Submitted")</f>
        <v>EGM Submitted</v>
      </c>
      <c r="H236" t="str">
        <f>IF(OR(ISNUMBER(SEARCH("Released",tblShipments2[[#This Row],[ROSL]])),
      ISNUMBER(SEARCH("Scroll",tblShipments2[[#This Row],[ROSL]])),
      ISNUMBER(SEARCH("Y",tblShipments2[[#This Row],[ROSL]]))),
   "Released",
   "Not Released")</f>
        <v>Released</v>
      </c>
      <c r="I236" t="str">
        <f>IF(OR(tblShipments2[[#This Row],[EGM no]]="", tblShipments2[[#This Row],[EGM no]]="N.A."), "Not Submitted", "Submitted")</f>
        <v>Submitted</v>
      </c>
      <c r="J236" t="str">
        <f>IF(LEFT(tblShipments2[[#This Row],[Gateway_Extracted]],2)="IN","Valid","Invalid")</f>
        <v>Valid</v>
      </c>
      <c r="K236" t="s">
        <v>518</v>
      </c>
      <c r="L236" t="s">
        <v>567</v>
      </c>
      <c r="M236" t="s">
        <v>31</v>
      </c>
      <c r="N236" t="s">
        <v>568</v>
      </c>
      <c r="O236" t="str">
        <f>IFERROR("IN" &amp; _xlfn.TEXTBEFORE(_xlfn.TEXTAFTER(UPPER(tblShipments2[[#This Row],[Gateway_clean]]),"IN")," ",1),"")</f>
        <v>INMUN1</v>
      </c>
      <c r="P236" t="str">
        <f>SUBSTITUTE(tblShipments2[[#This Row],[Gateway]], CHAR(10), " ")</f>
        <v xml:space="preserve">AWB No. Gateway Port Gateway EGM No. Gateway EGM Date Gateway Site ID Error Code N.A.  INMUN1  134793  2017-09-08 00:00:00.0  INMUN1  C </v>
      </c>
      <c r="Q236" t="s">
        <v>569</v>
      </c>
    </row>
    <row r="237" spans="1:17" x14ac:dyDescent="0.35">
      <c r="A237" t="s">
        <v>8</v>
      </c>
      <c r="B237">
        <v>8424711</v>
      </c>
      <c r="C237" s="2" t="s">
        <v>565</v>
      </c>
      <c r="D237" s="2" t="str">
        <f>LEFT(TRIM(MID(SUBSTITUTE(tblShipments2[[#This Row],[Details]],CHAR(10)," "), FIND(CHAR(10),tblShipments2[[#This Row],[Details]])+1, 50)), 10)</f>
        <v>0505000873</v>
      </c>
      <c r="E237" t="s">
        <v>570</v>
      </c>
      <c r="F23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7" t="str">
        <f>IF(tblShipments2[[#This Row],[EGM no]]="", "Missing EGM", "EGM Submitted")</f>
        <v>EGM Submitted</v>
      </c>
      <c r="H237" t="str">
        <f>IF(OR(ISNUMBER(SEARCH("Released",tblShipments2[[#This Row],[ROSL]])),
      ISNUMBER(SEARCH("Scroll",tblShipments2[[#This Row],[ROSL]])),
      ISNUMBER(SEARCH("Y",tblShipments2[[#This Row],[ROSL]]))),
   "Released",
   "Not Released")</f>
        <v>Released</v>
      </c>
      <c r="I237" t="str">
        <f>IF(OR(tblShipments2[[#This Row],[EGM no]]="", tblShipments2[[#This Row],[EGM no]]="N.A."), "Not Submitted", "Submitted")</f>
        <v>Submitted</v>
      </c>
      <c r="J237" t="str">
        <f>IF(LEFT(tblShipments2[[#This Row],[Gateway_Extracted]],2)="IN","Valid","Invalid")</f>
        <v>Valid</v>
      </c>
      <c r="K237" t="s">
        <v>523</v>
      </c>
      <c r="L237" t="s">
        <v>571</v>
      </c>
      <c r="M237" t="s">
        <v>13</v>
      </c>
      <c r="N237" t="s">
        <v>572</v>
      </c>
      <c r="O237" t="str">
        <f>IFERROR("IN" &amp; _xlfn.TEXTBEFORE(_xlfn.TEXTAFTER(UPPER(tblShipments2[[#This Row],[Gateway_clean]]),"IN")," ",1),"")</f>
        <v>INNSA1</v>
      </c>
      <c r="P237" t="str">
        <f>SUBSTITUTE(tblShipments2[[#This Row],[Gateway]], CHAR(10), " ")</f>
        <v xml:space="preserve">AWB No. Gateway Port Gateway EGM No. Gateway EGM Date Gateway Site ID Error Code N.A.  INNSA1  134260  2017-08-31 00:00:00.0  INNSA1  S </v>
      </c>
      <c r="Q237" t="s">
        <v>573</v>
      </c>
    </row>
    <row r="238" spans="1:17" x14ac:dyDescent="0.35">
      <c r="A238" t="s">
        <v>8</v>
      </c>
      <c r="B238">
        <v>8425293</v>
      </c>
      <c r="C238" s="2" t="s">
        <v>565</v>
      </c>
      <c r="D238" s="2" t="str">
        <f>LEFT(TRIM(MID(SUBSTITUTE(tblShipments2[[#This Row],[Details]],CHAR(10)," "), FIND(CHAR(10),tblShipments2[[#This Row],[Details]])+1, 50)), 10)</f>
        <v>0516900692</v>
      </c>
      <c r="E238" t="s">
        <v>574</v>
      </c>
      <c r="F23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8" t="str">
        <f>IF(tblShipments2[[#This Row],[EGM no]]="", "Missing EGM", "EGM Submitted")</f>
        <v>EGM Submitted</v>
      </c>
      <c r="H238" t="str">
        <f>IF(OR(ISNUMBER(SEARCH("Released",tblShipments2[[#This Row],[ROSL]])),
      ISNUMBER(SEARCH("Scroll",tblShipments2[[#This Row],[ROSL]])),
      ISNUMBER(SEARCH("Y",tblShipments2[[#This Row],[ROSL]]))),
   "Released",
   "Not Released")</f>
        <v>Released</v>
      </c>
      <c r="I238" t="str">
        <f>IF(OR(tblShipments2[[#This Row],[EGM no]]="", tblShipments2[[#This Row],[EGM no]]="N.A."), "Not Submitted", "Submitted")</f>
        <v>Submitted</v>
      </c>
      <c r="J238" t="str">
        <f>IF(LEFT(tblShipments2[[#This Row],[Gateway_Extracted]],2)="IN","Valid","Invalid")</f>
        <v>Valid</v>
      </c>
      <c r="K238" t="s">
        <v>575</v>
      </c>
      <c r="L238" t="s">
        <v>576</v>
      </c>
      <c r="M238" t="s">
        <v>13</v>
      </c>
      <c r="N238" t="s">
        <v>577</v>
      </c>
      <c r="O238" t="str">
        <f>IFERROR("IN" &amp; _xlfn.TEXTBEFORE(_xlfn.TEXTAFTER(UPPER(tblShipments2[[#This Row],[Gateway_clean]]),"IN")," ",1),"")</f>
        <v>INMUN1</v>
      </c>
      <c r="P238" t="str">
        <f>SUBSTITUTE(tblShipments2[[#This Row],[Gateway]], CHAR(10), " ")</f>
        <v xml:space="preserve">AWB No. Gateway Port Gateway EGM No. Gateway EGM Date Gateway Site ID Error Code N.A.  INMUN1  135448  2017-09-20 00:00:00.0  INMUN1  S </v>
      </c>
      <c r="Q238" t="s">
        <v>578</v>
      </c>
    </row>
    <row r="239" spans="1:17" x14ac:dyDescent="0.35">
      <c r="A239" t="s">
        <v>8</v>
      </c>
      <c r="B239">
        <v>8439375</v>
      </c>
      <c r="C239" s="2" t="s">
        <v>565</v>
      </c>
      <c r="D239" s="2" t="str">
        <f>LEFT(TRIM(MID(SUBSTITUTE(tblShipments2[[#This Row],[Details]],CHAR(10)," "), FIND(CHAR(10),tblShipments2[[#This Row],[Details]])+1, 50)), 10)</f>
        <v>AAHCC0755A</v>
      </c>
      <c r="E239" t="s">
        <v>579</v>
      </c>
      <c r="F23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39" t="str">
        <f>IF(tblShipments2[[#This Row],[EGM no]]="", "Missing EGM", "EGM Submitted")</f>
        <v>EGM Submitted</v>
      </c>
      <c r="H239" t="str">
        <f>IF(OR(ISNUMBER(SEARCH("Released",tblShipments2[[#This Row],[ROSL]])),
      ISNUMBER(SEARCH("Scroll",tblShipments2[[#This Row],[ROSL]])),
      ISNUMBER(SEARCH("Y",tblShipments2[[#This Row],[ROSL]]))),
   "Released",
   "Not Released")</f>
        <v>Released</v>
      </c>
      <c r="I239" t="str">
        <f>IF(OR(tblShipments2[[#This Row],[EGM no]]="", tblShipments2[[#This Row],[EGM no]]="N.A."), "Not Submitted", "Submitted")</f>
        <v>Submitted</v>
      </c>
      <c r="J239" t="str">
        <f>IF(LEFT(tblShipments2[[#This Row],[Gateway_Extracted]],2)="IN","Valid","Invalid")</f>
        <v>Valid</v>
      </c>
      <c r="K239" t="s">
        <v>528</v>
      </c>
      <c r="L239" t="s">
        <v>580</v>
      </c>
      <c r="M239" t="s">
        <v>581</v>
      </c>
      <c r="N239" t="s">
        <v>582</v>
      </c>
      <c r="O239" t="str">
        <f>IFERROR("IN" &amp; _xlfn.TEXTBEFORE(_xlfn.TEXTAFTER(UPPER(tblShipments2[[#This Row],[Gateway_clean]]),"IN")," ",1),"")</f>
        <v>INPAV1</v>
      </c>
      <c r="P239" t="str">
        <f>SUBSTITUTE(tblShipments2[[#This Row],[Gateway]], CHAR(10), " ")</f>
        <v xml:space="preserve">AWB No. Gateway Port Gateway EGM No. Gateway EGM Date Gateway Site ID Error Code N.A.  INPAV1  134057  2017-08-28 00:00:00.0  INPAV1  S </v>
      </c>
      <c r="Q239" t="s">
        <v>583</v>
      </c>
    </row>
    <row r="240" spans="1:17" x14ac:dyDescent="0.35">
      <c r="A240" t="s">
        <v>8</v>
      </c>
      <c r="B240">
        <v>8439383</v>
      </c>
      <c r="C240" s="2" t="s">
        <v>565</v>
      </c>
      <c r="D240" s="2" t="str">
        <f>LEFT(TRIM(MID(SUBSTITUTE(tblShipments2[[#This Row],[Details]],CHAR(10)," "), FIND(CHAR(10),tblShipments2[[#This Row],[Details]])+1, 50)), 10)</f>
        <v>AAHCC0755A</v>
      </c>
      <c r="E240" t="s">
        <v>584</v>
      </c>
      <c r="F24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0" t="str">
        <f>IF(tblShipments2[[#This Row],[EGM no]]="", "Missing EGM", "EGM Submitted")</f>
        <v>EGM Submitted</v>
      </c>
      <c r="H240" t="str">
        <f>IF(OR(ISNUMBER(SEARCH("Released",tblShipments2[[#This Row],[ROSL]])),
      ISNUMBER(SEARCH("Scroll",tblShipments2[[#This Row],[ROSL]])),
      ISNUMBER(SEARCH("Y",tblShipments2[[#This Row],[ROSL]]))),
   "Released",
   "Not Released")</f>
        <v>Released</v>
      </c>
      <c r="I240" t="str">
        <f>IF(OR(tblShipments2[[#This Row],[EGM no]]="", tblShipments2[[#This Row],[EGM no]]="N.A."), "Not Submitted", "Submitted")</f>
        <v>Submitted</v>
      </c>
      <c r="J240" t="str">
        <f>IF(LEFT(tblShipments2[[#This Row],[Gateway_Extracted]],2)="IN","Valid","Invalid")</f>
        <v>Valid</v>
      </c>
      <c r="K240" t="s">
        <v>528</v>
      </c>
      <c r="L240" t="s">
        <v>585</v>
      </c>
      <c r="M240" t="s">
        <v>581</v>
      </c>
      <c r="N240" t="s">
        <v>582</v>
      </c>
      <c r="O240" t="str">
        <f>IFERROR("IN" &amp; _xlfn.TEXTBEFORE(_xlfn.TEXTAFTER(UPPER(tblShipments2[[#This Row],[Gateway_clean]]),"IN")," ",1),"")</f>
        <v>INPAV1</v>
      </c>
      <c r="P240" t="str">
        <f>SUBSTITUTE(tblShipments2[[#This Row],[Gateway]], CHAR(10), " ")</f>
        <v xml:space="preserve">AWB No. Gateway Port Gateway EGM No. Gateway EGM Date Gateway Site ID Error Code N.A.  INPAV1  134057  2017-08-28 00:00:00.0  INPAV1  S </v>
      </c>
      <c r="Q240" t="s">
        <v>583</v>
      </c>
    </row>
    <row r="241" spans="1:17" x14ac:dyDescent="0.35">
      <c r="A241" t="s">
        <v>8</v>
      </c>
      <c r="B241">
        <v>8439422</v>
      </c>
      <c r="C241" s="2" t="s">
        <v>565</v>
      </c>
      <c r="D241" s="2" t="str">
        <f>LEFT(TRIM(MID(SUBSTITUTE(tblShipments2[[#This Row],[Details]],CHAR(10)," "), FIND(CHAR(10),tblShipments2[[#This Row],[Details]])+1, 50)), 10)</f>
        <v>AABCZ1026D</v>
      </c>
      <c r="E241" t="s">
        <v>586</v>
      </c>
      <c r="F24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1" t="str">
        <f>IF(tblShipments2[[#This Row],[EGM no]]="", "Missing EGM", "EGM Submitted")</f>
        <v>EGM Submitted</v>
      </c>
      <c r="H241" t="str">
        <f>IF(OR(ISNUMBER(SEARCH("Released",tblShipments2[[#This Row],[ROSL]])),
      ISNUMBER(SEARCH("Scroll",tblShipments2[[#This Row],[ROSL]])),
      ISNUMBER(SEARCH("Y",tblShipments2[[#This Row],[ROSL]]))),
   "Released",
   "Not Released")</f>
        <v>Released</v>
      </c>
      <c r="I241" t="str">
        <f>IF(OR(tblShipments2[[#This Row],[EGM no]]="", tblShipments2[[#This Row],[EGM no]]="N.A."), "Not Submitted", "Submitted")</f>
        <v>Submitted</v>
      </c>
      <c r="J241" t="str">
        <f>IF(LEFT(tblShipments2[[#This Row],[Gateway_Extracted]],2)="IN","Valid","Invalid")</f>
        <v>Valid</v>
      </c>
      <c r="K241" t="s">
        <v>523</v>
      </c>
      <c r="L241" t="s">
        <v>587</v>
      </c>
      <c r="M241" t="s">
        <v>588</v>
      </c>
      <c r="N241" t="s">
        <v>589</v>
      </c>
      <c r="O241" t="str">
        <f>IFERROR("IN" &amp; _xlfn.TEXTBEFORE(_xlfn.TEXTAFTER(UPPER(tblShipments2[[#This Row],[Gateway_clean]]),"IN")," ",1),"")</f>
        <v>INPAV1</v>
      </c>
      <c r="P241" t="str">
        <f>SUBSTITUTE(tblShipments2[[#This Row],[Gateway]], CHAR(10), " ")</f>
        <v xml:space="preserve">AWB No. Gateway Port Gateway EGM No. Gateway EGM Date Gateway Site ID Error Code N.A.  INPAV1  134057  2017-08-28 00:00:00.0  INPAV1  S </v>
      </c>
      <c r="Q241" t="s">
        <v>583</v>
      </c>
    </row>
    <row r="242" spans="1:17" x14ac:dyDescent="0.35">
      <c r="A242" t="s">
        <v>8</v>
      </c>
      <c r="B242">
        <v>8452436</v>
      </c>
      <c r="C242" s="2" t="s">
        <v>590</v>
      </c>
      <c r="D242" s="2" t="str">
        <f>LEFT(TRIM(MID(SUBSTITUTE(tblShipments2[[#This Row],[Details]],CHAR(10)," "), FIND(CHAR(10),tblShipments2[[#This Row],[Details]])+1, 50)), 10)</f>
        <v>0616907401</v>
      </c>
      <c r="E242" t="s">
        <v>591</v>
      </c>
      <c r="F24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2" t="str">
        <f>IF(tblShipments2[[#This Row],[EGM no]]="", "Missing EGM", "EGM Submitted")</f>
        <v>EGM Submitted</v>
      </c>
      <c r="H242" t="str">
        <f>IF(OR(ISNUMBER(SEARCH("Released",tblShipments2[[#This Row],[ROSL]])),
      ISNUMBER(SEARCH("Scroll",tblShipments2[[#This Row],[ROSL]])),
      ISNUMBER(SEARCH("Y",tblShipments2[[#This Row],[ROSL]]))),
   "Released",
   "Not Released")</f>
        <v>Released</v>
      </c>
      <c r="I242" t="str">
        <f>IF(OR(tblShipments2[[#This Row],[EGM no]]="", tblShipments2[[#This Row],[EGM no]]="N.A."), "Not Submitted", "Submitted")</f>
        <v>Submitted</v>
      </c>
      <c r="J242" t="str">
        <f>IF(LEFT(tblShipments2[[#This Row],[Gateway_Extracted]],2)="IN","Valid","Invalid")</f>
        <v>Valid</v>
      </c>
      <c r="K242" t="s">
        <v>592</v>
      </c>
      <c r="L242" t="s">
        <v>593</v>
      </c>
      <c r="M242" t="s">
        <v>13</v>
      </c>
      <c r="N242" t="s">
        <v>594</v>
      </c>
      <c r="O242" t="str">
        <f>IFERROR("IN" &amp; _xlfn.TEXTBEFORE(_xlfn.TEXTAFTER(UPPER(tblShipments2[[#This Row],[Gateway_clean]]),"IN")," ",1),"")</f>
        <v>INNSA1</v>
      </c>
      <c r="P242" t="str">
        <f>SUBSTITUTE(tblShipments2[[#This Row],[Gateway]], CHAR(10), " ")</f>
        <v xml:space="preserve">AWB No. Gateway Port Gateway EGM No. Gateway EGM Date Gateway Site ID Error Code N.A.  INNSA1  135068  2017-09-14 00:00:00.0  INNSA1  S </v>
      </c>
      <c r="Q242" t="s">
        <v>595</v>
      </c>
    </row>
    <row r="243" spans="1:17" x14ac:dyDescent="0.35">
      <c r="A243" t="s">
        <v>8</v>
      </c>
      <c r="B243">
        <v>8457825</v>
      </c>
      <c r="C243" s="2" t="s">
        <v>590</v>
      </c>
      <c r="D243" s="2" t="str">
        <f>LEFT(TRIM(MID(SUBSTITUTE(tblShipments2[[#This Row],[Details]],CHAR(10)," "), FIND(CHAR(10),tblShipments2[[#This Row],[Details]])+1, 50)), 10)</f>
        <v>0516517431</v>
      </c>
      <c r="E243" t="s">
        <v>596</v>
      </c>
      <c r="F24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3" t="str">
        <f>IF(tblShipments2[[#This Row],[EGM no]]="", "Missing EGM", "EGM Submitted")</f>
        <v>EGM Submitted</v>
      </c>
      <c r="H243" t="str">
        <f>IF(OR(ISNUMBER(SEARCH("Released",tblShipments2[[#This Row],[ROSL]])),
      ISNUMBER(SEARCH("Scroll",tblShipments2[[#This Row],[ROSL]])),
      ISNUMBER(SEARCH("Y",tblShipments2[[#This Row],[ROSL]]))),
   "Released",
   "Not Released")</f>
        <v>Released</v>
      </c>
      <c r="I243" t="str">
        <f>IF(OR(tblShipments2[[#This Row],[EGM no]]="", tblShipments2[[#This Row],[EGM no]]="N.A."), "Not Submitted", "Submitted")</f>
        <v>Submitted</v>
      </c>
      <c r="J243" t="str">
        <f>IF(LEFT(tblShipments2[[#This Row],[Gateway_Extracted]],2)="IN","Valid","Invalid")</f>
        <v>Valid</v>
      </c>
      <c r="K243" t="s">
        <v>534</v>
      </c>
      <c r="L243" t="s">
        <v>597</v>
      </c>
      <c r="M243" t="s">
        <v>13</v>
      </c>
      <c r="N243" t="s">
        <v>598</v>
      </c>
      <c r="O243" t="str">
        <f>IFERROR("IN" &amp; _xlfn.TEXTBEFORE(_xlfn.TEXTAFTER(UPPER(tblShipments2[[#This Row],[Gateway_clean]]),"IN")," ",1),"")</f>
        <v>INNSA1</v>
      </c>
      <c r="P243" t="str">
        <f>SUBSTITUTE(tblShipments2[[#This Row],[Gateway]], CHAR(10), " ")</f>
        <v xml:space="preserve">AWB No. Gateway Port Gateway EGM No. Gateway EGM Date Gateway Site ID Error Code N.A.  INNSA1  N.A.  N.A.  N.A.  N.A. </v>
      </c>
      <c r="Q243" t="s">
        <v>26</v>
      </c>
    </row>
    <row r="244" spans="1:17" x14ac:dyDescent="0.35">
      <c r="A244" t="s">
        <v>8</v>
      </c>
      <c r="B244">
        <v>8462659</v>
      </c>
      <c r="C244" s="2" t="s">
        <v>590</v>
      </c>
      <c r="D244" s="2" t="str">
        <f>LEFT(TRIM(MID(SUBSTITUTE(tblShipments2[[#This Row],[Details]],CHAR(10)," "), FIND(CHAR(10),tblShipments2[[#This Row],[Details]])+1, 50)), 10)</f>
        <v>0507023722</v>
      </c>
      <c r="E244" t="s">
        <v>599</v>
      </c>
      <c r="F24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4" t="str">
        <f>IF(tblShipments2[[#This Row],[EGM no]]="", "Missing EGM", "EGM Submitted")</f>
        <v>EGM Submitted</v>
      </c>
      <c r="H244" t="str">
        <f>IF(OR(ISNUMBER(SEARCH("Released",tblShipments2[[#This Row],[ROSL]])),
      ISNUMBER(SEARCH("Scroll",tblShipments2[[#This Row],[ROSL]])),
      ISNUMBER(SEARCH("Y",tblShipments2[[#This Row],[ROSL]]))),
   "Released",
   "Not Released")</f>
        <v>Released</v>
      </c>
      <c r="I244" t="str">
        <f>IF(OR(tblShipments2[[#This Row],[EGM no]]="", tblShipments2[[#This Row],[EGM no]]="N.A."), "Not Submitted", "Submitted")</f>
        <v>Submitted</v>
      </c>
      <c r="J244" t="str">
        <f>IF(LEFT(tblShipments2[[#This Row],[Gateway_Extracted]],2)="IN","Valid","Invalid")</f>
        <v>Valid</v>
      </c>
      <c r="K244" t="s">
        <v>600</v>
      </c>
      <c r="L244" t="s">
        <v>601</v>
      </c>
      <c r="M244" t="s">
        <v>31</v>
      </c>
      <c r="N244" t="s">
        <v>602</v>
      </c>
      <c r="O244" t="str">
        <f>IFERROR("IN" &amp; _xlfn.TEXTBEFORE(_xlfn.TEXTAFTER(UPPER(tblShipments2[[#This Row],[Gateway_clean]]),"IN")," ",1),"")</f>
        <v>INNSA1</v>
      </c>
      <c r="P244" t="str">
        <f>SUBSTITUTE(tblShipments2[[#This Row],[Gateway]], CHAR(10), " ")</f>
        <v xml:space="preserve">AWB No. Gateway Port Gateway EGM No. Gateway EGM Date Gateway Site ID Error Code N.A.  INNSA1  134462  2017-09-04 00:00:00.0  INNSA1  S </v>
      </c>
      <c r="Q244" t="s">
        <v>372</v>
      </c>
    </row>
    <row r="245" spans="1:17" x14ac:dyDescent="0.35">
      <c r="A245" t="s">
        <v>8</v>
      </c>
      <c r="B245">
        <v>8466834</v>
      </c>
      <c r="C245" s="2" t="s">
        <v>590</v>
      </c>
      <c r="D245" s="2" t="str">
        <f>LEFT(TRIM(MID(SUBSTITUTE(tblShipments2[[#This Row],[Details]],CHAR(10)," "), FIND(CHAR(10),tblShipments2[[#This Row],[Details]])+1, 50)), 10)</f>
        <v>0592023052</v>
      </c>
      <c r="E245" t="s">
        <v>603</v>
      </c>
      <c r="F24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5" t="str">
        <f>IF(tblShipments2[[#This Row],[EGM no]]="", "Missing EGM", "EGM Submitted")</f>
        <v>EGM Submitted</v>
      </c>
      <c r="H245" t="str">
        <f>IF(OR(ISNUMBER(SEARCH("Released",tblShipments2[[#This Row],[ROSL]])),
      ISNUMBER(SEARCH("Scroll",tblShipments2[[#This Row],[ROSL]])),
      ISNUMBER(SEARCH("Y",tblShipments2[[#This Row],[ROSL]]))),
   "Released",
   "Not Released")</f>
        <v>Released</v>
      </c>
      <c r="I245" t="str">
        <f>IF(OR(tblShipments2[[#This Row],[EGM no]]="", tblShipments2[[#This Row],[EGM no]]="N.A."), "Not Submitted", "Submitted")</f>
        <v>Submitted</v>
      </c>
      <c r="J245" t="str">
        <f>IF(LEFT(tblShipments2[[#This Row],[Gateway_Extracted]],2)="IN","Valid","Invalid")</f>
        <v>Valid</v>
      </c>
      <c r="K245" t="s">
        <v>528</v>
      </c>
      <c r="L245" t="s">
        <v>604</v>
      </c>
      <c r="M245" t="s">
        <v>13</v>
      </c>
      <c r="N245" t="s">
        <v>605</v>
      </c>
      <c r="O245" t="str">
        <f>IFERROR("IN" &amp; _xlfn.TEXTBEFORE(_xlfn.TEXTAFTER(UPPER(tblShipments2[[#This Row],[Gateway_clean]]),"IN")," ",1),"")</f>
        <v>INNSA1</v>
      </c>
      <c r="P245" t="str">
        <f>SUBSTITUTE(tblShipments2[[#This Row],[Gateway]], CHAR(10), " ")</f>
        <v xml:space="preserve">AWB No. Gateway Port Gateway EGM No. Gateway EGM Date Gateway Site ID Error Code N.A.  INNSA1  134474  2017-09-04 00:00:00.0  INNSA1  S </v>
      </c>
      <c r="Q245" t="s">
        <v>606</v>
      </c>
    </row>
    <row r="246" spans="1:17" x14ac:dyDescent="0.35">
      <c r="A246" t="s">
        <v>8</v>
      </c>
      <c r="B246">
        <v>8469058</v>
      </c>
      <c r="C246" s="2" t="s">
        <v>590</v>
      </c>
      <c r="D246" s="2" t="str">
        <f>LEFT(TRIM(MID(SUBSTITUTE(tblShipments2[[#This Row],[Details]],CHAR(10)," "), FIND(CHAR(10),tblShipments2[[#This Row],[Details]])+1, 50)), 10)</f>
        <v>0594004373</v>
      </c>
      <c r="E246" t="s">
        <v>607</v>
      </c>
      <c r="F24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6" t="str">
        <f>IF(tblShipments2[[#This Row],[EGM no]]="", "Missing EGM", "EGM Submitted")</f>
        <v>EGM Submitted</v>
      </c>
      <c r="H246" t="str">
        <f>IF(OR(ISNUMBER(SEARCH("Released",tblShipments2[[#This Row],[ROSL]])),
      ISNUMBER(SEARCH("Scroll",tblShipments2[[#This Row],[ROSL]])),
      ISNUMBER(SEARCH("Y",tblShipments2[[#This Row],[ROSL]]))),
   "Released",
   "Not Released")</f>
        <v>Released</v>
      </c>
      <c r="I246" t="str">
        <f>IF(OR(tblShipments2[[#This Row],[EGM no]]="", tblShipments2[[#This Row],[EGM no]]="N.A."), "Not Submitted", "Submitted")</f>
        <v>Submitted</v>
      </c>
      <c r="J246" t="str">
        <f>IF(LEFT(tblShipments2[[#This Row],[Gateway_Extracted]],2)="IN","Valid","Invalid")</f>
        <v>Valid</v>
      </c>
      <c r="K246" t="s">
        <v>534</v>
      </c>
      <c r="L246" t="s">
        <v>608</v>
      </c>
      <c r="M246" t="s">
        <v>13</v>
      </c>
      <c r="N246" t="s">
        <v>609</v>
      </c>
      <c r="O246" t="str">
        <f>IFERROR("IN" &amp; _xlfn.TEXTBEFORE(_xlfn.TEXTAFTER(UPPER(tblShipments2[[#This Row],[Gateway_clean]]),"IN")," ",1),"")</f>
        <v>INMUN1</v>
      </c>
      <c r="P246" t="str">
        <f>SUBSTITUTE(tblShipments2[[#This Row],[Gateway]], CHAR(10), " ")</f>
        <v xml:space="preserve">AWB No. Gateway Port Gateway EGM No. Gateway EGM Date Gateway Site ID Error Code N.A.  INMUN1  135390  2017-09-19 00:00:00.0  INMUN1  S </v>
      </c>
      <c r="Q246" t="s">
        <v>610</v>
      </c>
    </row>
    <row r="247" spans="1:17" x14ac:dyDescent="0.35">
      <c r="A247" t="s">
        <v>8</v>
      </c>
      <c r="B247">
        <v>8471397</v>
      </c>
      <c r="C247" s="2" t="s">
        <v>590</v>
      </c>
      <c r="D247" s="2" t="str">
        <f>LEFT(TRIM(MID(SUBSTITUTE(tblShipments2[[#This Row],[Details]],CHAR(10)," "), FIND(CHAR(10),tblShipments2[[#This Row],[Details]])+1, 50)), 10)</f>
        <v>0504016865</v>
      </c>
      <c r="E247" t="s">
        <v>611</v>
      </c>
      <c r="F24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7" t="str">
        <f>IF(tblShipments2[[#This Row],[EGM no]]="", "Missing EGM", "EGM Submitted")</f>
        <v>EGM Submitted</v>
      </c>
      <c r="H247" t="str">
        <f>IF(OR(ISNUMBER(SEARCH("Released",tblShipments2[[#This Row],[ROSL]])),
      ISNUMBER(SEARCH("Scroll",tblShipments2[[#This Row],[ROSL]])),
      ISNUMBER(SEARCH("Y",tblShipments2[[#This Row],[ROSL]]))),
   "Released",
   "Not Released")</f>
        <v>Released</v>
      </c>
      <c r="I247" t="str">
        <f>IF(OR(tblShipments2[[#This Row],[EGM no]]="", tblShipments2[[#This Row],[EGM no]]="N.A."), "Not Submitted", "Submitted")</f>
        <v>Submitted</v>
      </c>
      <c r="J247" t="str">
        <f>IF(LEFT(tblShipments2[[#This Row],[Gateway_Extracted]],2)="IN","Valid","Invalid")</f>
        <v>Valid</v>
      </c>
      <c r="K247" t="s">
        <v>612</v>
      </c>
      <c r="L247" t="s">
        <v>613</v>
      </c>
      <c r="M247" t="s">
        <v>31</v>
      </c>
      <c r="N247" t="s">
        <v>614</v>
      </c>
      <c r="O247" t="str">
        <f>IFERROR("IN" &amp; _xlfn.TEXTBEFORE(_xlfn.TEXTAFTER(UPPER(tblShipments2[[#This Row],[Gateway_clean]]),"IN")," ",1),"")</f>
        <v>INMUN1</v>
      </c>
      <c r="P247" t="str">
        <f>SUBSTITUTE(tblShipments2[[#This Row],[Gateway]], CHAR(10), " ")</f>
        <v xml:space="preserve">AWB No. Gateway Port Gateway EGM No. Gateway EGM Date Gateway Site ID Error Code N.A.  INMUN1  135378  2017-09-19 00:00:00.0  INMUN1  S </v>
      </c>
      <c r="Q247" t="s">
        <v>425</v>
      </c>
    </row>
    <row r="248" spans="1:17" x14ac:dyDescent="0.35">
      <c r="A248" t="s">
        <v>8</v>
      </c>
      <c r="B248">
        <v>8483178</v>
      </c>
      <c r="C248" s="2" t="s">
        <v>615</v>
      </c>
      <c r="D248" s="2" t="str">
        <f>LEFT(TRIM(MID(SUBSTITUTE(tblShipments2[[#This Row],[Details]],CHAR(10)," "), FIND(CHAR(10),tblShipments2[[#This Row],[Details]])+1, 50)), 10)</f>
        <v>0504064754</v>
      </c>
      <c r="E248" t="s">
        <v>616</v>
      </c>
      <c r="F24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8" t="str">
        <f>IF(tblShipments2[[#This Row],[EGM no]]="", "Missing EGM", "EGM Submitted")</f>
        <v>EGM Submitted</v>
      </c>
      <c r="H248" t="str">
        <f>IF(OR(ISNUMBER(SEARCH("Released",tblShipments2[[#This Row],[ROSL]])),
      ISNUMBER(SEARCH("Scroll",tblShipments2[[#This Row],[ROSL]])),
      ISNUMBER(SEARCH("Y",tblShipments2[[#This Row],[ROSL]]))),
   "Released",
   "Not Released")</f>
        <v>Released</v>
      </c>
      <c r="I248" t="str">
        <f>IF(OR(tblShipments2[[#This Row],[EGM no]]="", tblShipments2[[#This Row],[EGM no]]="N.A."), "Not Submitted", "Submitted")</f>
        <v>Submitted</v>
      </c>
      <c r="J248" t="str">
        <f>IF(LEFT(tblShipments2[[#This Row],[Gateway_Extracted]],2)="IN","Valid","Invalid")</f>
        <v>Valid</v>
      </c>
      <c r="K248" t="s">
        <v>534</v>
      </c>
      <c r="L248" t="s">
        <v>617</v>
      </c>
      <c r="M248" t="s">
        <v>13</v>
      </c>
      <c r="N248" t="s">
        <v>618</v>
      </c>
      <c r="O248" t="str">
        <f>IFERROR("IN" &amp; _xlfn.TEXTBEFORE(_xlfn.TEXTAFTER(UPPER(tblShipments2[[#This Row],[Gateway_clean]]),"IN")," ",1),"")</f>
        <v>INNSA1</v>
      </c>
      <c r="P248" t="str">
        <f>SUBSTITUTE(tblShipments2[[#This Row],[Gateway]], CHAR(10), " ")</f>
        <v xml:space="preserve">AWB No. Gateway Port Gateway EGM No. Gateway EGM Date Gateway Site ID Error Code N.A.  INNSA1  134875  2017-09-11 00:00:00.0  INNSA1  S </v>
      </c>
      <c r="Q248" t="s">
        <v>619</v>
      </c>
    </row>
    <row r="249" spans="1:17" x14ac:dyDescent="0.35">
      <c r="A249" t="s">
        <v>8</v>
      </c>
      <c r="B249">
        <v>8486246</v>
      </c>
      <c r="C249" s="2" t="s">
        <v>615</v>
      </c>
      <c r="D249" s="2" t="str">
        <f>LEFT(TRIM(MID(SUBSTITUTE(tblShipments2[[#This Row],[Details]],CHAR(10)," "), FIND(CHAR(10),tblShipments2[[#This Row],[Details]])+1, 50)), 10)</f>
        <v>0507062884</v>
      </c>
      <c r="E249" t="s">
        <v>620</v>
      </c>
      <c r="F24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49" t="str">
        <f>IF(tblShipments2[[#This Row],[EGM no]]="", "Missing EGM", "EGM Submitted")</f>
        <v>EGM Submitted</v>
      </c>
      <c r="H249" t="str">
        <f>IF(OR(ISNUMBER(SEARCH("Released",tblShipments2[[#This Row],[ROSL]])),
      ISNUMBER(SEARCH("Scroll",tblShipments2[[#This Row],[ROSL]])),
      ISNUMBER(SEARCH("Y",tblShipments2[[#This Row],[ROSL]]))),
   "Released",
   "Not Released")</f>
        <v>Released</v>
      </c>
      <c r="I249" t="str">
        <f>IF(OR(tblShipments2[[#This Row],[EGM no]]="", tblShipments2[[#This Row],[EGM no]]="N.A."), "Not Submitted", "Submitted")</f>
        <v>Submitted</v>
      </c>
      <c r="J249" t="str">
        <f>IF(LEFT(tblShipments2[[#This Row],[Gateway_Extracted]],2)="IN","Valid","Invalid")</f>
        <v>Valid</v>
      </c>
      <c r="K249" t="s">
        <v>545</v>
      </c>
      <c r="L249" t="s">
        <v>621</v>
      </c>
      <c r="M249" t="s">
        <v>13</v>
      </c>
      <c r="N249" t="s">
        <v>622</v>
      </c>
      <c r="O249" t="str">
        <f>IFERROR("IN" &amp; _xlfn.TEXTBEFORE(_xlfn.TEXTAFTER(UPPER(tblShipments2[[#This Row],[Gateway_clean]]),"IN")," ",1),"")</f>
        <v>INMUN1</v>
      </c>
      <c r="P249" t="str">
        <f>SUBSTITUTE(tblShipments2[[#This Row],[Gateway]], CHAR(10), " ")</f>
        <v xml:space="preserve">AWB No. Gateway Port Gateway EGM No. Gateway EGM Date Gateway Site ID Error Code N.A.  INMUN1  134923  2017-09-12 00:00:00.0  INMUN1  S </v>
      </c>
      <c r="Q249" t="s">
        <v>497</v>
      </c>
    </row>
    <row r="250" spans="1:17" x14ac:dyDescent="0.35">
      <c r="A250" t="s">
        <v>8</v>
      </c>
      <c r="B250">
        <v>8488643</v>
      </c>
      <c r="C250" s="2" t="s">
        <v>615</v>
      </c>
      <c r="D250" s="2" t="str">
        <f>LEFT(TRIM(MID(SUBSTITUTE(tblShipments2[[#This Row],[Details]],CHAR(10)," "), FIND(CHAR(10),tblShipments2[[#This Row],[Details]])+1, 50)), 10)</f>
        <v>0516502832</v>
      </c>
      <c r="E250" t="s">
        <v>623</v>
      </c>
      <c r="F25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0" t="str">
        <f>IF(tblShipments2[[#This Row],[EGM no]]="", "Missing EGM", "EGM Submitted")</f>
        <v>EGM Submitted</v>
      </c>
      <c r="H250" t="str">
        <f>IF(OR(ISNUMBER(SEARCH("Released",tblShipments2[[#This Row],[ROSL]])),
      ISNUMBER(SEARCH("Scroll",tblShipments2[[#This Row],[ROSL]])),
      ISNUMBER(SEARCH("Y",tblShipments2[[#This Row],[ROSL]]))),
   "Released",
   "Not Released")</f>
        <v>Released</v>
      </c>
      <c r="I250" t="str">
        <f>IF(OR(tblShipments2[[#This Row],[EGM no]]="", tblShipments2[[#This Row],[EGM no]]="N.A."), "Not Submitted", "Submitted")</f>
        <v>Submitted</v>
      </c>
      <c r="J250" t="str">
        <f>IF(LEFT(tblShipments2[[#This Row],[Gateway_Extracted]],2)="IN","Valid","Invalid")</f>
        <v>Valid</v>
      </c>
      <c r="K250" t="s">
        <v>624</v>
      </c>
      <c r="L250" t="s">
        <v>625</v>
      </c>
      <c r="M250" t="s">
        <v>626</v>
      </c>
      <c r="N250" t="s">
        <v>627</v>
      </c>
      <c r="O250" t="str">
        <f>IFERROR("IN" &amp; _xlfn.TEXTBEFORE(_xlfn.TEXTAFTER(UPPER(tblShipments2[[#This Row],[Gateway_clean]]),"IN")," ",1),"")</f>
        <v>INNSA1</v>
      </c>
      <c r="P250" t="str">
        <f>SUBSTITUTE(tblShipments2[[#This Row],[Gateway]], CHAR(10), " ")</f>
        <v xml:space="preserve">AWB No. Gateway Port Gateway EGM No. Gateway EGM Date Gateway Site ID Error Code N.A.  INNSA1  134549  2017-09-05 00:00:00.0  INNSA1  S </v>
      </c>
      <c r="Q250" t="s">
        <v>628</v>
      </c>
    </row>
    <row r="251" spans="1:17" x14ac:dyDescent="0.35">
      <c r="A251" t="s">
        <v>8</v>
      </c>
      <c r="B251">
        <v>8493626</v>
      </c>
      <c r="C251" s="2" t="s">
        <v>615</v>
      </c>
      <c r="D251" s="2" t="str">
        <f>LEFT(TRIM(MID(SUBSTITUTE(tblShipments2[[#This Row],[Details]],CHAR(10)," "), FIND(CHAR(10),tblShipments2[[#This Row],[Details]])+1, 50)), 10)</f>
        <v>3311006062</v>
      </c>
      <c r="E251" t="s">
        <v>629</v>
      </c>
      <c r="F25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1" t="str">
        <f>IF(tblShipments2[[#This Row],[EGM no]]="", "Missing EGM", "EGM Submitted")</f>
        <v>EGM Submitted</v>
      </c>
      <c r="H251" t="str">
        <f>IF(OR(ISNUMBER(SEARCH("Released",tblShipments2[[#This Row],[ROSL]])),
      ISNUMBER(SEARCH("Scroll",tblShipments2[[#This Row],[ROSL]])),
      ISNUMBER(SEARCH("Y",tblShipments2[[#This Row],[ROSL]]))),
   "Released",
   "Not Released")</f>
        <v>Released</v>
      </c>
      <c r="I251" t="str">
        <f>IF(OR(tblShipments2[[#This Row],[EGM no]]="", tblShipments2[[#This Row],[EGM no]]="N.A."), "Not Submitted", "Submitted")</f>
        <v>Submitted</v>
      </c>
      <c r="J251" t="str">
        <f>IF(LEFT(tblShipments2[[#This Row],[Gateway_Extracted]],2)="IN","Valid","Invalid")</f>
        <v>Valid</v>
      </c>
      <c r="K251" t="s">
        <v>612</v>
      </c>
      <c r="L251" t="s">
        <v>630</v>
      </c>
      <c r="M251" t="s">
        <v>31</v>
      </c>
      <c r="N251" t="s">
        <v>631</v>
      </c>
      <c r="O251" t="str">
        <f>IFERROR("IN" &amp; _xlfn.TEXTBEFORE(_xlfn.TEXTAFTER(UPPER(tblShipments2[[#This Row],[Gateway_clean]]),"IN")," ",1),"")</f>
        <v>INNSA1</v>
      </c>
      <c r="P251" t="str">
        <f>SUBSTITUTE(tblShipments2[[#This Row],[Gateway]], CHAR(10), " ")</f>
        <v xml:space="preserve">AWB No. Gateway Port Gateway EGM No. Gateway EGM Date Gateway Site ID Error Code N.A.  INNSA1  135239  2017-09-18 00:00:00.0  INNSA1  S </v>
      </c>
      <c r="Q251" t="s">
        <v>632</v>
      </c>
    </row>
    <row r="252" spans="1:17" ht="58" x14ac:dyDescent="0.35">
      <c r="A252" t="s">
        <v>8</v>
      </c>
      <c r="B252">
        <v>8502112</v>
      </c>
      <c r="C252" s="2" t="s">
        <v>633</v>
      </c>
      <c r="D252" s="2" t="str">
        <f>LEFT(TRIM(MID(SUBSTITUTE(tblShipments2[[#This Row],[Details]],CHAR(10)," "), FIND(CHAR(10),tblShipments2[[#This Row],[Details]])+1, 50)), 10)</f>
        <v>0512059152</v>
      </c>
      <c r="E252" s="1" t="s">
        <v>634</v>
      </c>
      <c r="F252" s="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2" s="1" t="str">
        <f>IF(tblShipments2[[#This Row],[EGM no]]="", "Missing EGM", "EGM Submitted")</f>
        <v>EGM Submitted</v>
      </c>
      <c r="H252" s="1" t="str">
        <f>IF(OR(ISNUMBER(SEARCH("Released",tblShipments2[[#This Row],[ROSL]])),
      ISNUMBER(SEARCH("Scroll",tblShipments2[[#This Row],[ROSL]])),
      ISNUMBER(SEARCH("Y",tblShipments2[[#This Row],[ROSL]]))),
   "Released",
   "Not Released")</f>
        <v>Released</v>
      </c>
      <c r="I252" s="1" t="str">
        <f>IF(OR(tblShipments2[[#This Row],[EGM no]]="", tblShipments2[[#This Row],[EGM no]]="N.A."), "Not Submitted", "Submitted")</f>
        <v>Submitted</v>
      </c>
      <c r="J252" s="1" t="str">
        <f>IF(LEFT(tblShipments2[[#This Row],[Gateway_Extracted]],2)="IN","Valid","Invalid")</f>
        <v>Valid</v>
      </c>
      <c r="K252" t="s">
        <v>635</v>
      </c>
      <c r="L252" t="s">
        <v>636</v>
      </c>
      <c r="M252" t="s">
        <v>13</v>
      </c>
      <c r="N252" t="s">
        <v>637</v>
      </c>
      <c r="O252" t="str">
        <f>IFERROR("IN" &amp; _xlfn.TEXTBEFORE(_xlfn.TEXTAFTER(UPPER(tblShipments2[[#This Row],[Gateway_clean]]),"IN")," ",1),"")</f>
        <v>INMUN1</v>
      </c>
      <c r="P252" t="str">
        <f>SUBSTITUTE(tblShipments2[[#This Row],[Gateway]], CHAR(10), " ")</f>
        <v xml:space="preserve">AWB No. Gateway Port Gateway EGM No. Gateway EGM Date Gateway Site ID Error Code N.A.  INMUN1  N.A.  N.A.  N.A.  N.A. </v>
      </c>
      <c r="Q252" t="s">
        <v>244</v>
      </c>
    </row>
    <row r="253" spans="1:17" x14ac:dyDescent="0.35">
      <c r="A253" t="s">
        <v>8</v>
      </c>
      <c r="B253">
        <v>8513208</v>
      </c>
      <c r="C253" s="2" t="s">
        <v>633</v>
      </c>
      <c r="D253" s="2" t="str">
        <f>LEFT(TRIM(MID(SUBSTITUTE(tblShipments2[[#This Row],[Details]],CHAR(10)," "), FIND(CHAR(10),tblShipments2[[#This Row],[Details]])+1, 50)), 10)</f>
        <v>0505032473</v>
      </c>
      <c r="E253" t="s">
        <v>638</v>
      </c>
      <c r="F25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3" t="str">
        <f>IF(tblShipments2[[#This Row],[EGM no]]="", "Missing EGM", "EGM Submitted")</f>
        <v>EGM Submitted</v>
      </c>
      <c r="H253" t="str">
        <f>IF(OR(ISNUMBER(SEARCH("Released",tblShipments2[[#This Row],[ROSL]])),
      ISNUMBER(SEARCH("Scroll",tblShipments2[[#This Row],[ROSL]])),
      ISNUMBER(SEARCH("Y",tblShipments2[[#This Row],[ROSL]]))),
   "Released",
   "Not Released")</f>
        <v>Released</v>
      </c>
      <c r="I253" t="str">
        <f>IF(OR(tblShipments2[[#This Row],[EGM no]]="", tblShipments2[[#This Row],[EGM no]]="N.A."), "Not Submitted", "Submitted")</f>
        <v>Submitted</v>
      </c>
      <c r="J253" t="str">
        <f>IF(LEFT(tblShipments2[[#This Row],[Gateway_Extracted]],2)="IN","Valid","Invalid")</f>
        <v>Valid</v>
      </c>
      <c r="K253" t="s">
        <v>639</v>
      </c>
      <c r="L253" t="s">
        <v>640</v>
      </c>
      <c r="M253" t="s">
        <v>13</v>
      </c>
      <c r="N253" t="s">
        <v>641</v>
      </c>
      <c r="O253" t="str">
        <f>IFERROR("IN" &amp; _xlfn.TEXTBEFORE(_xlfn.TEXTAFTER(UPPER(tblShipments2[[#This Row],[Gateway_clean]]),"IN")," ",1),"")</f>
        <v>INMUN1</v>
      </c>
      <c r="P253" t="str">
        <f>SUBSTITUTE(tblShipments2[[#This Row],[Gateway]], CHAR(10), " ")</f>
        <v xml:space="preserve">AWB No. Gateway Port Gateway EGM No. Gateway EGM Date Gateway Site ID Error Code N.A.  INMUN1  135462  2017-09-20 00:00:00.0  INMUN1  S </v>
      </c>
      <c r="Q253" t="s">
        <v>642</v>
      </c>
    </row>
    <row r="254" spans="1:17" x14ac:dyDescent="0.35">
      <c r="A254" t="s">
        <v>8</v>
      </c>
      <c r="B254">
        <v>8528718</v>
      </c>
      <c r="C254" s="2" t="s">
        <v>643</v>
      </c>
      <c r="D254" s="2" t="str">
        <f>LEFT(TRIM(MID(SUBSTITUTE(tblShipments2[[#This Row],[Details]],CHAR(10)," "), FIND(CHAR(10),tblShipments2[[#This Row],[Details]])+1, 50)), 10)</f>
        <v>AAKFD0331P</v>
      </c>
      <c r="E254" t="s">
        <v>644</v>
      </c>
      <c r="F25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4" t="str">
        <f>IF(tblShipments2[[#This Row],[EGM no]]="", "Missing EGM", "EGM Submitted")</f>
        <v>EGM Submitted</v>
      </c>
      <c r="H254" t="str">
        <f>IF(OR(ISNUMBER(SEARCH("Released",tblShipments2[[#This Row],[ROSL]])),
      ISNUMBER(SEARCH("Scroll",tblShipments2[[#This Row],[ROSL]])),
      ISNUMBER(SEARCH("Y",tblShipments2[[#This Row],[ROSL]]))),
   "Released",
   "Not Released")</f>
        <v>Released</v>
      </c>
      <c r="I254" t="str">
        <f>IF(OR(tblShipments2[[#This Row],[EGM no]]="", tblShipments2[[#This Row],[EGM no]]="N.A."), "Not Submitted", "Submitted")</f>
        <v>Submitted</v>
      </c>
      <c r="J254" t="str">
        <f>IF(LEFT(tblShipments2[[#This Row],[Gateway_Extracted]],2)="IN","Valid","Invalid")</f>
        <v>Valid</v>
      </c>
      <c r="K254" t="s">
        <v>645</v>
      </c>
      <c r="L254" t="s">
        <v>646</v>
      </c>
      <c r="M254" t="s">
        <v>31</v>
      </c>
      <c r="N254" t="s">
        <v>647</v>
      </c>
      <c r="O254" t="str">
        <f>IFERROR("IN" &amp; _xlfn.TEXTBEFORE(_xlfn.TEXTAFTER(UPPER(tblShipments2[[#This Row],[Gateway_clean]]),"IN")," ",1),"")</f>
        <v>INMUN1</v>
      </c>
      <c r="P254" t="str">
        <f>SUBSTITUTE(tblShipments2[[#This Row],[Gateway]], CHAR(10), " ")</f>
        <v xml:space="preserve">AWB No. Gateway Port Gateway EGM No. Gateway EGM Date Gateway Site ID Error Code N.A.  INMUN1  135378  2017-09-19 00:00:00.0  INMUN1  S </v>
      </c>
      <c r="Q254" t="s">
        <v>425</v>
      </c>
    </row>
    <row r="255" spans="1:17" x14ac:dyDescent="0.35">
      <c r="A255" t="s">
        <v>8</v>
      </c>
      <c r="B255">
        <v>8533887</v>
      </c>
      <c r="C255" s="2" t="s">
        <v>643</v>
      </c>
      <c r="D255" s="2" t="str">
        <f>LEFT(TRIM(MID(SUBSTITUTE(tblShipments2[[#This Row],[Details]],CHAR(10)," "), FIND(CHAR(10),tblShipments2[[#This Row],[Details]])+1, 50)), 10)</f>
        <v>0512067872</v>
      </c>
      <c r="E255" t="s">
        <v>648</v>
      </c>
      <c r="F25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5" t="str">
        <f>IF(tblShipments2[[#This Row],[EGM no]]="", "Missing EGM", "EGM Submitted")</f>
        <v>EGM Submitted</v>
      </c>
      <c r="H255" t="str">
        <f>IF(OR(ISNUMBER(SEARCH("Released",tblShipments2[[#This Row],[ROSL]])),
      ISNUMBER(SEARCH("Scroll",tblShipments2[[#This Row],[ROSL]])),
      ISNUMBER(SEARCH("Y",tblShipments2[[#This Row],[ROSL]]))),
   "Released",
   "Not Released")</f>
        <v>Released</v>
      </c>
      <c r="I255" t="str">
        <f>IF(OR(tblShipments2[[#This Row],[EGM no]]="", tblShipments2[[#This Row],[EGM no]]="N.A."), "Not Submitted", "Submitted")</f>
        <v>Submitted</v>
      </c>
      <c r="J255" t="str">
        <f>IF(LEFT(tblShipments2[[#This Row],[Gateway_Extracted]],2)="IN","Valid","Invalid")</f>
        <v>Valid</v>
      </c>
      <c r="K255" t="s">
        <v>635</v>
      </c>
      <c r="L255" t="s">
        <v>649</v>
      </c>
      <c r="M255" t="s">
        <v>13</v>
      </c>
      <c r="N255" t="s">
        <v>650</v>
      </c>
      <c r="O255" t="str">
        <f>IFERROR("IN" &amp; _xlfn.TEXTBEFORE(_xlfn.TEXTAFTER(UPPER(tblShipments2[[#This Row],[Gateway_clean]]),"IN")," ",1),"")</f>
        <v>INNSA1</v>
      </c>
      <c r="P255" t="str">
        <f>SUBSTITUTE(tblShipments2[[#This Row],[Gateway]], CHAR(10), " ")</f>
        <v xml:space="preserve">AWB No. Gateway Port Gateway EGM No. Gateway EGM Date Gateway Site ID Error Code N.A.  INNSA1  134930  2017-09-12 00:00:00.0  INNSA1  C </v>
      </c>
      <c r="Q255" t="s">
        <v>651</v>
      </c>
    </row>
    <row r="256" spans="1:17" x14ac:dyDescent="0.35">
      <c r="A256" t="s">
        <v>8</v>
      </c>
      <c r="B256">
        <v>8551635</v>
      </c>
      <c r="C256" s="2" t="s">
        <v>652</v>
      </c>
      <c r="D256" s="2" t="str">
        <f>LEFT(TRIM(MID(SUBSTITUTE(tblShipments2[[#This Row],[Details]],CHAR(10)," "), FIND(CHAR(10),tblShipments2[[#This Row],[Details]])+1, 50)), 10)</f>
        <v>0511087098</v>
      </c>
      <c r="E256" t="s">
        <v>653</v>
      </c>
      <c r="F25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6" t="str">
        <f>IF(tblShipments2[[#This Row],[EGM no]]="", "Missing EGM", "EGM Submitted")</f>
        <v>EGM Submitted</v>
      </c>
      <c r="H256" t="str">
        <f>IF(OR(ISNUMBER(SEARCH("Released",tblShipments2[[#This Row],[ROSL]])),
      ISNUMBER(SEARCH("Scroll",tblShipments2[[#This Row],[ROSL]])),
      ISNUMBER(SEARCH("Y",tblShipments2[[#This Row],[ROSL]]))),
   "Released",
   "Not Released")</f>
        <v>Released</v>
      </c>
      <c r="I256" t="str">
        <f>IF(OR(tblShipments2[[#This Row],[EGM no]]="", tblShipments2[[#This Row],[EGM no]]="N.A."), "Not Submitted", "Submitted")</f>
        <v>Submitted</v>
      </c>
      <c r="J256" t="str">
        <f>IF(LEFT(tblShipments2[[#This Row],[Gateway_Extracted]],2)="IN","Valid","Invalid")</f>
        <v>Valid</v>
      </c>
      <c r="K256" t="s">
        <v>654</v>
      </c>
      <c r="L256" t="s">
        <v>655</v>
      </c>
      <c r="M256" t="s">
        <v>31</v>
      </c>
      <c r="N256" t="s">
        <v>656</v>
      </c>
      <c r="O256" t="str">
        <f>IFERROR("IN" &amp; _xlfn.TEXTBEFORE(_xlfn.TEXTAFTER(UPPER(tblShipments2[[#This Row],[Gateway_clean]]),"IN")," ",1),"")</f>
        <v>INNSA1</v>
      </c>
      <c r="P256" t="str">
        <f>SUBSTITUTE(tblShipments2[[#This Row],[Gateway]], CHAR(10), " ")</f>
        <v xml:space="preserve">AWB No. Gateway Port Gateway EGM No. Gateway EGM Date Gateway Site ID Error Code N.A.  INNSA1  N.A.  N.A.  N.A.  N.A. </v>
      </c>
      <c r="Q256" t="s">
        <v>26</v>
      </c>
    </row>
    <row r="257" spans="1:17" x14ac:dyDescent="0.35">
      <c r="A257" t="s">
        <v>8</v>
      </c>
      <c r="B257">
        <v>8576060</v>
      </c>
      <c r="C257" s="2" t="s">
        <v>657</v>
      </c>
      <c r="D257" s="2" t="str">
        <f>LEFT(TRIM(MID(SUBSTITUTE(tblShipments2[[#This Row],[Details]],CHAR(10)," "), FIND(CHAR(10),tblShipments2[[#This Row],[Details]])+1, 50)), 10)</f>
        <v>3104003254</v>
      </c>
      <c r="E257" t="s">
        <v>658</v>
      </c>
      <c r="F25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7" t="str">
        <f>IF(tblShipments2[[#This Row],[EGM no]]="", "Missing EGM", "EGM Submitted")</f>
        <v>EGM Submitted</v>
      </c>
      <c r="H257" t="str">
        <f>IF(OR(ISNUMBER(SEARCH("Released",tblShipments2[[#This Row],[ROSL]])),
      ISNUMBER(SEARCH("Scroll",tblShipments2[[#This Row],[ROSL]])),
      ISNUMBER(SEARCH("Y",tblShipments2[[#This Row],[ROSL]]))),
   "Released",
   "Not Released")</f>
        <v>Released</v>
      </c>
      <c r="I257" t="str">
        <f>IF(OR(tblShipments2[[#This Row],[EGM no]]="", tblShipments2[[#This Row],[EGM no]]="N.A."), "Not Submitted", "Submitted")</f>
        <v>Submitted</v>
      </c>
      <c r="J257" t="str">
        <f>IF(LEFT(tblShipments2[[#This Row],[Gateway_Extracted]],2)="IN","Valid","Invalid")</f>
        <v>Valid</v>
      </c>
      <c r="K257" t="s">
        <v>659</v>
      </c>
      <c r="L257" t="s">
        <v>660</v>
      </c>
      <c r="M257" t="s">
        <v>13</v>
      </c>
      <c r="N257" t="s">
        <v>661</v>
      </c>
      <c r="O257" t="str">
        <f>IFERROR("IN" &amp; _xlfn.TEXTBEFORE(_xlfn.TEXTAFTER(UPPER(tblShipments2[[#This Row],[Gateway_clean]]),"IN")," ",1),"")</f>
        <v>INMUN1</v>
      </c>
      <c r="P257" t="str">
        <f>SUBSTITUTE(tblShipments2[[#This Row],[Gateway]], CHAR(10), " ")</f>
        <v xml:space="preserve">AWB No. Gateway Port Gateway EGM No. Gateway EGM Date Gateway Site ID Error Code N.A.  INMUN1  135461  2017-09-20 00:00:00.0  INMUN1  S </v>
      </c>
      <c r="Q257" t="s">
        <v>662</v>
      </c>
    </row>
    <row r="258" spans="1:17" x14ac:dyDescent="0.35">
      <c r="A258" t="s">
        <v>8</v>
      </c>
      <c r="B258">
        <v>8579468</v>
      </c>
      <c r="C258" s="2" t="s">
        <v>657</v>
      </c>
      <c r="D258" s="2" t="str">
        <f>LEFT(TRIM(MID(SUBSTITUTE(tblShipments2[[#This Row],[Details]],CHAR(10)," "), FIND(CHAR(10),tblShipments2[[#This Row],[Details]])+1, 50)), 10)</f>
        <v>0589053850</v>
      </c>
      <c r="E258" t="s">
        <v>663</v>
      </c>
      <c r="F25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8" t="str">
        <f>IF(tblShipments2[[#This Row],[EGM no]]="", "Missing EGM", "EGM Submitted")</f>
        <v>EGM Submitted</v>
      </c>
      <c r="H258" t="str">
        <f>IF(OR(ISNUMBER(SEARCH("Released",tblShipments2[[#This Row],[ROSL]])),
      ISNUMBER(SEARCH("Scroll",tblShipments2[[#This Row],[ROSL]])),
      ISNUMBER(SEARCH("Y",tblShipments2[[#This Row],[ROSL]]))),
   "Released",
   "Not Released")</f>
        <v>Released</v>
      </c>
      <c r="I258" t="str">
        <f>IF(OR(tblShipments2[[#This Row],[EGM no]]="", tblShipments2[[#This Row],[EGM no]]="N.A."), "Not Submitted", "Submitted")</f>
        <v>Submitted</v>
      </c>
      <c r="J258" t="str">
        <f>IF(LEFT(tblShipments2[[#This Row],[Gateway_Extracted]],2)="IN","Valid","Invalid")</f>
        <v>Valid</v>
      </c>
      <c r="K258" t="s">
        <v>664</v>
      </c>
      <c r="L258" t="s">
        <v>665</v>
      </c>
      <c r="M258" t="s">
        <v>13</v>
      </c>
      <c r="N258" t="s">
        <v>666</v>
      </c>
      <c r="O258" t="str">
        <f>IFERROR("IN" &amp; _xlfn.TEXTBEFORE(_xlfn.TEXTAFTER(UPPER(tblShipments2[[#This Row],[Gateway_clean]]),"IN")," ",1),"")</f>
        <v>INNSA1</v>
      </c>
      <c r="P258" t="str">
        <f>SUBSTITUTE(tblShipments2[[#This Row],[Gateway]], CHAR(10), " ")</f>
        <v xml:space="preserve">AWB No. Gateway Port Gateway EGM No. Gateway EGM Date Gateway Site ID Error Code N.A.  INNSA1  134711  2017-09-07 00:00:00.0  INNSA1  ST </v>
      </c>
      <c r="Q258" t="s">
        <v>667</v>
      </c>
    </row>
    <row r="259" spans="1:17" x14ac:dyDescent="0.35">
      <c r="A259" t="s">
        <v>8</v>
      </c>
      <c r="B259">
        <v>8581999</v>
      </c>
      <c r="C259" s="2" t="s">
        <v>657</v>
      </c>
      <c r="D259" s="2" t="str">
        <f>LEFT(TRIM(MID(SUBSTITUTE(tblShipments2[[#This Row],[Details]],CHAR(10)," "), FIND(CHAR(10),tblShipments2[[#This Row],[Details]])+1, 50)), 10)</f>
        <v>0515060291</v>
      </c>
      <c r="E259" t="s">
        <v>668</v>
      </c>
      <c r="F25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59" t="str">
        <f>IF(tblShipments2[[#This Row],[EGM no]]="", "Missing EGM", "EGM Submitted")</f>
        <v>EGM Submitted</v>
      </c>
      <c r="H259" t="str">
        <f>IF(OR(ISNUMBER(SEARCH("Released",tblShipments2[[#This Row],[ROSL]])),
      ISNUMBER(SEARCH("Scroll",tblShipments2[[#This Row],[ROSL]])),
      ISNUMBER(SEARCH("Y",tblShipments2[[#This Row],[ROSL]]))),
   "Released",
   "Not Released")</f>
        <v>Released</v>
      </c>
      <c r="I259" t="str">
        <f>IF(OR(tblShipments2[[#This Row],[EGM no]]="", tblShipments2[[#This Row],[EGM no]]="N.A."), "Not Submitted", "Submitted")</f>
        <v>Submitted</v>
      </c>
      <c r="J259" t="str">
        <f>IF(LEFT(tblShipments2[[#This Row],[Gateway_Extracted]],2)="IN","Valid","Invalid")</f>
        <v>Valid</v>
      </c>
      <c r="K259" t="s">
        <v>669</v>
      </c>
      <c r="L259" t="s">
        <v>670</v>
      </c>
      <c r="M259" t="s">
        <v>13</v>
      </c>
      <c r="N259" t="s">
        <v>671</v>
      </c>
      <c r="O259" t="str">
        <f>IFERROR("IN" &amp; _xlfn.TEXTBEFORE(_xlfn.TEXTAFTER(UPPER(tblShipments2[[#This Row],[Gateway_clean]]),"IN")," ",1),"")</f>
        <v>INNSA1</v>
      </c>
      <c r="P259" t="str">
        <f>SUBSTITUTE(tblShipments2[[#This Row],[Gateway]], CHAR(10), " ")</f>
        <v xml:space="preserve">AWB No. Gateway Port Gateway EGM No. Gateway EGM Date Gateway Site ID Error Code N.A.  INNSA1  135192  2017-09-15 00:00:00.0  INNSA1  S </v>
      </c>
      <c r="Q259" t="s">
        <v>672</v>
      </c>
    </row>
    <row r="260" spans="1:17" x14ac:dyDescent="0.35">
      <c r="A260" t="s">
        <v>8</v>
      </c>
      <c r="B260">
        <v>8584007</v>
      </c>
      <c r="C260" s="2" t="s">
        <v>657</v>
      </c>
      <c r="D260" s="2" t="str">
        <f>LEFT(TRIM(MID(SUBSTITUTE(tblShipments2[[#This Row],[Details]],CHAR(10)," "), FIND(CHAR(10),tblShipments2[[#This Row],[Details]])+1, 50)), 10)</f>
        <v>0507051360</v>
      </c>
      <c r="E260" t="s">
        <v>673</v>
      </c>
      <c r="F26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0" t="str">
        <f>IF(tblShipments2[[#This Row],[EGM no]]="", "Missing EGM", "EGM Submitted")</f>
        <v>EGM Submitted</v>
      </c>
      <c r="H260" t="str">
        <f>IF(OR(ISNUMBER(SEARCH("Released",tblShipments2[[#This Row],[ROSL]])),
      ISNUMBER(SEARCH("Scroll",tblShipments2[[#This Row],[ROSL]])),
      ISNUMBER(SEARCH("Y",tblShipments2[[#This Row],[ROSL]]))),
   "Released",
   "Not Released")</f>
        <v>Released</v>
      </c>
      <c r="I260" t="str">
        <f>IF(OR(tblShipments2[[#This Row],[EGM no]]="", tblShipments2[[#This Row],[EGM no]]="N.A."), "Not Submitted", "Submitted")</f>
        <v>Submitted</v>
      </c>
      <c r="J260" t="str">
        <f>IF(LEFT(tblShipments2[[#This Row],[Gateway_Extracted]],2)="IN","Valid","Invalid")</f>
        <v>Valid</v>
      </c>
      <c r="K260" t="s">
        <v>674</v>
      </c>
      <c r="L260" t="s">
        <v>655</v>
      </c>
      <c r="M260" t="s">
        <v>13</v>
      </c>
      <c r="N260" t="s">
        <v>675</v>
      </c>
      <c r="O260" t="str">
        <f>IFERROR("IN" &amp; _xlfn.TEXTBEFORE(_xlfn.TEXTAFTER(UPPER(tblShipments2[[#This Row],[Gateway_clean]]),"IN")," ",1),"")</f>
        <v>INNSA1</v>
      </c>
      <c r="P260" t="str">
        <f>SUBSTITUTE(tblShipments2[[#This Row],[Gateway]], CHAR(10), " ")</f>
        <v xml:space="preserve">AWB No. Gateway Port Gateway EGM No. Gateway EGM Date Gateway Site ID Error Code N.A.  INNSA1  135086  2017-09-14 00:00:00.0  INNSA1  S </v>
      </c>
      <c r="Q260" t="s">
        <v>676</v>
      </c>
    </row>
    <row r="261" spans="1:17" x14ac:dyDescent="0.35">
      <c r="A261" t="s">
        <v>8</v>
      </c>
      <c r="B261">
        <v>8584704</v>
      </c>
      <c r="C261" s="2" t="s">
        <v>657</v>
      </c>
      <c r="D261" s="2" t="str">
        <f>LEFT(TRIM(MID(SUBSTITUTE(tblShipments2[[#This Row],[Details]],CHAR(10)," "), FIND(CHAR(10),tblShipments2[[#This Row],[Details]])+1, 50)), 10)</f>
        <v>0507023722</v>
      </c>
      <c r="E261" t="s">
        <v>677</v>
      </c>
      <c r="F26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1" t="str">
        <f>IF(tblShipments2[[#This Row],[EGM no]]="", "Missing EGM", "EGM Submitted")</f>
        <v>EGM Submitted</v>
      </c>
      <c r="H261" t="str">
        <f>IF(OR(ISNUMBER(SEARCH("Released",tblShipments2[[#This Row],[ROSL]])),
      ISNUMBER(SEARCH("Scroll",tblShipments2[[#This Row],[ROSL]])),
      ISNUMBER(SEARCH("Y",tblShipments2[[#This Row],[ROSL]]))),
   "Released",
   "Not Released")</f>
        <v>Released</v>
      </c>
      <c r="I261" t="str">
        <f>IF(OR(tblShipments2[[#This Row],[EGM no]]="", tblShipments2[[#This Row],[EGM no]]="N.A."), "Not Submitted", "Submitted")</f>
        <v>Submitted</v>
      </c>
      <c r="J261" t="str">
        <f>IF(LEFT(tblShipments2[[#This Row],[Gateway_Extracted]],2)="IN","Valid","Invalid")</f>
        <v>Valid</v>
      </c>
      <c r="K261" t="s">
        <v>562</v>
      </c>
      <c r="L261" t="s">
        <v>678</v>
      </c>
      <c r="M261" t="s">
        <v>31</v>
      </c>
      <c r="N261" t="s">
        <v>679</v>
      </c>
      <c r="O261" t="str">
        <f>IFERROR("IN" &amp; _xlfn.TEXTBEFORE(_xlfn.TEXTAFTER(UPPER(tblShipments2[[#This Row],[Gateway_clean]]),"IN")," ",1),"")</f>
        <v>INNSA1</v>
      </c>
      <c r="P261" t="str">
        <f>SUBSTITUTE(tblShipments2[[#This Row],[Gateway]], CHAR(10), " ")</f>
        <v xml:space="preserve">AWB No. Gateway Port Gateway EGM No. Gateway EGM Date Gateway Site ID Error Code N.A.  INNSA1  134938  2017-09-12 00:00:00.0  INNSA1  S </v>
      </c>
      <c r="Q261" t="s">
        <v>680</v>
      </c>
    </row>
    <row r="262" spans="1:17" x14ac:dyDescent="0.35">
      <c r="A262" t="s">
        <v>8</v>
      </c>
      <c r="B262">
        <v>8600398</v>
      </c>
      <c r="C262" s="2" t="s">
        <v>681</v>
      </c>
      <c r="D262" s="2" t="str">
        <f>LEFT(TRIM(MID(SUBSTITUTE(tblShipments2[[#This Row],[Details]],CHAR(10)," "), FIND(CHAR(10),tblShipments2[[#This Row],[Details]])+1, 50)), 10)</f>
        <v>0506004830</v>
      </c>
      <c r="E262" t="s">
        <v>682</v>
      </c>
      <c r="F26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2" t="str">
        <f>IF(tblShipments2[[#This Row],[EGM no]]="", "Missing EGM", "EGM Submitted")</f>
        <v>EGM Submitted</v>
      </c>
      <c r="H262" t="str">
        <f>IF(OR(ISNUMBER(SEARCH("Released",tblShipments2[[#This Row],[ROSL]])),
      ISNUMBER(SEARCH("Scroll",tblShipments2[[#This Row],[ROSL]])),
      ISNUMBER(SEARCH("Y",tblShipments2[[#This Row],[ROSL]]))),
   "Released",
   "Not Released")</f>
        <v>Released</v>
      </c>
      <c r="I262" t="str">
        <f>IF(OR(tblShipments2[[#This Row],[EGM no]]="", tblShipments2[[#This Row],[EGM no]]="N.A."), "Not Submitted", "Submitted")</f>
        <v>Submitted</v>
      </c>
      <c r="J262" t="str">
        <f>IF(LEFT(tblShipments2[[#This Row],[Gateway_Extracted]],2)="IN","Valid","Invalid")</f>
        <v>Valid</v>
      </c>
      <c r="K262" t="s">
        <v>659</v>
      </c>
      <c r="L262" t="s">
        <v>655</v>
      </c>
      <c r="M262" t="s">
        <v>13</v>
      </c>
      <c r="N262" t="s">
        <v>683</v>
      </c>
      <c r="O262" t="str">
        <f>IFERROR("IN" &amp; _xlfn.TEXTBEFORE(_xlfn.TEXTAFTER(UPPER(tblShipments2[[#This Row],[Gateway_clean]]),"IN")," ",1),"")</f>
        <v>INNSA1</v>
      </c>
      <c r="P262" t="str">
        <f>SUBSTITUTE(tblShipments2[[#This Row],[Gateway]], CHAR(10), " ")</f>
        <v xml:space="preserve">AWB No. Gateway Port Gateway EGM No. Gateway EGM Date Gateway Site ID Error Code N.A.  INNSA1  N.A.  N.A.  N.A.  N.A. </v>
      </c>
      <c r="Q262" t="s">
        <v>26</v>
      </c>
    </row>
    <row r="263" spans="1:17" x14ac:dyDescent="0.35">
      <c r="A263" t="s">
        <v>8</v>
      </c>
      <c r="B263">
        <v>8602587</v>
      </c>
      <c r="C263" s="2" t="s">
        <v>681</v>
      </c>
      <c r="D263" s="2" t="str">
        <f>LEFT(TRIM(MID(SUBSTITUTE(tblShipments2[[#This Row],[Details]],CHAR(10)," "), FIND(CHAR(10),tblShipments2[[#This Row],[Details]])+1, 50)), 10)</f>
        <v>1314000233</v>
      </c>
      <c r="E263" t="s">
        <v>684</v>
      </c>
      <c r="F26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3" t="str">
        <f>IF(tblShipments2[[#This Row],[EGM no]]="", "Missing EGM", "EGM Submitted")</f>
        <v>EGM Submitted</v>
      </c>
      <c r="H263" t="str">
        <f>IF(OR(ISNUMBER(SEARCH("Released",tblShipments2[[#This Row],[ROSL]])),
      ISNUMBER(SEARCH("Scroll",tblShipments2[[#This Row],[ROSL]])),
      ISNUMBER(SEARCH("Y",tblShipments2[[#This Row],[ROSL]]))),
   "Released",
   "Not Released")</f>
        <v>Released</v>
      </c>
      <c r="I263" t="str">
        <f>IF(OR(tblShipments2[[#This Row],[EGM no]]="", tblShipments2[[#This Row],[EGM no]]="N.A."), "Not Submitted", "Submitted")</f>
        <v>Submitted</v>
      </c>
      <c r="J263" t="str">
        <f>IF(LEFT(tblShipments2[[#This Row],[Gateway_Extracted]],2)="IN","Valid","Invalid")</f>
        <v>Valid</v>
      </c>
      <c r="K263" t="s">
        <v>685</v>
      </c>
      <c r="L263" t="s">
        <v>686</v>
      </c>
      <c r="M263" t="s">
        <v>13</v>
      </c>
      <c r="N263" t="s">
        <v>687</v>
      </c>
      <c r="O263" t="str">
        <f>IFERROR("IN" &amp; _xlfn.TEXTBEFORE(_xlfn.TEXTAFTER(UPPER(tblShipments2[[#This Row],[Gateway_clean]]),"IN")," ",1),"")</f>
        <v>INNSA1</v>
      </c>
      <c r="P263" t="str">
        <f>SUBSTITUTE(tblShipments2[[#This Row],[Gateway]], CHAR(10), " ")</f>
        <v xml:space="preserve">AWB No. Gateway Port Gateway EGM No. Gateway EGM Date Gateway Site ID Error Code N.A.  INNSA1  134766  2017-09-08 00:00:00.0  INNSA1  S </v>
      </c>
      <c r="Q263" t="s">
        <v>688</v>
      </c>
    </row>
    <row r="264" spans="1:17" x14ac:dyDescent="0.35">
      <c r="A264" t="s">
        <v>8</v>
      </c>
      <c r="B264">
        <v>8605254</v>
      </c>
      <c r="C264" s="2" t="s">
        <v>681</v>
      </c>
      <c r="D264" s="2" t="str">
        <f>LEFT(TRIM(MID(SUBSTITUTE(tblShipments2[[#This Row],[Details]],CHAR(10)," "), FIND(CHAR(10),tblShipments2[[#This Row],[Details]])+1, 50)), 10)</f>
        <v>0515920274</v>
      </c>
      <c r="E264" t="s">
        <v>689</v>
      </c>
      <c r="F26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4" t="str">
        <f>IF(tblShipments2[[#This Row],[EGM no]]="", "Missing EGM", "EGM Submitted")</f>
        <v>EGM Submitted</v>
      </c>
      <c r="H264" t="str">
        <f>IF(OR(ISNUMBER(SEARCH("Released",tblShipments2[[#This Row],[ROSL]])),
      ISNUMBER(SEARCH("Scroll",tblShipments2[[#This Row],[ROSL]])),
      ISNUMBER(SEARCH("Y",tblShipments2[[#This Row],[ROSL]]))),
   "Released",
   "Not Released")</f>
        <v>Released</v>
      </c>
      <c r="I264" t="str">
        <f>IF(OR(tblShipments2[[#This Row],[EGM no]]="", tblShipments2[[#This Row],[EGM no]]="N.A."), "Not Submitted", "Submitted")</f>
        <v>Submitted</v>
      </c>
      <c r="J264" t="str">
        <f>IF(LEFT(tblShipments2[[#This Row],[Gateway_Extracted]],2)="IN","Valid","Invalid")</f>
        <v>Valid</v>
      </c>
      <c r="K264" t="s">
        <v>645</v>
      </c>
      <c r="L264" t="s">
        <v>690</v>
      </c>
      <c r="M264" t="s">
        <v>31</v>
      </c>
      <c r="N264" t="s">
        <v>691</v>
      </c>
      <c r="O264" t="str">
        <f>IFERROR("IN" &amp; _xlfn.TEXTBEFORE(_xlfn.TEXTAFTER(UPPER(tblShipments2[[#This Row],[Gateway_clean]]),"IN")," ",1),"")</f>
        <v>INNSA1</v>
      </c>
      <c r="P264" t="str">
        <f>SUBSTITUTE(tblShipments2[[#This Row],[Gateway]], CHAR(10), " ")</f>
        <v xml:space="preserve">AWB No. Gateway Port Gateway EGM No. Gateway EGM Date Gateway Site ID Error Code N.A.  INNSA1  135065  2017-09-14 00:00:00.0  INNSA1  S </v>
      </c>
      <c r="Q264" t="s">
        <v>692</v>
      </c>
    </row>
    <row r="265" spans="1:17" x14ac:dyDescent="0.35">
      <c r="A265" t="s">
        <v>8</v>
      </c>
      <c r="B265">
        <v>8607213</v>
      </c>
      <c r="C265" s="2" t="s">
        <v>681</v>
      </c>
      <c r="D265" s="2" t="str">
        <f>LEFT(TRIM(MID(SUBSTITUTE(tblShipments2[[#This Row],[Details]],CHAR(10)," "), FIND(CHAR(10),tblShipments2[[#This Row],[Details]])+1, 50)), 10)</f>
        <v>0513013261</v>
      </c>
      <c r="E265" t="s">
        <v>693</v>
      </c>
      <c r="F26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5" t="str">
        <f>IF(tblShipments2[[#This Row],[EGM no]]="", "Missing EGM", "EGM Submitted")</f>
        <v>EGM Submitted</v>
      </c>
      <c r="H265" t="str">
        <f>IF(OR(ISNUMBER(SEARCH("Released",tblShipments2[[#This Row],[ROSL]])),
      ISNUMBER(SEARCH("Scroll",tblShipments2[[#This Row],[ROSL]])),
      ISNUMBER(SEARCH("Y",tblShipments2[[#This Row],[ROSL]]))),
   "Released",
   "Not Released")</f>
        <v>Released</v>
      </c>
      <c r="I265" t="str">
        <f>IF(OR(tblShipments2[[#This Row],[EGM no]]="", tblShipments2[[#This Row],[EGM no]]="N.A."), "Not Submitted", "Submitted")</f>
        <v>Submitted</v>
      </c>
      <c r="J265" t="str">
        <f>IF(LEFT(tblShipments2[[#This Row],[Gateway_Extracted]],2)="IN","Valid","Invalid")</f>
        <v>Valid</v>
      </c>
      <c r="K265" t="s">
        <v>694</v>
      </c>
      <c r="L265" t="s">
        <v>695</v>
      </c>
      <c r="M265" t="s">
        <v>13</v>
      </c>
      <c r="N265" t="s">
        <v>696</v>
      </c>
      <c r="O265" t="str">
        <f>IFERROR("IN" &amp; _xlfn.TEXTBEFORE(_xlfn.TEXTAFTER(UPPER(tblShipments2[[#This Row],[Gateway_clean]]),"IN")," ",1),"")</f>
        <v>INMUN1</v>
      </c>
      <c r="P265" t="str">
        <f>SUBSTITUTE(tblShipments2[[#This Row],[Gateway]], CHAR(10), " ")</f>
        <v xml:space="preserve">AWB No. Gateway Port Gateway EGM No. Gateway EGM Date Gateway Site ID Error Code N.A.  INMUN1  135995  2017-09-28 00:00:00.0  INMUN1  S </v>
      </c>
      <c r="Q265" t="s">
        <v>697</v>
      </c>
    </row>
    <row r="266" spans="1:17" x14ac:dyDescent="0.35">
      <c r="A266" t="s">
        <v>8</v>
      </c>
      <c r="B266">
        <v>8607674</v>
      </c>
      <c r="C266" s="2" t="s">
        <v>681</v>
      </c>
      <c r="D266" s="2" t="str">
        <f>LEFT(TRIM(MID(SUBSTITUTE(tblShipments2[[#This Row],[Details]],CHAR(10)," "), FIND(CHAR(10),tblShipments2[[#This Row],[Details]])+1, 50)), 10)</f>
        <v>0709012331</v>
      </c>
      <c r="E266" t="s">
        <v>698</v>
      </c>
      <c r="F26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6" t="str">
        <f>IF(tblShipments2[[#This Row],[EGM no]]="", "Missing EGM", "EGM Submitted")</f>
        <v>EGM Submitted</v>
      </c>
      <c r="H266" t="str">
        <f>IF(OR(ISNUMBER(SEARCH("Released",tblShipments2[[#This Row],[ROSL]])),
      ISNUMBER(SEARCH("Scroll",tblShipments2[[#This Row],[ROSL]])),
      ISNUMBER(SEARCH("Y",tblShipments2[[#This Row],[ROSL]]))),
   "Released",
   "Not Released")</f>
        <v>Released</v>
      </c>
      <c r="I266" t="str">
        <f>IF(OR(tblShipments2[[#This Row],[EGM no]]="", tblShipments2[[#This Row],[EGM no]]="N.A."), "Not Submitted", "Submitted")</f>
        <v>Submitted</v>
      </c>
      <c r="J266" t="str">
        <f>IF(LEFT(tblShipments2[[#This Row],[Gateway_Extracted]],2)="IN","Valid","Invalid")</f>
        <v>Valid</v>
      </c>
      <c r="K266" t="s">
        <v>699</v>
      </c>
      <c r="L266" t="s">
        <v>700</v>
      </c>
      <c r="M266" t="s">
        <v>13</v>
      </c>
      <c r="N266" t="s">
        <v>701</v>
      </c>
      <c r="O266" t="str">
        <f>IFERROR("IN" &amp; _xlfn.TEXTBEFORE(_xlfn.TEXTAFTER(UPPER(tblShipments2[[#This Row],[Gateway_clean]]),"IN")," ",1),"")</f>
        <v>INNSA1</v>
      </c>
      <c r="P266" t="str">
        <f>SUBSTITUTE(tblShipments2[[#This Row],[Gateway]], CHAR(10), " ")</f>
        <v xml:space="preserve">AWB No. Gateway Port Gateway EGM No. Gateway EGM Date Gateway Site ID Error Code N.A.  INNSA1  N.A.  N.A.  N.A.  N.A. </v>
      </c>
      <c r="Q266" t="s">
        <v>26</v>
      </c>
    </row>
    <row r="267" spans="1:17" x14ac:dyDescent="0.35">
      <c r="A267" t="s">
        <v>8</v>
      </c>
      <c r="B267">
        <v>8608392</v>
      </c>
      <c r="C267" s="2" t="s">
        <v>681</v>
      </c>
      <c r="D267" s="2" t="str">
        <f>LEFT(TRIM(MID(SUBSTITUTE(tblShipments2[[#This Row],[Details]],CHAR(10)," "), FIND(CHAR(10),tblShipments2[[#This Row],[Details]])+1, 50)), 10)</f>
        <v>AAECE6932C</v>
      </c>
      <c r="E267" t="s">
        <v>702</v>
      </c>
      <c r="F26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7" t="str">
        <f>IF(tblShipments2[[#This Row],[EGM no]]="", "Missing EGM", "EGM Submitted")</f>
        <v>EGM Submitted</v>
      </c>
      <c r="H267" t="str">
        <f>IF(OR(ISNUMBER(SEARCH("Released",tblShipments2[[#This Row],[ROSL]])),
      ISNUMBER(SEARCH("Scroll",tblShipments2[[#This Row],[ROSL]])),
      ISNUMBER(SEARCH("Y",tblShipments2[[#This Row],[ROSL]]))),
   "Released",
   "Not Released")</f>
        <v>Released</v>
      </c>
      <c r="I267" t="str">
        <f>IF(OR(tblShipments2[[#This Row],[EGM no]]="", tblShipments2[[#This Row],[EGM no]]="N.A."), "Not Submitted", "Submitted")</f>
        <v>Submitted</v>
      </c>
      <c r="J267" t="str">
        <f>IF(LEFT(tblShipments2[[#This Row],[Gateway_Extracted]],2)="IN","Valid","Invalid")</f>
        <v>Valid</v>
      </c>
      <c r="K267" t="s">
        <v>664</v>
      </c>
      <c r="L267" t="s">
        <v>703</v>
      </c>
      <c r="M267" t="s">
        <v>704</v>
      </c>
      <c r="N267" t="s">
        <v>705</v>
      </c>
      <c r="O267" t="str">
        <f>IFERROR("IN" &amp; _xlfn.TEXTBEFORE(_xlfn.TEXTAFTER(UPPER(tblShipments2[[#This Row],[Gateway_clean]]),"IN")," ",1),"")</f>
        <v>INPAV1</v>
      </c>
      <c r="P267" t="str">
        <f>SUBSTITUTE(tblShipments2[[#This Row],[Gateway]], CHAR(10), " ")</f>
        <v xml:space="preserve">AWB No. Gateway Port Gateway EGM No. Gateway EGM Date Gateway Site ID Error Code N.A.  INPAV1  134063  2017-08-28 00:00:00.0  INPAV1  S </v>
      </c>
      <c r="Q267" t="s">
        <v>706</v>
      </c>
    </row>
    <row r="268" spans="1:17" x14ac:dyDescent="0.35">
      <c r="A268" t="s">
        <v>8</v>
      </c>
      <c r="B268">
        <v>8608445</v>
      </c>
      <c r="C268" s="2" t="s">
        <v>681</v>
      </c>
      <c r="D268" s="2" t="str">
        <f>LEFT(TRIM(MID(SUBSTITUTE(tblShipments2[[#This Row],[Details]],CHAR(10)," "), FIND(CHAR(10),tblShipments2[[#This Row],[Details]])+1, 50)), 10)</f>
        <v>AAECE6932C</v>
      </c>
      <c r="E268" t="s">
        <v>707</v>
      </c>
      <c r="F26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8" t="str">
        <f>IF(tblShipments2[[#This Row],[EGM no]]="", "Missing EGM", "EGM Submitted")</f>
        <v>EGM Submitted</v>
      </c>
      <c r="H268" t="str">
        <f>IF(OR(ISNUMBER(SEARCH("Released",tblShipments2[[#This Row],[ROSL]])),
      ISNUMBER(SEARCH("Scroll",tblShipments2[[#This Row],[ROSL]])),
      ISNUMBER(SEARCH("Y",tblShipments2[[#This Row],[ROSL]]))),
   "Released",
   "Not Released")</f>
        <v>Released</v>
      </c>
      <c r="I268" t="str">
        <f>IF(OR(tblShipments2[[#This Row],[EGM no]]="", tblShipments2[[#This Row],[EGM no]]="N.A."), "Not Submitted", "Submitted")</f>
        <v>Submitted</v>
      </c>
      <c r="J268" t="str">
        <f>IF(LEFT(tblShipments2[[#This Row],[Gateway_Extracted]],2)="IN","Valid","Invalid")</f>
        <v>Valid</v>
      </c>
      <c r="K268" t="s">
        <v>664</v>
      </c>
      <c r="L268" t="s">
        <v>708</v>
      </c>
      <c r="M268" t="s">
        <v>709</v>
      </c>
      <c r="N268" t="s">
        <v>710</v>
      </c>
      <c r="O268" t="str">
        <f>IFERROR("IN" &amp; _xlfn.TEXTBEFORE(_xlfn.TEXTAFTER(UPPER(tblShipments2[[#This Row],[Gateway_clean]]),"IN")," ",1),"")</f>
        <v>INPAV1</v>
      </c>
      <c r="P268" t="str">
        <f>SUBSTITUTE(tblShipments2[[#This Row],[Gateway]], CHAR(10), " ")</f>
        <v xml:space="preserve">AWB No. Gateway Port Gateway EGM No. Gateway EGM Date Gateway Site ID Error Code N.A.  INPAV1  134063  2017-08-28 00:00:00.0  INPAV1  S </v>
      </c>
      <c r="Q268" t="s">
        <v>706</v>
      </c>
    </row>
    <row r="269" spans="1:17" x14ac:dyDescent="0.35">
      <c r="A269" t="s">
        <v>8</v>
      </c>
      <c r="B269">
        <v>8608455</v>
      </c>
      <c r="C269" s="2" t="s">
        <v>681</v>
      </c>
      <c r="D269" s="2" t="str">
        <f>LEFT(TRIM(MID(SUBSTITUTE(tblShipments2[[#This Row],[Details]],CHAR(10)," "), FIND(CHAR(10),tblShipments2[[#This Row],[Details]])+1, 50)), 10)</f>
        <v>AAECE6932C</v>
      </c>
      <c r="E269" t="s">
        <v>711</v>
      </c>
      <c r="F26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69" t="str">
        <f>IF(tblShipments2[[#This Row],[EGM no]]="", "Missing EGM", "EGM Submitted")</f>
        <v>EGM Submitted</v>
      </c>
      <c r="H269" t="str">
        <f>IF(OR(ISNUMBER(SEARCH("Released",tblShipments2[[#This Row],[ROSL]])),
      ISNUMBER(SEARCH("Scroll",tblShipments2[[#This Row],[ROSL]])),
      ISNUMBER(SEARCH("Y",tblShipments2[[#This Row],[ROSL]]))),
   "Released",
   "Not Released")</f>
        <v>Released</v>
      </c>
      <c r="I269" t="str">
        <f>IF(OR(tblShipments2[[#This Row],[EGM no]]="", tblShipments2[[#This Row],[EGM no]]="N.A."), "Not Submitted", "Submitted")</f>
        <v>Submitted</v>
      </c>
      <c r="J269" t="str">
        <f>IF(LEFT(tblShipments2[[#This Row],[Gateway_Extracted]],2)="IN","Valid","Invalid")</f>
        <v>Valid</v>
      </c>
      <c r="K269" t="s">
        <v>664</v>
      </c>
      <c r="L269" t="s">
        <v>703</v>
      </c>
      <c r="M269" t="s">
        <v>704</v>
      </c>
      <c r="N269" t="s">
        <v>705</v>
      </c>
      <c r="O269" t="str">
        <f>IFERROR("IN" &amp; _xlfn.TEXTBEFORE(_xlfn.TEXTAFTER(UPPER(tblShipments2[[#This Row],[Gateway_clean]]),"IN")," ",1),"")</f>
        <v>INPAV1</v>
      </c>
      <c r="P269" t="str">
        <f>SUBSTITUTE(tblShipments2[[#This Row],[Gateway]], CHAR(10), " ")</f>
        <v xml:space="preserve">AWB No. Gateway Port Gateway EGM No. Gateway EGM Date Gateway Site ID Error Code N.A.  INPAV1  134063  2017-08-28 00:00:00.0  INPAV1  S </v>
      </c>
      <c r="Q269" t="s">
        <v>706</v>
      </c>
    </row>
    <row r="270" spans="1:17" x14ac:dyDescent="0.35">
      <c r="A270" t="s">
        <v>8</v>
      </c>
      <c r="B270">
        <v>8608463</v>
      </c>
      <c r="C270" s="2" t="s">
        <v>681</v>
      </c>
      <c r="D270" s="2" t="str">
        <f>LEFT(TRIM(MID(SUBSTITUTE(tblShipments2[[#This Row],[Details]],CHAR(10)," "), FIND(CHAR(10),tblShipments2[[#This Row],[Details]])+1, 50)), 10)</f>
        <v>AAECE6932C</v>
      </c>
      <c r="E270" t="s">
        <v>712</v>
      </c>
      <c r="F27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0" t="str">
        <f>IF(tblShipments2[[#This Row],[EGM no]]="", "Missing EGM", "EGM Submitted")</f>
        <v>EGM Submitted</v>
      </c>
      <c r="H270" t="str">
        <f>IF(OR(ISNUMBER(SEARCH("Released",tblShipments2[[#This Row],[ROSL]])),
      ISNUMBER(SEARCH("Scroll",tblShipments2[[#This Row],[ROSL]])),
      ISNUMBER(SEARCH("Y",tblShipments2[[#This Row],[ROSL]]))),
   "Released",
   "Not Released")</f>
        <v>Released</v>
      </c>
      <c r="I270" t="str">
        <f>IF(OR(tblShipments2[[#This Row],[EGM no]]="", tblShipments2[[#This Row],[EGM no]]="N.A."), "Not Submitted", "Submitted")</f>
        <v>Submitted</v>
      </c>
      <c r="J270" t="str">
        <f>IF(LEFT(tblShipments2[[#This Row],[Gateway_Extracted]],2)="IN","Valid","Invalid")</f>
        <v>Valid</v>
      </c>
      <c r="K270" t="s">
        <v>664</v>
      </c>
      <c r="L270" t="s">
        <v>708</v>
      </c>
      <c r="M270" t="s">
        <v>709</v>
      </c>
      <c r="N270" t="s">
        <v>710</v>
      </c>
      <c r="O270" t="str">
        <f>IFERROR("IN" &amp; _xlfn.TEXTBEFORE(_xlfn.TEXTAFTER(UPPER(tblShipments2[[#This Row],[Gateway_clean]]),"IN")," ",1),"")</f>
        <v>INPAV1</v>
      </c>
      <c r="P270" t="str">
        <f>SUBSTITUTE(tblShipments2[[#This Row],[Gateway]], CHAR(10), " ")</f>
        <v xml:space="preserve">AWB No. Gateway Port Gateway EGM No. Gateway EGM Date Gateway Site ID Error Code N.A.  INPAV1  134063  2017-08-28 00:00:00.0  INPAV1  S </v>
      </c>
      <c r="Q270" t="s">
        <v>706</v>
      </c>
    </row>
    <row r="271" spans="1:17" x14ac:dyDescent="0.35">
      <c r="A271" t="s">
        <v>8</v>
      </c>
      <c r="B271">
        <v>8608521</v>
      </c>
      <c r="C271" s="2" t="s">
        <v>681</v>
      </c>
      <c r="D271" s="2" t="str">
        <f>LEFT(TRIM(MID(SUBSTITUTE(tblShipments2[[#This Row],[Details]],CHAR(10)," "), FIND(CHAR(10),tblShipments2[[#This Row],[Details]])+1, 50)), 10)</f>
        <v>AAECE6932C</v>
      </c>
      <c r="E271" t="s">
        <v>713</v>
      </c>
      <c r="F27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1" t="str">
        <f>IF(tblShipments2[[#This Row],[EGM no]]="", "Missing EGM", "EGM Submitted")</f>
        <v>EGM Submitted</v>
      </c>
      <c r="H271" t="str">
        <f>IF(OR(ISNUMBER(SEARCH("Released",tblShipments2[[#This Row],[ROSL]])),
      ISNUMBER(SEARCH("Scroll",tblShipments2[[#This Row],[ROSL]])),
      ISNUMBER(SEARCH("Y",tblShipments2[[#This Row],[ROSL]]))),
   "Released",
   "Not Released")</f>
        <v>Released</v>
      </c>
      <c r="I271" t="str">
        <f>IF(OR(tblShipments2[[#This Row],[EGM no]]="", tblShipments2[[#This Row],[EGM no]]="N.A."), "Not Submitted", "Submitted")</f>
        <v>Submitted</v>
      </c>
      <c r="J271" t="str">
        <f>IF(LEFT(tblShipments2[[#This Row],[Gateway_Extracted]],2)="IN","Valid","Invalid")</f>
        <v>Valid</v>
      </c>
      <c r="K271" t="s">
        <v>664</v>
      </c>
      <c r="L271" t="s">
        <v>708</v>
      </c>
      <c r="M271" t="s">
        <v>704</v>
      </c>
      <c r="N271" t="s">
        <v>705</v>
      </c>
      <c r="O271" t="str">
        <f>IFERROR("IN" &amp; _xlfn.TEXTBEFORE(_xlfn.TEXTAFTER(UPPER(tblShipments2[[#This Row],[Gateway_clean]]),"IN")," ",1),"")</f>
        <v>INPAV1</v>
      </c>
      <c r="P271" t="str">
        <f>SUBSTITUTE(tblShipments2[[#This Row],[Gateway]], CHAR(10), " ")</f>
        <v xml:space="preserve">AWB No. Gateway Port Gateway EGM No. Gateway EGM Date Gateway Site ID Error Code N.A.  INPAV1  134063  2017-08-28 00:00:00.0  INPAV1  S </v>
      </c>
      <c r="Q271" t="s">
        <v>706</v>
      </c>
    </row>
    <row r="272" spans="1:17" x14ac:dyDescent="0.35">
      <c r="A272" t="s">
        <v>8</v>
      </c>
      <c r="B272">
        <v>8610604</v>
      </c>
      <c r="C272" s="2" t="s">
        <v>681</v>
      </c>
      <c r="D272" s="2" t="str">
        <f>LEFT(TRIM(MID(SUBSTITUTE(tblShipments2[[#This Row],[Details]],CHAR(10)," "), FIND(CHAR(10),tblShipments2[[#This Row],[Details]])+1, 50)), 10)</f>
        <v>0595012647</v>
      </c>
      <c r="E272" t="s">
        <v>714</v>
      </c>
      <c r="F27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2" t="str">
        <f>IF(tblShipments2[[#This Row],[EGM no]]="", "Missing EGM", "EGM Submitted")</f>
        <v>EGM Submitted</v>
      </c>
      <c r="H272" t="str">
        <f>IF(OR(ISNUMBER(SEARCH("Released",tblShipments2[[#This Row],[ROSL]])),
      ISNUMBER(SEARCH("Scroll",tblShipments2[[#This Row],[ROSL]])),
      ISNUMBER(SEARCH("Y",tblShipments2[[#This Row],[ROSL]]))),
   "Released",
   "Not Released")</f>
        <v>Released</v>
      </c>
      <c r="I272" t="str">
        <f>IF(OR(tblShipments2[[#This Row],[EGM no]]="", tblShipments2[[#This Row],[EGM no]]="N.A."), "Not Submitted", "Submitted")</f>
        <v>Submitted</v>
      </c>
      <c r="J272" t="str">
        <f>IF(LEFT(tblShipments2[[#This Row],[Gateway_Extracted]],2)="IN","Valid","Invalid")</f>
        <v>Valid</v>
      </c>
      <c r="K272" t="s">
        <v>715</v>
      </c>
      <c r="L272" t="s">
        <v>716</v>
      </c>
      <c r="M272" t="s">
        <v>13</v>
      </c>
      <c r="N272" t="s">
        <v>717</v>
      </c>
      <c r="O272" t="str">
        <f>IFERROR("IN" &amp; _xlfn.TEXTBEFORE(_xlfn.TEXTAFTER(UPPER(tblShipments2[[#This Row],[Gateway_clean]]),"IN")," ",1),"")</f>
        <v>INMUN1</v>
      </c>
      <c r="P272" t="str">
        <f>SUBSTITUTE(tblShipments2[[#This Row],[Gateway]], CHAR(10), " ")</f>
        <v xml:space="preserve">AWB No. Gateway Port Gateway EGM No. Gateway EGM Date Gateway Site ID Error Code N.A.  INMUN1  134211  2017-08-30 00:00:00.0  INMUN1  S </v>
      </c>
      <c r="Q272" t="s">
        <v>718</v>
      </c>
    </row>
    <row r="273" spans="1:17" x14ac:dyDescent="0.35">
      <c r="A273" t="s">
        <v>8</v>
      </c>
      <c r="B273">
        <v>8612296</v>
      </c>
      <c r="C273" s="2" t="s">
        <v>681</v>
      </c>
      <c r="D273" s="2" t="str">
        <f>LEFT(TRIM(MID(SUBSTITUTE(tblShipments2[[#This Row],[Details]],CHAR(10)," "), FIND(CHAR(10),tblShipments2[[#This Row],[Details]])+1, 50)), 10)</f>
        <v>0511063865</v>
      </c>
      <c r="E273" t="s">
        <v>719</v>
      </c>
      <c r="F27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3" t="str">
        <f>IF(tblShipments2[[#This Row],[EGM no]]="", "Missing EGM", "EGM Submitted")</f>
        <v>EGM Submitted</v>
      </c>
      <c r="H273" t="str">
        <f>IF(OR(ISNUMBER(SEARCH("Released",tblShipments2[[#This Row],[ROSL]])),
      ISNUMBER(SEARCH("Scroll",tblShipments2[[#This Row],[ROSL]])),
      ISNUMBER(SEARCH("Y",tblShipments2[[#This Row],[ROSL]]))),
   "Released",
   "Not Released")</f>
        <v>Released</v>
      </c>
      <c r="I273" t="str">
        <f>IF(OR(tblShipments2[[#This Row],[EGM no]]="", tblShipments2[[#This Row],[EGM no]]="N.A."), "Not Submitted", "Submitted")</f>
        <v>Submitted</v>
      </c>
      <c r="J273" t="str">
        <f>IF(LEFT(tblShipments2[[#This Row],[Gateway_Extracted]],2)="IN","Valid","Invalid")</f>
        <v>Valid</v>
      </c>
      <c r="K273" t="s">
        <v>645</v>
      </c>
      <c r="L273" t="s">
        <v>720</v>
      </c>
      <c r="M273" t="s">
        <v>31</v>
      </c>
      <c r="N273" t="s">
        <v>721</v>
      </c>
      <c r="O273" t="str">
        <f>IFERROR("IN" &amp; _xlfn.TEXTBEFORE(_xlfn.TEXTAFTER(UPPER(tblShipments2[[#This Row],[Gateway_clean]]),"IN")," ",1),"")</f>
        <v>INNSA1</v>
      </c>
      <c r="P273" t="str">
        <f>SUBSTITUTE(tblShipments2[[#This Row],[Gateway]], CHAR(10), " ")</f>
        <v xml:space="preserve">AWB No. Gateway Port Gateway EGM No. Gateway EGM Date Gateway Site ID Error Code N.A.  INNSA1  135086  2017-09-14 00:00:00.0  INNSA1  S </v>
      </c>
      <c r="Q273" t="s">
        <v>676</v>
      </c>
    </row>
    <row r="274" spans="1:17" x14ac:dyDescent="0.35">
      <c r="A274" t="s">
        <v>8</v>
      </c>
      <c r="B274">
        <v>8615986</v>
      </c>
      <c r="C274" s="2" t="s">
        <v>681</v>
      </c>
      <c r="D274" s="2" t="str">
        <f>LEFT(TRIM(MID(SUBSTITUTE(tblShipments2[[#This Row],[Details]],CHAR(10)," "), FIND(CHAR(10),tblShipments2[[#This Row],[Details]])+1, 50)), 10)</f>
        <v>0598059113</v>
      </c>
      <c r="E274" t="s">
        <v>722</v>
      </c>
      <c r="F27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4" t="str">
        <f>IF(tblShipments2[[#This Row],[EGM no]]="", "Missing EGM", "EGM Submitted")</f>
        <v>EGM Submitted</v>
      </c>
      <c r="H274" t="str">
        <f>IF(OR(ISNUMBER(SEARCH("Released",tblShipments2[[#This Row],[ROSL]])),
      ISNUMBER(SEARCH("Scroll",tblShipments2[[#This Row],[ROSL]])),
      ISNUMBER(SEARCH("Y",tblShipments2[[#This Row],[ROSL]]))),
   "Released",
   "Not Released")</f>
        <v>Released</v>
      </c>
      <c r="I274" t="str">
        <f>IF(OR(tblShipments2[[#This Row],[EGM no]]="", tblShipments2[[#This Row],[EGM no]]="N.A."), "Not Submitted", "Submitted")</f>
        <v>Submitted</v>
      </c>
      <c r="J274" t="str">
        <f>IF(LEFT(tblShipments2[[#This Row],[Gateway_Extracted]],2)="IN","Valid","Invalid")</f>
        <v>Valid</v>
      </c>
      <c r="K274" t="s">
        <v>723</v>
      </c>
      <c r="L274" t="s">
        <v>724</v>
      </c>
      <c r="M274" t="s">
        <v>13</v>
      </c>
      <c r="N274" t="s">
        <v>725</v>
      </c>
      <c r="O274" t="str">
        <f>IFERROR("IN" &amp; _xlfn.TEXTBEFORE(_xlfn.TEXTAFTER(UPPER(tblShipments2[[#This Row],[Gateway_clean]]),"IN")," ",1),"")</f>
        <v>INMUN1</v>
      </c>
      <c r="P274" t="str">
        <f>SUBSTITUTE(tblShipments2[[#This Row],[Gateway]], CHAR(10), " ")</f>
        <v xml:space="preserve">AWB No. Gateway Port Gateway EGM No. Gateway EGM Date Gateway Site ID Error Code N.A.  INMUN1  134919  2017-09-12 00:00:00.0  INMUN1  S </v>
      </c>
      <c r="Q274" t="s">
        <v>726</v>
      </c>
    </row>
    <row r="275" spans="1:17" x14ac:dyDescent="0.35">
      <c r="A275" t="s">
        <v>8</v>
      </c>
      <c r="B275">
        <v>8620347</v>
      </c>
      <c r="C275" s="2" t="s">
        <v>727</v>
      </c>
      <c r="D275" s="2" t="str">
        <f>LEFT(TRIM(MID(SUBSTITUTE(tblShipments2[[#This Row],[Details]],CHAR(10)," "), FIND(CHAR(10),tblShipments2[[#This Row],[Details]])+1, 50)), 10)</f>
        <v>0514025026</v>
      </c>
      <c r="E275" t="s">
        <v>728</v>
      </c>
      <c r="F27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5" t="str">
        <f>IF(tblShipments2[[#This Row],[EGM no]]="", "Missing EGM", "EGM Submitted")</f>
        <v>EGM Submitted</v>
      </c>
      <c r="H275" t="str">
        <f>IF(OR(ISNUMBER(SEARCH("Released",tblShipments2[[#This Row],[ROSL]])),
      ISNUMBER(SEARCH("Scroll",tblShipments2[[#This Row],[ROSL]])),
      ISNUMBER(SEARCH("Y",tblShipments2[[#This Row],[ROSL]]))),
   "Released",
   "Not Released")</f>
        <v>Released</v>
      </c>
      <c r="I275" t="str">
        <f>IF(OR(tblShipments2[[#This Row],[EGM no]]="", tblShipments2[[#This Row],[EGM no]]="N.A."), "Not Submitted", "Submitted")</f>
        <v>Submitted</v>
      </c>
      <c r="J275" t="str">
        <f>IF(LEFT(tblShipments2[[#This Row],[Gateway_Extracted]],2)="IN","Valid","Invalid")</f>
        <v>Valid</v>
      </c>
      <c r="K275" t="s">
        <v>669</v>
      </c>
      <c r="L275" t="s">
        <v>678</v>
      </c>
      <c r="M275" t="s">
        <v>13</v>
      </c>
      <c r="N275" t="s">
        <v>729</v>
      </c>
      <c r="O275" t="str">
        <f>IFERROR("IN" &amp; _xlfn.TEXTBEFORE(_xlfn.TEXTAFTER(UPPER(tblShipments2[[#This Row],[Gateway_clean]]),"IN")," ",1),"")</f>
        <v>INNSA1</v>
      </c>
      <c r="P275" t="str">
        <f>SUBSTITUTE(tblShipments2[[#This Row],[Gateway]], CHAR(10), " ")</f>
        <v xml:space="preserve">AWB No. Gateway Port Gateway EGM No. Gateway EGM Date Gateway Site ID Error Code N.A.  INNSA1  134938  2017-09-12 00:00:00.0  INNSA1  S </v>
      </c>
      <c r="Q275" t="s">
        <v>680</v>
      </c>
    </row>
    <row r="276" spans="1:17" x14ac:dyDescent="0.35">
      <c r="A276" t="s">
        <v>8</v>
      </c>
      <c r="B276">
        <v>8660236</v>
      </c>
      <c r="C276" s="2" t="s">
        <v>730</v>
      </c>
      <c r="D276" s="2" t="str">
        <f>LEFT(TRIM(MID(SUBSTITUTE(tblShipments2[[#This Row],[Details]],CHAR(10)," "), FIND(CHAR(10),tblShipments2[[#This Row],[Details]])+1, 50)), 10)</f>
        <v>0506062538</v>
      </c>
      <c r="E276" t="s">
        <v>731</v>
      </c>
      <c r="F27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6" t="str">
        <f>IF(tblShipments2[[#This Row],[EGM no]]="", "Missing EGM", "EGM Submitted")</f>
        <v>EGM Submitted</v>
      </c>
      <c r="H276" t="str">
        <f>IF(OR(ISNUMBER(SEARCH("Released",tblShipments2[[#This Row],[ROSL]])),
      ISNUMBER(SEARCH("Scroll",tblShipments2[[#This Row],[ROSL]])),
      ISNUMBER(SEARCH("Y",tblShipments2[[#This Row],[ROSL]]))),
   "Released",
   "Not Released")</f>
        <v>Released</v>
      </c>
      <c r="I276" t="str">
        <f>IF(OR(tblShipments2[[#This Row],[EGM no]]="", tblShipments2[[#This Row],[EGM no]]="N.A."), "Not Submitted", "Submitted")</f>
        <v>Submitted</v>
      </c>
      <c r="J276" t="str">
        <f>IF(LEFT(tblShipments2[[#This Row],[Gateway_Extracted]],2)="IN","Valid","Invalid")</f>
        <v>Valid</v>
      </c>
      <c r="K276" t="s">
        <v>732</v>
      </c>
      <c r="L276" t="s">
        <v>733</v>
      </c>
      <c r="M276" t="s">
        <v>13</v>
      </c>
      <c r="N276" t="s">
        <v>734</v>
      </c>
      <c r="O276" t="str">
        <f>IFERROR("IN" &amp; _xlfn.TEXTBEFORE(_xlfn.TEXTAFTER(UPPER(tblShipments2[[#This Row],[Gateway_clean]]),"IN")," ",1),"")</f>
        <v>INNSA1</v>
      </c>
      <c r="P276" t="str">
        <f>SUBSTITUTE(tblShipments2[[#This Row],[Gateway]], CHAR(10), " ")</f>
        <v xml:space="preserve">AWB No. Gateway Port Gateway EGM No. Gateway EGM Date Gateway Site ID Error Code N.A.  INNSA1  135503  2017-09-21 00:00:00.0  INNSA1  C </v>
      </c>
      <c r="Q276" t="s">
        <v>735</v>
      </c>
    </row>
    <row r="277" spans="1:17" x14ac:dyDescent="0.35">
      <c r="A277" t="s">
        <v>8</v>
      </c>
      <c r="B277">
        <v>8661641</v>
      </c>
      <c r="C277" s="2" t="s">
        <v>730</v>
      </c>
      <c r="D277" s="2" t="str">
        <f>LEFT(TRIM(MID(SUBSTITUTE(tblShipments2[[#This Row],[Details]],CHAR(10)," "), FIND(CHAR(10),tblShipments2[[#This Row],[Details]])+1, 50)), 10)</f>
        <v>0508075416</v>
      </c>
      <c r="E277" t="s">
        <v>736</v>
      </c>
      <c r="F27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7" t="str">
        <f>IF(tblShipments2[[#This Row],[EGM no]]="", "Missing EGM", "EGM Submitted")</f>
        <v>EGM Submitted</v>
      </c>
      <c r="H277" t="str">
        <f>IF(OR(ISNUMBER(SEARCH("Released",tblShipments2[[#This Row],[ROSL]])),
      ISNUMBER(SEARCH("Scroll",tblShipments2[[#This Row],[ROSL]])),
      ISNUMBER(SEARCH("Y",tblShipments2[[#This Row],[ROSL]]))),
   "Released",
   "Not Released")</f>
        <v>Released</v>
      </c>
      <c r="I277" t="str">
        <f>IF(OR(tblShipments2[[#This Row],[EGM no]]="", tblShipments2[[#This Row],[EGM no]]="N.A."), "Not Submitted", "Submitted")</f>
        <v>Submitted</v>
      </c>
      <c r="J277" t="str">
        <f>IF(LEFT(tblShipments2[[#This Row],[Gateway_Extracted]],2)="IN","Valid","Invalid")</f>
        <v>Valid</v>
      </c>
      <c r="K277" t="s">
        <v>737</v>
      </c>
      <c r="L277" t="s">
        <v>738</v>
      </c>
      <c r="M277" t="s">
        <v>31</v>
      </c>
      <c r="N277" t="s">
        <v>739</v>
      </c>
      <c r="O277" t="str">
        <f>IFERROR("IN" &amp; _xlfn.TEXTBEFORE(_xlfn.TEXTAFTER(UPPER(tblShipments2[[#This Row],[Gateway_clean]]),"IN")," ",1),"")</f>
        <v>INNSA1</v>
      </c>
      <c r="P277" t="str">
        <f>SUBSTITUTE(tblShipments2[[#This Row],[Gateway]], CHAR(10), " ")</f>
        <v xml:space="preserve">AWB No. Gateway Port Gateway EGM No. Gateway EGM Date Gateway Site ID Error Code N.A.  INNSA1  135603  2017-09-22 00:00:00.0  INNSA1  S </v>
      </c>
      <c r="Q277" t="s">
        <v>740</v>
      </c>
    </row>
    <row r="278" spans="1:17" x14ac:dyDescent="0.35">
      <c r="A278" t="s">
        <v>8</v>
      </c>
      <c r="B278">
        <v>8687607</v>
      </c>
      <c r="C278" s="2" t="s">
        <v>741</v>
      </c>
      <c r="D278" s="2" t="str">
        <f>LEFT(TRIM(MID(SUBSTITUTE(tblShipments2[[#This Row],[Details]],CHAR(10)," "), FIND(CHAR(10),tblShipments2[[#This Row],[Details]])+1, 50)), 10)</f>
        <v>0504064011</v>
      </c>
      <c r="E278" t="s">
        <v>742</v>
      </c>
      <c r="F27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8" t="str">
        <f>IF(tblShipments2[[#This Row],[EGM no]]="", "Missing EGM", "EGM Submitted")</f>
        <v>EGM Submitted</v>
      </c>
      <c r="H278" t="str">
        <f>IF(OR(ISNUMBER(SEARCH("Released",tblShipments2[[#This Row],[ROSL]])),
      ISNUMBER(SEARCH("Scroll",tblShipments2[[#This Row],[ROSL]])),
      ISNUMBER(SEARCH("Y",tblShipments2[[#This Row],[ROSL]]))),
   "Released",
   "Not Released")</f>
        <v>Released</v>
      </c>
      <c r="I278" t="str">
        <f>IF(OR(tblShipments2[[#This Row],[EGM no]]="", tblShipments2[[#This Row],[EGM no]]="N.A."), "Not Submitted", "Submitted")</f>
        <v>Submitted</v>
      </c>
      <c r="J278" t="str">
        <f>IF(LEFT(tblShipments2[[#This Row],[Gateway_Extracted]],2)="IN","Valid","Invalid")</f>
        <v>Valid</v>
      </c>
      <c r="K278" t="s">
        <v>743</v>
      </c>
      <c r="L278" t="s">
        <v>744</v>
      </c>
      <c r="M278" t="s">
        <v>13</v>
      </c>
      <c r="N278" t="s">
        <v>745</v>
      </c>
      <c r="O278" t="str">
        <f>IFERROR("IN" &amp; _xlfn.TEXTBEFORE(_xlfn.TEXTAFTER(UPPER(tblShipments2[[#This Row],[Gateway_clean]]),"IN")," ",1),"")</f>
        <v>INMUN1</v>
      </c>
      <c r="P278" t="str">
        <f>SUBSTITUTE(tblShipments2[[#This Row],[Gateway]], CHAR(10), " ")</f>
        <v xml:space="preserve">AWB No. Gateway Port Gateway EGM No. Gateway EGM Date Gateway Site ID Error Code N.A.  INMUN1  148326  2018-04-13 00:00:00.0  INMUN1  S </v>
      </c>
      <c r="Q278" t="s">
        <v>746</v>
      </c>
    </row>
    <row r="279" spans="1:17" x14ac:dyDescent="0.35">
      <c r="A279" t="s">
        <v>8</v>
      </c>
      <c r="B279">
        <v>8697591</v>
      </c>
      <c r="C279" s="2" t="s">
        <v>747</v>
      </c>
      <c r="D279" s="2" t="str">
        <f>LEFT(TRIM(MID(SUBSTITUTE(tblShipments2[[#This Row],[Details]],CHAR(10)," "), FIND(CHAR(10),tblShipments2[[#This Row],[Details]])+1, 50)), 10)</f>
        <v>0503013749</v>
      </c>
      <c r="E279" t="s">
        <v>748</v>
      </c>
      <c r="F27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79" t="str">
        <f>IF(tblShipments2[[#This Row],[EGM no]]="", "Missing EGM", "EGM Submitted")</f>
        <v>EGM Submitted</v>
      </c>
      <c r="H279" t="str">
        <f>IF(OR(ISNUMBER(SEARCH("Released",tblShipments2[[#This Row],[ROSL]])),
      ISNUMBER(SEARCH("Scroll",tblShipments2[[#This Row],[ROSL]])),
      ISNUMBER(SEARCH("Y",tblShipments2[[#This Row],[ROSL]]))),
   "Released",
   "Not Released")</f>
        <v>Released</v>
      </c>
      <c r="I279" t="str">
        <f>IF(OR(tblShipments2[[#This Row],[EGM no]]="", tblShipments2[[#This Row],[EGM no]]="N.A."), "Not Submitted", "Submitted")</f>
        <v>Submitted</v>
      </c>
      <c r="J279" t="str">
        <f>IF(LEFT(tblShipments2[[#This Row],[Gateway_Extracted]],2)="IN","Valid","Invalid")</f>
        <v>Valid</v>
      </c>
      <c r="K279" t="s">
        <v>749</v>
      </c>
      <c r="L279" t="s">
        <v>750</v>
      </c>
      <c r="M279" t="s">
        <v>31</v>
      </c>
      <c r="N279" t="s">
        <v>751</v>
      </c>
      <c r="O279" t="str">
        <f>IFERROR("IN" &amp; _xlfn.TEXTBEFORE(_xlfn.TEXTAFTER(UPPER(tblShipments2[[#This Row],[Gateway_clean]]),"IN")," ",1),"")</f>
        <v>INMUN1</v>
      </c>
      <c r="P279" t="str">
        <f>SUBSTITUTE(tblShipments2[[#This Row],[Gateway]], CHAR(10), " ")</f>
        <v xml:space="preserve">AWB No. Gateway Port Gateway EGM No. Gateway EGM Date Gateway Site ID Error Code N.A.  INMUN1  N.A.  N.A.  N.A.  N.A. </v>
      </c>
      <c r="Q279" t="s">
        <v>244</v>
      </c>
    </row>
    <row r="280" spans="1:17" x14ac:dyDescent="0.35">
      <c r="A280" t="s">
        <v>8</v>
      </c>
      <c r="B280">
        <v>8708114</v>
      </c>
      <c r="C280" s="2" t="s">
        <v>747</v>
      </c>
      <c r="D280" s="2" t="str">
        <f>LEFT(TRIM(MID(SUBSTITUTE(tblShipments2[[#This Row],[Details]],CHAR(10)," "), FIND(CHAR(10),tblShipments2[[#This Row],[Details]])+1, 50)), 10)</f>
        <v>0511035675</v>
      </c>
      <c r="E280" t="s">
        <v>752</v>
      </c>
      <c r="F28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0" t="str">
        <f>IF(tblShipments2[[#This Row],[EGM no]]="", "Missing EGM", "EGM Submitted")</f>
        <v>EGM Submitted</v>
      </c>
      <c r="H280" t="str">
        <f>IF(OR(ISNUMBER(SEARCH("Released",tblShipments2[[#This Row],[ROSL]])),
      ISNUMBER(SEARCH("Scroll",tblShipments2[[#This Row],[ROSL]])),
      ISNUMBER(SEARCH("Y",tblShipments2[[#This Row],[ROSL]]))),
   "Released",
   "Not Released")</f>
        <v>Released</v>
      </c>
      <c r="I280" t="str">
        <f>IF(OR(tblShipments2[[#This Row],[EGM no]]="", tblShipments2[[#This Row],[EGM no]]="N.A."), "Not Submitted", "Submitted")</f>
        <v>Submitted</v>
      </c>
      <c r="J280" t="str">
        <f>IF(LEFT(tblShipments2[[#This Row],[Gateway_Extracted]],2)="IN","Valid","Invalid")</f>
        <v>Valid</v>
      </c>
      <c r="K280" t="s">
        <v>753</v>
      </c>
      <c r="L280" t="s">
        <v>754</v>
      </c>
      <c r="M280" t="s">
        <v>31</v>
      </c>
      <c r="N280" t="s">
        <v>755</v>
      </c>
      <c r="O280" t="str">
        <f>IFERROR("IN" &amp; _xlfn.TEXTBEFORE(_xlfn.TEXTAFTER(UPPER(tblShipments2[[#This Row],[Gateway_clean]]),"IN")," ",1),"")</f>
        <v>INNSA1</v>
      </c>
      <c r="P280" t="str">
        <f>SUBSTITUTE(tblShipments2[[#This Row],[Gateway]], CHAR(10), " ")</f>
        <v xml:space="preserve">AWB No. Gateway Port Gateway EGM No. Gateway EGM Date Gateway Site ID Error Code N.A.  INNSA1  135349  2017-09-19 00:00:00.0  INNSA1  C </v>
      </c>
      <c r="Q280" t="s">
        <v>756</v>
      </c>
    </row>
    <row r="281" spans="1:17" x14ac:dyDescent="0.35">
      <c r="A281" t="s">
        <v>8</v>
      </c>
      <c r="B281">
        <v>8709897</v>
      </c>
      <c r="C281" s="2" t="s">
        <v>747</v>
      </c>
      <c r="D281" s="2" t="str">
        <f>LEFT(TRIM(MID(SUBSTITUTE(tblShipments2[[#This Row],[Details]],CHAR(10)," "), FIND(CHAR(10),tblShipments2[[#This Row],[Details]])+1, 50)), 10)</f>
        <v>0514036265</v>
      </c>
      <c r="E281" t="s">
        <v>757</v>
      </c>
      <c r="F28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1" t="str">
        <f>IF(tblShipments2[[#This Row],[EGM no]]="", "Missing EGM", "EGM Submitted")</f>
        <v>EGM Submitted</v>
      </c>
      <c r="H281" t="str">
        <f>IF(OR(ISNUMBER(SEARCH("Released",tblShipments2[[#This Row],[ROSL]])),
      ISNUMBER(SEARCH("Scroll",tblShipments2[[#This Row],[ROSL]])),
      ISNUMBER(SEARCH("Y",tblShipments2[[#This Row],[ROSL]]))),
   "Released",
   "Not Released")</f>
        <v>Released</v>
      </c>
      <c r="I281" t="str">
        <f>IF(OR(tblShipments2[[#This Row],[EGM no]]="", tblShipments2[[#This Row],[EGM no]]="N.A."), "Not Submitted", "Submitted")</f>
        <v>Submitted</v>
      </c>
      <c r="J281" t="str">
        <f>IF(LEFT(tblShipments2[[#This Row],[Gateway_Extracted]],2)="IN","Valid","Invalid")</f>
        <v>Valid</v>
      </c>
      <c r="K281" t="s">
        <v>758</v>
      </c>
      <c r="L281" t="s">
        <v>759</v>
      </c>
      <c r="M281" t="s">
        <v>13</v>
      </c>
      <c r="N281" t="s">
        <v>760</v>
      </c>
      <c r="O281" t="str">
        <f>IFERROR("IN" &amp; _xlfn.TEXTBEFORE(_xlfn.TEXTAFTER(UPPER(tblShipments2[[#This Row],[Gateway_clean]]),"IN")," ",1),"")</f>
        <v>INMUN1</v>
      </c>
      <c r="P281" t="str">
        <f>SUBSTITUTE(tblShipments2[[#This Row],[Gateway]], CHAR(10), " ")</f>
        <v xml:space="preserve">AWB No. Gateway Port Gateway EGM No. Gateway EGM Date Gateway Site ID Error Code N.A.  INMUN1  135887  2017-09-27 00:00:00.0  INMUN1  S </v>
      </c>
      <c r="Q281" t="s">
        <v>761</v>
      </c>
    </row>
    <row r="282" spans="1:17" x14ac:dyDescent="0.35">
      <c r="A282" t="s">
        <v>8</v>
      </c>
      <c r="B282">
        <v>8749638</v>
      </c>
      <c r="C282" s="2" t="s">
        <v>762</v>
      </c>
      <c r="D282" s="2" t="str">
        <f>LEFT(TRIM(MID(SUBSTITUTE(tblShipments2[[#This Row],[Details]],CHAR(10)," "), FIND(CHAR(10),tblShipments2[[#This Row],[Details]])+1, 50)), 10)</f>
        <v>0593067517</v>
      </c>
      <c r="E282" t="s">
        <v>763</v>
      </c>
      <c r="F28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2" t="str">
        <f>IF(tblShipments2[[#This Row],[EGM no]]="", "Missing EGM", "EGM Submitted")</f>
        <v>EGM Submitted</v>
      </c>
      <c r="H282" t="str">
        <f>IF(OR(ISNUMBER(SEARCH("Released",tblShipments2[[#This Row],[ROSL]])),
      ISNUMBER(SEARCH("Scroll",tblShipments2[[#This Row],[ROSL]])),
      ISNUMBER(SEARCH("Y",tblShipments2[[#This Row],[ROSL]]))),
   "Released",
   "Not Released")</f>
        <v>Released</v>
      </c>
      <c r="I282" t="str">
        <f>IF(OR(tblShipments2[[#This Row],[EGM no]]="", tblShipments2[[#This Row],[EGM no]]="N.A."), "Not Submitted", "Submitted")</f>
        <v>Submitted</v>
      </c>
      <c r="J282" t="str">
        <f>IF(LEFT(tblShipments2[[#This Row],[Gateway_Extracted]],2)="IN","Valid","Invalid")</f>
        <v>Valid</v>
      </c>
      <c r="K282" t="s">
        <v>764</v>
      </c>
      <c r="L282" t="s">
        <v>765</v>
      </c>
      <c r="M282" t="s">
        <v>13</v>
      </c>
      <c r="N282" t="s">
        <v>766</v>
      </c>
      <c r="O282" t="str">
        <f>IFERROR("IN" &amp; _xlfn.TEXTBEFORE(_xlfn.TEXTAFTER(UPPER(tblShipments2[[#This Row],[Gateway_clean]]),"IN")," ",1),"")</f>
        <v>INMUN1</v>
      </c>
      <c r="P282" t="str">
        <f>SUBSTITUTE(tblShipments2[[#This Row],[Gateway]], CHAR(10), " ")</f>
        <v xml:space="preserve">AWB No. Gateway Port Gateway EGM No. Gateway EGM Date Gateway Site ID Error Code N.A.  INMUN1  136169  2017-10-03 00:00:00.0  INMUN1  S </v>
      </c>
      <c r="Q282" t="s">
        <v>767</v>
      </c>
    </row>
    <row r="283" spans="1:17" x14ac:dyDescent="0.35">
      <c r="A283" t="s">
        <v>8</v>
      </c>
      <c r="B283">
        <v>8751355</v>
      </c>
      <c r="C283" s="2" t="s">
        <v>762</v>
      </c>
      <c r="D283" s="2" t="str">
        <f>LEFT(TRIM(MID(SUBSTITUTE(tblShipments2[[#This Row],[Details]],CHAR(10)," "), FIND(CHAR(10),tblShipments2[[#This Row],[Details]])+1, 50)), 10)</f>
        <v>0515076741</v>
      </c>
      <c r="E283" t="s">
        <v>768</v>
      </c>
      <c r="F28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3" t="str">
        <f>IF(tblShipments2[[#This Row],[EGM no]]="", "Missing EGM", "EGM Submitted")</f>
        <v>EGM Submitted</v>
      </c>
      <c r="H283" t="str">
        <f>IF(OR(ISNUMBER(SEARCH("Released",tblShipments2[[#This Row],[ROSL]])),
      ISNUMBER(SEARCH("Scroll",tblShipments2[[#This Row],[ROSL]])),
      ISNUMBER(SEARCH("Y",tblShipments2[[#This Row],[ROSL]]))),
   "Released",
   "Not Released")</f>
        <v>Released</v>
      </c>
      <c r="I283" t="str">
        <f>IF(OR(tblShipments2[[#This Row],[EGM no]]="", tblShipments2[[#This Row],[EGM no]]="N.A."), "Not Submitted", "Submitted")</f>
        <v>Submitted</v>
      </c>
      <c r="J283" t="str">
        <f>IF(LEFT(tblShipments2[[#This Row],[Gateway_Extracted]],2)="IN","Valid","Invalid")</f>
        <v>Valid</v>
      </c>
      <c r="K283" t="s">
        <v>769</v>
      </c>
      <c r="L283" t="s">
        <v>770</v>
      </c>
      <c r="M283" t="s">
        <v>771</v>
      </c>
      <c r="N283" t="s">
        <v>772</v>
      </c>
      <c r="O283" t="str">
        <f>IFERROR("IN" &amp; _xlfn.TEXTBEFORE(_xlfn.TEXTAFTER(UPPER(tblShipments2[[#This Row],[Gateway_clean]]),"IN")," ",1),"")</f>
        <v>INNSA1</v>
      </c>
      <c r="P283" t="str">
        <f>SUBSTITUTE(tblShipments2[[#This Row],[Gateway]], CHAR(10), " ")</f>
        <v xml:space="preserve">AWB No. Gateway Port Gateway EGM No. Gateway EGM Date Gateway Site ID Error Code N.A.  INNSA1  134741  2017-09-08 00:00:00.0  INNSA1  S </v>
      </c>
      <c r="Q283" t="s">
        <v>773</v>
      </c>
    </row>
    <row r="284" spans="1:17" x14ac:dyDescent="0.35">
      <c r="A284" t="s">
        <v>8</v>
      </c>
      <c r="B284">
        <v>8752612</v>
      </c>
      <c r="C284" s="2" t="s">
        <v>762</v>
      </c>
      <c r="D284" s="2" t="str">
        <f>LEFT(TRIM(MID(SUBSTITUTE(tblShipments2[[#This Row],[Details]],CHAR(10)," "), FIND(CHAR(10),tblShipments2[[#This Row],[Details]])+1, 50)), 10)</f>
        <v>0307055078</v>
      </c>
      <c r="E284" t="s">
        <v>774</v>
      </c>
      <c r="F28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4" t="str">
        <f>IF(tblShipments2[[#This Row],[EGM no]]="", "Missing EGM", "EGM Submitted")</f>
        <v>EGM Submitted</v>
      </c>
      <c r="H284" t="str">
        <f>IF(OR(ISNUMBER(SEARCH("Released",tblShipments2[[#This Row],[ROSL]])),
      ISNUMBER(SEARCH("Scroll",tblShipments2[[#This Row],[ROSL]])),
      ISNUMBER(SEARCH("Y",tblShipments2[[#This Row],[ROSL]]))),
   "Released",
   "Not Released")</f>
        <v>Released</v>
      </c>
      <c r="I284" t="str">
        <f>IF(OR(tblShipments2[[#This Row],[EGM no]]="", tblShipments2[[#This Row],[EGM no]]="N.A."), "Not Submitted", "Submitted")</f>
        <v>Submitted</v>
      </c>
      <c r="J284" t="str">
        <f>IF(LEFT(tblShipments2[[#This Row],[Gateway_Extracted]],2)="IN","Valid","Invalid")</f>
        <v>Valid</v>
      </c>
      <c r="K284" t="s">
        <v>775</v>
      </c>
      <c r="L284" t="s">
        <v>776</v>
      </c>
      <c r="M284" t="s">
        <v>13</v>
      </c>
      <c r="N284" t="s">
        <v>777</v>
      </c>
      <c r="O284" t="str">
        <f>IFERROR("IN" &amp; _xlfn.TEXTBEFORE(_xlfn.TEXTAFTER(UPPER(tblShipments2[[#This Row],[Gateway_clean]]),"IN")," ",1),"")</f>
        <v>INNSA1</v>
      </c>
      <c r="P284" t="str">
        <f>SUBSTITUTE(tblShipments2[[#This Row],[Gateway]], CHAR(10), " ")</f>
        <v xml:space="preserve">AWB No. Gateway Port Gateway EGM No. Gateway EGM Date Gateway Site ID Error Code N.A.  INNSA1  136236  2017-10-04 00:00:00.0  INNSA1  C </v>
      </c>
      <c r="Q284" t="s">
        <v>778</v>
      </c>
    </row>
    <row r="285" spans="1:17" x14ac:dyDescent="0.35">
      <c r="A285" t="s">
        <v>8</v>
      </c>
      <c r="B285">
        <v>8752787</v>
      </c>
      <c r="C285" s="2" t="s">
        <v>762</v>
      </c>
      <c r="D285" s="2" t="str">
        <f>LEFT(TRIM(MID(SUBSTITUTE(tblShipments2[[#This Row],[Details]],CHAR(10)," "), FIND(CHAR(10),tblShipments2[[#This Row],[Details]])+1, 50)), 10)</f>
        <v>0598005536</v>
      </c>
      <c r="E285" t="s">
        <v>779</v>
      </c>
      <c r="F28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5" t="str">
        <f>IF(tblShipments2[[#This Row],[EGM no]]="", "Missing EGM", "EGM Submitted")</f>
        <v>EGM Submitted</v>
      </c>
      <c r="H285" t="str">
        <f>IF(OR(ISNUMBER(SEARCH("Released",tblShipments2[[#This Row],[ROSL]])),
      ISNUMBER(SEARCH("Scroll",tblShipments2[[#This Row],[ROSL]])),
      ISNUMBER(SEARCH("Y",tblShipments2[[#This Row],[ROSL]]))),
   "Released",
   "Not Released")</f>
        <v>Released</v>
      </c>
      <c r="I285" t="str">
        <f>IF(OR(tblShipments2[[#This Row],[EGM no]]="", tblShipments2[[#This Row],[EGM no]]="N.A."), "Not Submitted", "Submitted")</f>
        <v>Submitted</v>
      </c>
      <c r="J285" t="str">
        <f>IF(LEFT(tblShipments2[[#This Row],[Gateway_Extracted]],2)="IN","Valid","Invalid")</f>
        <v>Valid</v>
      </c>
      <c r="K285" t="s">
        <v>780</v>
      </c>
      <c r="L285" t="s">
        <v>781</v>
      </c>
      <c r="M285" t="s">
        <v>13</v>
      </c>
      <c r="N285" t="s">
        <v>782</v>
      </c>
      <c r="O285" t="str">
        <f>IFERROR("IN" &amp; _xlfn.TEXTBEFORE(_xlfn.TEXTAFTER(UPPER(tblShipments2[[#This Row],[Gateway_clean]]),"IN")," ",1),"")</f>
        <v>INMUN1</v>
      </c>
      <c r="P285" t="str">
        <f>SUBSTITUTE(tblShipments2[[#This Row],[Gateway]], CHAR(10), " ")</f>
        <v xml:space="preserve">AWB No. Gateway Port Gateway EGM No. Gateway EGM Date Gateway Site ID Error Code N.A.  INMUN1  136501  2017-10-08 00:00:00.0  INMUN1  S </v>
      </c>
      <c r="Q285" t="s">
        <v>783</v>
      </c>
    </row>
    <row r="286" spans="1:17" x14ac:dyDescent="0.35">
      <c r="A286" t="s">
        <v>8</v>
      </c>
      <c r="B286">
        <v>8775656</v>
      </c>
      <c r="C286" s="2" t="s">
        <v>784</v>
      </c>
      <c r="D286" s="2" t="str">
        <f>LEFT(TRIM(MID(SUBSTITUTE(tblShipments2[[#This Row],[Details]],CHAR(10)," "), FIND(CHAR(10),tblShipments2[[#This Row],[Details]])+1, 50)), 10)</f>
        <v>0501045813</v>
      </c>
      <c r="E286" t="s">
        <v>785</v>
      </c>
      <c r="F28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6" t="str">
        <f>IF(tblShipments2[[#This Row],[EGM no]]="", "Missing EGM", "EGM Submitted")</f>
        <v>EGM Submitted</v>
      </c>
      <c r="H286" t="str">
        <f>IF(OR(ISNUMBER(SEARCH("Released",tblShipments2[[#This Row],[ROSL]])),
      ISNUMBER(SEARCH("Scroll",tblShipments2[[#This Row],[ROSL]])),
      ISNUMBER(SEARCH("Y",tblShipments2[[#This Row],[ROSL]]))),
   "Released",
   "Not Released")</f>
        <v>Released</v>
      </c>
      <c r="I286" t="str">
        <f>IF(OR(tblShipments2[[#This Row],[EGM no]]="", tblShipments2[[#This Row],[EGM no]]="N.A."), "Not Submitted", "Submitted")</f>
        <v>Submitted</v>
      </c>
      <c r="J286" t="str">
        <f>IF(LEFT(tblShipments2[[#This Row],[Gateway_Extracted]],2)="IN","Valid","Invalid")</f>
        <v>Valid</v>
      </c>
      <c r="K286" t="s">
        <v>786</v>
      </c>
      <c r="L286" t="s">
        <v>787</v>
      </c>
      <c r="M286" t="s">
        <v>31</v>
      </c>
      <c r="N286" t="s">
        <v>788</v>
      </c>
      <c r="O286" t="str">
        <f>IFERROR("IN" &amp; _xlfn.TEXTBEFORE(_xlfn.TEXTAFTER(UPPER(tblShipments2[[#This Row],[Gateway_clean]]),"IN")," ",1),"")</f>
        <v>INNSA1</v>
      </c>
      <c r="P286" t="str">
        <f>SUBSTITUTE(tblShipments2[[#This Row],[Gateway]], CHAR(10), " ")</f>
        <v xml:space="preserve">AWB No. Gateway Port Gateway EGM No. Gateway EGM Date Gateway Site ID Error Code N.A.  INNSA1  136144  2017-10-03 00:00:00.0  INNSA1  C </v>
      </c>
      <c r="Q286" t="s">
        <v>789</v>
      </c>
    </row>
    <row r="287" spans="1:17" x14ac:dyDescent="0.35">
      <c r="A287" t="s">
        <v>8</v>
      </c>
      <c r="B287">
        <v>8783035</v>
      </c>
      <c r="C287" s="2" t="s">
        <v>784</v>
      </c>
      <c r="D287" s="2" t="str">
        <f>LEFT(TRIM(MID(SUBSTITUTE(tblShipments2[[#This Row],[Details]],CHAR(10)," "), FIND(CHAR(10),tblShipments2[[#This Row],[Details]])+1, 50)), 10)</f>
        <v>1216900370</v>
      </c>
      <c r="E287" t="s">
        <v>790</v>
      </c>
      <c r="F28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7" t="str">
        <f>IF(tblShipments2[[#This Row],[EGM no]]="", "Missing EGM", "EGM Submitted")</f>
        <v>EGM Submitted</v>
      </c>
      <c r="H287" t="str">
        <f>IF(OR(ISNUMBER(SEARCH("Released",tblShipments2[[#This Row],[ROSL]])),
      ISNUMBER(SEARCH("Scroll",tblShipments2[[#This Row],[ROSL]])),
      ISNUMBER(SEARCH("Y",tblShipments2[[#This Row],[ROSL]]))),
   "Released",
   "Not Released")</f>
        <v>Released</v>
      </c>
      <c r="I287" t="str">
        <f>IF(OR(tblShipments2[[#This Row],[EGM no]]="", tblShipments2[[#This Row],[EGM no]]="N.A."), "Not Submitted", "Submitted")</f>
        <v>Submitted</v>
      </c>
      <c r="J287" t="str">
        <f>IF(LEFT(tblShipments2[[#This Row],[Gateway_Extracted]],2)="IN","Valid","Invalid")</f>
        <v>Valid</v>
      </c>
      <c r="K287" t="s">
        <v>791</v>
      </c>
      <c r="L287" t="s">
        <v>792</v>
      </c>
      <c r="M287" t="s">
        <v>13</v>
      </c>
      <c r="N287" t="s">
        <v>793</v>
      </c>
      <c r="O287" t="str">
        <f>IFERROR("IN" &amp; _xlfn.TEXTBEFORE(_xlfn.TEXTAFTER(UPPER(tblShipments2[[#This Row],[Gateway_clean]]),"IN")," ",1),"")</f>
        <v>INMUN1</v>
      </c>
      <c r="P287" t="str">
        <f>SUBSTITUTE(tblShipments2[[#This Row],[Gateway]], CHAR(10), " ")</f>
        <v xml:space="preserve">AWB No. Gateway Port Gateway EGM No. Gateway EGM Date Gateway Site ID Error Code N.A.  INMUN1  N.A.  N.A.  N.A.  N.A. </v>
      </c>
      <c r="Q287" t="s">
        <v>244</v>
      </c>
    </row>
    <row r="288" spans="1:17" x14ac:dyDescent="0.35">
      <c r="A288" t="s">
        <v>8</v>
      </c>
      <c r="B288">
        <v>8784077</v>
      </c>
      <c r="C288" s="2" t="s">
        <v>784</v>
      </c>
      <c r="D288" s="2" t="str">
        <f>LEFT(TRIM(MID(SUBSTITUTE(tblShipments2[[#This Row],[Details]],CHAR(10)," "), FIND(CHAR(10),tblShipments2[[#This Row],[Details]])+1, 50)), 10)</f>
        <v>0517500531</v>
      </c>
      <c r="E288" t="s">
        <v>794</v>
      </c>
      <c r="F28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8" t="str">
        <f>IF(tblShipments2[[#This Row],[EGM no]]="", "Missing EGM", "EGM Submitted")</f>
        <v>EGM Submitted</v>
      </c>
      <c r="H288" t="str">
        <f>IF(OR(ISNUMBER(SEARCH("Released",tblShipments2[[#This Row],[ROSL]])),
      ISNUMBER(SEARCH("Scroll",tblShipments2[[#This Row],[ROSL]])),
      ISNUMBER(SEARCH("Y",tblShipments2[[#This Row],[ROSL]]))),
   "Released",
   "Not Released")</f>
        <v>Released</v>
      </c>
      <c r="I288" t="str">
        <f>IF(OR(tblShipments2[[#This Row],[EGM no]]="", tblShipments2[[#This Row],[EGM no]]="N.A."), "Not Submitted", "Submitted")</f>
        <v>Submitted</v>
      </c>
      <c r="J288" t="str">
        <f>IF(LEFT(tblShipments2[[#This Row],[Gateway_Extracted]],2)="IN","Valid","Invalid")</f>
        <v>Invalid</v>
      </c>
      <c r="K288" t="s">
        <v>795</v>
      </c>
      <c r="L288" t="s">
        <v>796</v>
      </c>
      <c r="M288" t="s">
        <v>13</v>
      </c>
      <c r="N288" t="s">
        <v>797</v>
      </c>
      <c r="O288" t="str">
        <f>IFERROR("IN" &amp; _xlfn.TEXTBEFORE(_xlfn.TEXTAFTER(UPPER(tblShipments2[[#This Row],[Gateway_clean]]),"IN")," ",1),"")</f>
        <v/>
      </c>
      <c r="P288" t="str">
        <f>SUBSTITUTE(tblShipments2[[#This Row],[Gateway]], CHAR(10), " ")</f>
        <v>Please Wait....</v>
      </c>
      <c r="Q288" t="s">
        <v>105</v>
      </c>
    </row>
    <row r="289" spans="1:17" x14ac:dyDescent="0.35">
      <c r="A289" t="s">
        <v>8</v>
      </c>
      <c r="B289">
        <v>8794182</v>
      </c>
      <c r="C289" s="2" t="s">
        <v>798</v>
      </c>
      <c r="D289" s="2" t="str">
        <f>LEFT(TRIM(MID(SUBSTITUTE(tblShipments2[[#This Row],[Details]],CHAR(10)," "), FIND(CHAR(10),tblShipments2[[#This Row],[Details]])+1, 50)), 10)</f>
        <v>0508003300</v>
      </c>
      <c r="E289" t="s">
        <v>799</v>
      </c>
      <c r="F28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89" t="str">
        <f>IF(tblShipments2[[#This Row],[EGM no]]="", "Missing EGM", "EGM Submitted")</f>
        <v>EGM Submitted</v>
      </c>
      <c r="H289" t="str">
        <f>IF(OR(ISNUMBER(SEARCH("Released",tblShipments2[[#This Row],[ROSL]])),
      ISNUMBER(SEARCH("Scroll",tblShipments2[[#This Row],[ROSL]])),
      ISNUMBER(SEARCH("Y",tblShipments2[[#This Row],[ROSL]]))),
   "Released",
   "Not Released")</f>
        <v>Released</v>
      </c>
      <c r="I289" t="str">
        <f>IF(OR(tblShipments2[[#This Row],[EGM no]]="", tblShipments2[[#This Row],[EGM no]]="N.A."), "Not Submitted", "Submitted")</f>
        <v>Submitted</v>
      </c>
      <c r="J289" t="str">
        <f>IF(LEFT(tblShipments2[[#This Row],[Gateway_Extracted]],2)="IN","Valid","Invalid")</f>
        <v>Valid</v>
      </c>
      <c r="K289" t="s">
        <v>800</v>
      </c>
      <c r="L289" t="s">
        <v>801</v>
      </c>
      <c r="M289" t="s">
        <v>13</v>
      </c>
      <c r="N289" t="s">
        <v>802</v>
      </c>
      <c r="O289" t="str">
        <f>IFERROR("IN" &amp; _xlfn.TEXTBEFORE(_xlfn.TEXTAFTER(UPPER(tblShipments2[[#This Row],[Gateway_clean]]),"IN")," ",1),"")</f>
        <v>INNSA1</v>
      </c>
      <c r="P289" t="str">
        <f>SUBSTITUTE(tblShipments2[[#This Row],[Gateway]], CHAR(10), " ")</f>
        <v xml:space="preserve">AWB No. Gateway Port Gateway EGM No. Gateway EGM Date Gateway Site ID Error Code N.A.  INNSA1  135731  2017-09-25 00:00:00.0  INNSA1  S </v>
      </c>
      <c r="Q289" t="s">
        <v>803</v>
      </c>
    </row>
    <row r="290" spans="1:17" x14ac:dyDescent="0.35">
      <c r="A290" t="s">
        <v>8</v>
      </c>
      <c r="B290">
        <v>8796298</v>
      </c>
      <c r="C290" s="2" t="s">
        <v>798</v>
      </c>
      <c r="D290" s="2" t="str">
        <f>LEFT(TRIM(MID(SUBSTITUTE(tblShipments2[[#This Row],[Details]],CHAR(10)," "), FIND(CHAR(10),tblShipments2[[#This Row],[Details]])+1, 50)), 10)</f>
        <v>0397084901</v>
      </c>
      <c r="E290" t="s">
        <v>804</v>
      </c>
      <c r="F29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0" t="str">
        <f>IF(tblShipments2[[#This Row],[EGM no]]="", "Missing EGM", "EGM Submitted")</f>
        <v>EGM Submitted</v>
      </c>
      <c r="H290" t="str">
        <f>IF(OR(ISNUMBER(SEARCH("Released",tblShipments2[[#This Row],[ROSL]])),
      ISNUMBER(SEARCH("Scroll",tblShipments2[[#This Row],[ROSL]])),
      ISNUMBER(SEARCH("Y",tblShipments2[[#This Row],[ROSL]]))),
   "Released",
   "Not Released")</f>
        <v>Released</v>
      </c>
      <c r="I290" t="str">
        <f>IF(OR(tblShipments2[[#This Row],[EGM no]]="", tblShipments2[[#This Row],[EGM no]]="N.A."), "Not Submitted", "Submitted")</f>
        <v>Submitted</v>
      </c>
      <c r="J290" t="str">
        <f>IF(LEFT(tblShipments2[[#This Row],[Gateway_Extracted]],2)="IN","Valid","Invalid")</f>
        <v>Valid</v>
      </c>
      <c r="K290" t="s">
        <v>805</v>
      </c>
      <c r="L290" t="s">
        <v>806</v>
      </c>
      <c r="M290" t="s">
        <v>31</v>
      </c>
      <c r="N290" t="s">
        <v>807</v>
      </c>
      <c r="O290" t="str">
        <f>IFERROR("IN" &amp; _xlfn.TEXTBEFORE(_xlfn.TEXTAFTER(UPPER(tblShipments2[[#This Row],[Gateway_clean]]),"IN")," ",1),"")</f>
        <v>INNSA1</v>
      </c>
      <c r="P290" t="str">
        <f>SUBSTITUTE(tblShipments2[[#This Row],[Gateway]], CHAR(10), " ")</f>
        <v xml:space="preserve">AWB No. Gateway Port Gateway EGM No. Gateway EGM Date Gateway Site ID Error Code N.A.  INNSA1  135726  2017-09-25 00:00:00.0  INNSA1  S </v>
      </c>
      <c r="Q290" t="s">
        <v>808</v>
      </c>
    </row>
    <row r="291" spans="1:17" x14ac:dyDescent="0.35">
      <c r="A291" t="s">
        <v>8</v>
      </c>
      <c r="B291">
        <v>8826748</v>
      </c>
      <c r="C291" s="2" t="s">
        <v>809</v>
      </c>
      <c r="D291" s="2" t="str">
        <f>LEFT(TRIM(MID(SUBSTITUTE(tblShipments2[[#This Row],[Details]],CHAR(10)," "), FIND(CHAR(10),tblShipments2[[#This Row],[Details]])+1, 50)), 10)</f>
        <v>0595012647</v>
      </c>
      <c r="E291" t="s">
        <v>810</v>
      </c>
      <c r="F29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1" t="str">
        <f>IF(tblShipments2[[#This Row],[EGM no]]="", "Missing EGM", "EGM Submitted")</f>
        <v>EGM Submitted</v>
      </c>
      <c r="H291" t="str">
        <f>IF(OR(ISNUMBER(SEARCH("Released",tblShipments2[[#This Row],[ROSL]])),
      ISNUMBER(SEARCH("Scroll",tblShipments2[[#This Row],[ROSL]])),
      ISNUMBER(SEARCH("Y",tblShipments2[[#This Row],[ROSL]]))),
   "Released",
   "Not Released")</f>
        <v>Released</v>
      </c>
      <c r="I291" t="str">
        <f>IF(OR(tblShipments2[[#This Row],[EGM no]]="", tblShipments2[[#This Row],[EGM no]]="N.A."), "Not Submitted", "Submitted")</f>
        <v>Submitted</v>
      </c>
      <c r="J291" t="str">
        <f>IF(LEFT(tblShipments2[[#This Row],[Gateway_Extracted]],2)="IN","Valid","Invalid")</f>
        <v>Valid</v>
      </c>
      <c r="K291" t="s">
        <v>811</v>
      </c>
      <c r="L291" t="s">
        <v>812</v>
      </c>
      <c r="M291" t="s">
        <v>13</v>
      </c>
      <c r="N291" t="s">
        <v>813</v>
      </c>
      <c r="O291" t="str">
        <f>IFERROR("IN" &amp; _xlfn.TEXTBEFORE(_xlfn.TEXTAFTER(UPPER(tblShipments2[[#This Row],[Gateway_clean]]),"IN")," ",1),"")</f>
        <v>INMUN1</v>
      </c>
      <c r="P291" t="str">
        <f>SUBSTITUTE(tblShipments2[[#This Row],[Gateway]], CHAR(10), " ")</f>
        <v xml:space="preserve">AWB No. Gateway Port Gateway EGM No. Gateway EGM Date Gateway Site ID Error Code N.A.  INMUN1  136070  2017-09-29 00:00:00.0  INMUN1  S </v>
      </c>
      <c r="Q291" t="s">
        <v>814</v>
      </c>
    </row>
    <row r="292" spans="1:17" x14ac:dyDescent="0.35">
      <c r="A292" t="s">
        <v>8</v>
      </c>
      <c r="B292">
        <v>8848896</v>
      </c>
      <c r="C292" s="2" t="s">
        <v>815</v>
      </c>
      <c r="D292" s="2" t="str">
        <f>LEFT(TRIM(MID(SUBSTITUTE(tblShipments2[[#This Row],[Details]],CHAR(10)," "), FIND(CHAR(10),tblShipments2[[#This Row],[Details]])+1, 50)), 10)</f>
        <v>0504064754</v>
      </c>
      <c r="E292" t="s">
        <v>816</v>
      </c>
      <c r="F29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2" t="str">
        <f>IF(tblShipments2[[#This Row],[EGM no]]="", "Missing EGM", "EGM Submitted")</f>
        <v>EGM Submitted</v>
      </c>
      <c r="H292" t="str">
        <f>IF(OR(ISNUMBER(SEARCH("Released",tblShipments2[[#This Row],[ROSL]])),
      ISNUMBER(SEARCH("Scroll",tblShipments2[[#This Row],[ROSL]])),
      ISNUMBER(SEARCH("Y",tblShipments2[[#This Row],[ROSL]]))),
   "Released",
   "Not Released")</f>
        <v>Released</v>
      </c>
      <c r="I292" t="str">
        <f>IF(OR(tblShipments2[[#This Row],[EGM no]]="", tblShipments2[[#This Row],[EGM no]]="N.A."), "Not Submitted", "Submitted")</f>
        <v>Submitted</v>
      </c>
      <c r="J292" t="str">
        <f>IF(LEFT(tblShipments2[[#This Row],[Gateway_Extracted]],2)="IN","Valid","Invalid")</f>
        <v>Valid</v>
      </c>
      <c r="K292" t="s">
        <v>817</v>
      </c>
      <c r="L292" t="s">
        <v>818</v>
      </c>
      <c r="M292" t="s">
        <v>13</v>
      </c>
      <c r="N292" t="s">
        <v>819</v>
      </c>
      <c r="O292" t="str">
        <f>IFERROR("IN" &amp; _xlfn.TEXTBEFORE(_xlfn.TEXTAFTER(UPPER(tblShipments2[[#This Row],[Gateway_clean]]),"IN")," ",1),"")</f>
        <v>INNSA1</v>
      </c>
      <c r="P292" t="str">
        <f>SUBSTITUTE(tblShipments2[[#This Row],[Gateway]], CHAR(10), " ")</f>
        <v xml:space="preserve">AWB No. Gateway Port Gateway EGM No. Gateway EGM Date Gateway Site ID Error Code N.A.  INNSA1  135331  2017-09-19 00:00:00.0  INNSA1  S </v>
      </c>
      <c r="Q292" t="s">
        <v>820</v>
      </c>
    </row>
    <row r="293" spans="1:17" x14ac:dyDescent="0.35">
      <c r="A293" t="s">
        <v>8</v>
      </c>
      <c r="B293">
        <v>8849157</v>
      </c>
      <c r="C293" s="2" t="s">
        <v>815</v>
      </c>
      <c r="D293" s="2" t="str">
        <f>LEFT(TRIM(MID(SUBSTITUTE(tblShipments2[[#This Row],[Details]],CHAR(10)," "), FIND(CHAR(10),tblShipments2[[#This Row],[Details]])+1, 50)), 10)</f>
        <v>0595012647</v>
      </c>
      <c r="E293" t="s">
        <v>821</v>
      </c>
      <c r="F29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3" t="str">
        <f>IF(tblShipments2[[#This Row],[EGM no]]="", "Missing EGM", "EGM Submitted")</f>
        <v>EGM Submitted</v>
      </c>
      <c r="H293" t="str">
        <f>IF(OR(ISNUMBER(SEARCH("Released",tblShipments2[[#This Row],[ROSL]])),
      ISNUMBER(SEARCH("Scroll",tblShipments2[[#This Row],[ROSL]])),
      ISNUMBER(SEARCH("Y",tblShipments2[[#This Row],[ROSL]]))),
   "Released",
   "Not Released")</f>
        <v>Released</v>
      </c>
      <c r="I293" t="str">
        <f>IF(OR(tblShipments2[[#This Row],[EGM no]]="", tblShipments2[[#This Row],[EGM no]]="N.A."), "Not Submitted", "Submitted")</f>
        <v>Submitted</v>
      </c>
      <c r="J293" t="str">
        <f>IF(LEFT(tblShipments2[[#This Row],[Gateway_Extracted]],2)="IN","Valid","Invalid")</f>
        <v>Valid</v>
      </c>
      <c r="K293" t="s">
        <v>822</v>
      </c>
      <c r="L293" t="s">
        <v>823</v>
      </c>
      <c r="M293" t="s">
        <v>13</v>
      </c>
      <c r="N293" t="s">
        <v>824</v>
      </c>
      <c r="O293" t="str">
        <f>IFERROR("IN" &amp; _xlfn.TEXTBEFORE(_xlfn.TEXTAFTER(UPPER(tblShipments2[[#This Row],[Gateway_clean]]),"IN")," ",1),"")</f>
        <v>INMUN1</v>
      </c>
      <c r="P293" t="str">
        <f>SUBSTITUTE(tblShipments2[[#This Row],[Gateway]], CHAR(10), " ")</f>
        <v xml:space="preserve">AWB No. Gateway Port Gateway EGM No. Gateway EGM Date Gateway Site ID Error Code N.A.  INMUN1  134212  2017-08-30 00:00:00.0  INMUN1  S </v>
      </c>
      <c r="Q293" t="s">
        <v>825</v>
      </c>
    </row>
    <row r="294" spans="1:17" x14ac:dyDescent="0.35">
      <c r="A294" t="s">
        <v>8</v>
      </c>
      <c r="B294">
        <v>8876829</v>
      </c>
      <c r="C294" s="2" t="s">
        <v>826</v>
      </c>
      <c r="D294" s="2" t="str">
        <f>LEFT(TRIM(MID(SUBSTITUTE(tblShipments2[[#This Row],[Details]],CHAR(10)," "), FIND(CHAR(10),tblShipments2[[#This Row],[Details]])+1, 50)), 10)</f>
        <v>3397001846</v>
      </c>
      <c r="E294" t="s">
        <v>827</v>
      </c>
      <c r="F29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4" t="str">
        <f>IF(tblShipments2[[#This Row],[EGM no]]="", "Missing EGM", "EGM Submitted")</f>
        <v>EGM Submitted</v>
      </c>
      <c r="H294" t="str">
        <f>IF(OR(ISNUMBER(SEARCH("Released",tblShipments2[[#This Row],[ROSL]])),
      ISNUMBER(SEARCH("Scroll",tblShipments2[[#This Row],[ROSL]])),
      ISNUMBER(SEARCH("Y",tblShipments2[[#This Row],[ROSL]]))),
   "Released",
   "Not Released")</f>
        <v>Released</v>
      </c>
      <c r="I294" t="str">
        <f>IF(OR(tblShipments2[[#This Row],[EGM no]]="", tblShipments2[[#This Row],[EGM no]]="N.A."), "Not Submitted", "Submitted")</f>
        <v>Submitted</v>
      </c>
      <c r="J294" t="str">
        <f>IF(LEFT(tblShipments2[[#This Row],[Gateway_Extracted]],2)="IN","Valid","Invalid")</f>
        <v>Valid</v>
      </c>
      <c r="K294" t="s">
        <v>828</v>
      </c>
      <c r="L294" t="s">
        <v>829</v>
      </c>
      <c r="M294" t="s">
        <v>13</v>
      </c>
      <c r="N294" t="s">
        <v>830</v>
      </c>
      <c r="O294" t="str">
        <f>IFERROR("IN" &amp; _xlfn.TEXTBEFORE(_xlfn.TEXTAFTER(UPPER(tblShipments2[[#This Row],[Gateway_clean]]),"IN")," ",1),"")</f>
        <v>INNSA1</v>
      </c>
      <c r="P294" t="str">
        <f>SUBSTITUTE(tblShipments2[[#This Row],[Gateway]], CHAR(10), " ")</f>
        <v xml:space="preserve">AWB No. Gateway Port Gateway EGM No. Gateway EGM Date Gateway Site ID Error Code N.A.  INNSA1  134677  2017-09-07 00:00:00.0  INNSA1  S </v>
      </c>
      <c r="Q294" t="s">
        <v>831</v>
      </c>
    </row>
    <row r="295" spans="1:17" x14ac:dyDescent="0.35">
      <c r="A295" t="s">
        <v>8</v>
      </c>
      <c r="B295">
        <v>8876935</v>
      </c>
      <c r="C295" s="2" t="s">
        <v>826</v>
      </c>
      <c r="D295" s="2" t="str">
        <f>LEFT(TRIM(MID(SUBSTITUTE(tblShipments2[[#This Row],[Details]],CHAR(10)," "), FIND(CHAR(10),tblShipments2[[#This Row],[Details]])+1, 50)), 10)</f>
        <v>3397001846</v>
      </c>
      <c r="E295" t="s">
        <v>832</v>
      </c>
      <c r="F29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5" t="str">
        <f>IF(tblShipments2[[#This Row],[EGM no]]="", "Missing EGM", "EGM Submitted")</f>
        <v>EGM Submitted</v>
      </c>
      <c r="H295" t="str">
        <f>IF(OR(ISNUMBER(SEARCH("Released",tblShipments2[[#This Row],[ROSL]])),
      ISNUMBER(SEARCH("Scroll",tblShipments2[[#This Row],[ROSL]])),
      ISNUMBER(SEARCH("Y",tblShipments2[[#This Row],[ROSL]]))),
   "Released",
   "Not Released")</f>
        <v>Released</v>
      </c>
      <c r="I295" t="str">
        <f>IF(OR(tblShipments2[[#This Row],[EGM no]]="", tblShipments2[[#This Row],[EGM no]]="N.A."), "Not Submitted", "Submitted")</f>
        <v>Submitted</v>
      </c>
      <c r="J295" t="str">
        <f>IF(LEFT(tblShipments2[[#This Row],[Gateway_Extracted]],2)="IN","Valid","Invalid")</f>
        <v>Valid</v>
      </c>
      <c r="K295" t="s">
        <v>828</v>
      </c>
      <c r="L295" t="s">
        <v>833</v>
      </c>
      <c r="M295" t="s">
        <v>13</v>
      </c>
      <c r="N295" t="s">
        <v>834</v>
      </c>
      <c r="O295" t="str">
        <f>IFERROR("IN" &amp; _xlfn.TEXTBEFORE(_xlfn.TEXTAFTER(UPPER(tblShipments2[[#This Row],[Gateway_clean]]),"IN")," ",1),"")</f>
        <v>INNSA1</v>
      </c>
      <c r="P295" t="str">
        <f>SUBSTITUTE(tblShipments2[[#This Row],[Gateway]], CHAR(10), " ")</f>
        <v xml:space="preserve">AWB No. Gateway Port Gateway EGM No. Gateway EGM Date Gateway Site ID Error Code N.A.  INNSA1  134677  2017-09-07 00:00:00.0  INNSA1  S </v>
      </c>
      <c r="Q295" t="s">
        <v>831</v>
      </c>
    </row>
    <row r="296" spans="1:17" x14ac:dyDescent="0.35">
      <c r="A296" t="s">
        <v>8</v>
      </c>
      <c r="B296">
        <v>8898683</v>
      </c>
      <c r="C296" s="2" t="s">
        <v>835</v>
      </c>
      <c r="D296" s="2" t="str">
        <f>LEFT(TRIM(MID(SUBSTITUTE(tblShipments2[[#This Row],[Details]],CHAR(10)," "), FIND(CHAR(10),tblShipments2[[#This Row],[Details]])+1, 50)), 10)</f>
        <v>0594048621</v>
      </c>
      <c r="E296" t="s">
        <v>836</v>
      </c>
      <c r="F29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6" t="str">
        <f>IF(tblShipments2[[#This Row],[EGM no]]="", "Missing EGM", "EGM Submitted")</f>
        <v>EGM Submitted</v>
      </c>
      <c r="H296" t="str">
        <f>IF(OR(ISNUMBER(SEARCH("Released",tblShipments2[[#This Row],[ROSL]])),
      ISNUMBER(SEARCH("Scroll",tblShipments2[[#This Row],[ROSL]])),
      ISNUMBER(SEARCH("Y",tblShipments2[[#This Row],[ROSL]]))),
   "Released",
   "Not Released")</f>
        <v>Released</v>
      </c>
      <c r="I296" t="str">
        <f>IF(OR(tblShipments2[[#This Row],[EGM no]]="", tblShipments2[[#This Row],[EGM no]]="N.A."), "Not Submitted", "Submitted")</f>
        <v>Submitted</v>
      </c>
      <c r="J296" t="str">
        <f>IF(LEFT(tblShipments2[[#This Row],[Gateway_Extracted]],2)="IN","Valid","Invalid")</f>
        <v>Valid</v>
      </c>
      <c r="K296" t="s">
        <v>837</v>
      </c>
      <c r="L296" t="s">
        <v>838</v>
      </c>
      <c r="M296" t="s">
        <v>13</v>
      </c>
      <c r="N296" t="s">
        <v>839</v>
      </c>
      <c r="O296" t="str">
        <f>IFERROR("IN" &amp; _xlfn.TEXTBEFORE(_xlfn.TEXTAFTER(UPPER(tblShipments2[[#This Row],[Gateway_clean]]),"IN")," ",1),"")</f>
        <v>INMUN1</v>
      </c>
      <c r="P296" t="str">
        <f>SUBSTITUTE(tblShipments2[[#This Row],[Gateway]], CHAR(10), " ")</f>
        <v xml:space="preserve">AWB No. Gateway Port Gateway EGM No. Gateway EGM Date Gateway Site ID Error Code N.A.  INMUN1  135372  2017-09-19 00:00:00.0  INMUN1  S </v>
      </c>
      <c r="Q296" t="s">
        <v>840</v>
      </c>
    </row>
    <row r="297" spans="1:17" x14ac:dyDescent="0.35">
      <c r="A297" t="s">
        <v>8</v>
      </c>
      <c r="B297">
        <v>8909116</v>
      </c>
      <c r="C297" s="2" t="s">
        <v>835</v>
      </c>
      <c r="D297" s="2" t="str">
        <f>LEFT(TRIM(MID(SUBSTITUTE(tblShipments2[[#This Row],[Details]],CHAR(10)," "), FIND(CHAR(10),tblShipments2[[#This Row],[Details]])+1, 50)), 10)</f>
        <v>DOOPK1147B</v>
      </c>
      <c r="E297" t="s">
        <v>841</v>
      </c>
      <c r="F29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7" t="str">
        <f>IF(tblShipments2[[#This Row],[EGM no]]="", "Missing EGM", "EGM Submitted")</f>
        <v>EGM Submitted</v>
      </c>
      <c r="H297" t="str">
        <f>IF(OR(ISNUMBER(SEARCH("Released",tblShipments2[[#This Row],[ROSL]])),
      ISNUMBER(SEARCH("Scroll",tblShipments2[[#This Row],[ROSL]])),
      ISNUMBER(SEARCH("Y",tblShipments2[[#This Row],[ROSL]]))),
   "Released",
   "Not Released")</f>
        <v>Released</v>
      </c>
      <c r="I297" t="str">
        <f>IF(OR(tblShipments2[[#This Row],[EGM no]]="", tblShipments2[[#This Row],[EGM no]]="N.A."), "Not Submitted", "Submitted")</f>
        <v>Submitted</v>
      </c>
      <c r="J297" t="str">
        <f>IF(LEFT(tblShipments2[[#This Row],[Gateway_Extracted]],2)="IN","Valid","Invalid")</f>
        <v>Valid</v>
      </c>
      <c r="K297" t="s">
        <v>842</v>
      </c>
      <c r="L297" t="s">
        <v>843</v>
      </c>
      <c r="M297" t="s">
        <v>844</v>
      </c>
      <c r="N297" t="s">
        <v>845</v>
      </c>
      <c r="O297" t="str">
        <f>IFERROR("IN" &amp; _xlfn.TEXTBEFORE(_xlfn.TEXTAFTER(UPPER(tblShipments2[[#This Row],[Gateway_clean]]),"IN")," ",1),"")</f>
        <v>INMUN1</v>
      </c>
      <c r="P297" t="str">
        <f>SUBSTITUTE(tblShipments2[[#This Row],[Gateway]], CHAR(10), " ")</f>
        <v xml:space="preserve">AWB No. Gateway Port Gateway EGM No. Gateway EGM Date Gateway Site ID Error Code N.A.  INMUN1  139832  2017-11-30 00:00:00.0  INMUN1  S </v>
      </c>
      <c r="Q297" t="s">
        <v>846</v>
      </c>
    </row>
    <row r="298" spans="1:17" x14ac:dyDescent="0.35">
      <c r="A298" t="s">
        <v>8</v>
      </c>
      <c r="B298">
        <v>8909119</v>
      </c>
      <c r="C298" s="2" t="s">
        <v>835</v>
      </c>
      <c r="D298" s="2" t="str">
        <f>LEFT(TRIM(MID(SUBSTITUTE(tblShipments2[[#This Row],[Details]],CHAR(10)," "), FIND(CHAR(10),tblShipments2[[#This Row],[Details]])+1, 50)), 10)</f>
        <v>DOOPK1147B</v>
      </c>
      <c r="E298" t="s">
        <v>847</v>
      </c>
      <c r="F29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8" t="str">
        <f>IF(tblShipments2[[#This Row],[EGM no]]="", "Missing EGM", "EGM Submitted")</f>
        <v>EGM Submitted</v>
      </c>
      <c r="H298" t="str">
        <f>IF(OR(ISNUMBER(SEARCH("Released",tblShipments2[[#This Row],[ROSL]])),
      ISNUMBER(SEARCH("Scroll",tblShipments2[[#This Row],[ROSL]])),
      ISNUMBER(SEARCH("Y",tblShipments2[[#This Row],[ROSL]]))),
   "Released",
   "Not Released")</f>
        <v>Released</v>
      </c>
      <c r="I298" t="str">
        <f>IF(OR(tblShipments2[[#This Row],[EGM no]]="", tblShipments2[[#This Row],[EGM no]]="N.A."), "Not Submitted", "Submitted")</f>
        <v>Submitted</v>
      </c>
      <c r="J298" t="str">
        <f>IF(LEFT(tblShipments2[[#This Row],[Gateway_Extracted]],2)="IN","Valid","Invalid")</f>
        <v>Valid</v>
      </c>
      <c r="K298" t="s">
        <v>842</v>
      </c>
      <c r="L298" t="s">
        <v>843</v>
      </c>
      <c r="M298" t="s">
        <v>848</v>
      </c>
      <c r="N298" t="s">
        <v>849</v>
      </c>
      <c r="O298" t="str">
        <f>IFERROR("IN" &amp; _xlfn.TEXTBEFORE(_xlfn.TEXTAFTER(UPPER(tblShipments2[[#This Row],[Gateway_clean]]),"IN")," ",1),"")</f>
        <v>INMUN1</v>
      </c>
      <c r="P298" t="str">
        <f>SUBSTITUTE(tblShipments2[[#This Row],[Gateway]], CHAR(10), " ")</f>
        <v xml:space="preserve">AWB No. Gateway Port Gateway EGM No. Gateway EGM Date Gateway Site ID Error Code N.A.  INMUN1  139832  2017-11-30 00:00:00.0  INMUN1  S </v>
      </c>
      <c r="Q298" t="s">
        <v>846</v>
      </c>
    </row>
    <row r="299" spans="1:17" x14ac:dyDescent="0.35">
      <c r="A299" t="s">
        <v>8</v>
      </c>
      <c r="B299">
        <v>8909141</v>
      </c>
      <c r="C299" s="2" t="s">
        <v>835</v>
      </c>
      <c r="D299" s="2" t="str">
        <f>LEFT(TRIM(MID(SUBSTITUTE(tblShipments2[[#This Row],[Details]],CHAR(10)," "), FIND(CHAR(10),tblShipments2[[#This Row],[Details]])+1, 50)), 10)</f>
        <v>DOOPK1147B</v>
      </c>
      <c r="E299" t="s">
        <v>850</v>
      </c>
      <c r="F29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299" t="str">
        <f>IF(tblShipments2[[#This Row],[EGM no]]="", "Missing EGM", "EGM Submitted")</f>
        <v>EGM Submitted</v>
      </c>
      <c r="H299" t="str">
        <f>IF(OR(ISNUMBER(SEARCH("Released",tblShipments2[[#This Row],[ROSL]])),
      ISNUMBER(SEARCH("Scroll",tblShipments2[[#This Row],[ROSL]])),
      ISNUMBER(SEARCH("Y",tblShipments2[[#This Row],[ROSL]]))),
   "Released",
   "Not Released")</f>
        <v>Released</v>
      </c>
      <c r="I299" t="str">
        <f>IF(OR(tblShipments2[[#This Row],[EGM no]]="", tblShipments2[[#This Row],[EGM no]]="N.A."), "Not Submitted", "Submitted")</f>
        <v>Submitted</v>
      </c>
      <c r="J299" t="str">
        <f>IF(LEFT(tblShipments2[[#This Row],[Gateway_Extracted]],2)="IN","Valid","Invalid")</f>
        <v>Valid</v>
      </c>
      <c r="K299" t="s">
        <v>842</v>
      </c>
      <c r="L299" t="s">
        <v>843</v>
      </c>
      <c r="M299" t="s">
        <v>844</v>
      </c>
      <c r="N299" t="s">
        <v>845</v>
      </c>
      <c r="O299" t="str">
        <f>IFERROR("IN" &amp; _xlfn.TEXTBEFORE(_xlfn.TEXTAFTER(UPPER(tblShipments2[[#This Row],[Gateway_clean]]),"IN")," ",1),"")</f>
        <v>INMUN1</v>
      </c>
      <c r="P299" t="str">
        <f>SUBSTITUTE(tblShipments2[[#This Row],[Gateway]], CHAR(10), " ")</f>
        <v xml:space="preserve">AWB No. Gateway Port Gateway EGM No. Gateway EGM Date Gateway Site ID Error Code N.A.  INMUN1  139832  2017-11-30 00:00:00.0  INMUN1  S </v>
      </c>
      <c r="Q299" t="s">
        <v>846</v>
      </c>
    </row>
    <row r="300" spans="1:17" x14ac:dyDescent="0.35">
      <c r="A300" t="s">
        <v>8</v>
      </c>
      <c r="B300">
        <v>8909143</v>
      </c>
      <c r="C300" s="2" t="s">
        <v>835</v>
      </c>
      <c r="D300" s="2" t="str">
        <f>LEFT(TRIM(MID(SUBSTITUTE(tblShipments2[[#This Row],[Details]],CHAR(10)," "), FIND(CHAR(10),tblShipments2[[#This Row],[Details]])+1, 50)), 10)</f>
        <v>DOOPK1147B</v>
      </c>
      <c r="E300" t="s">
        <v>851</v>
      </c>
      <c r="F30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0" t="str">
        <f>IF(tblShipments2[[#This Row],[EGM no]]="", "Missing EGM", "EGM Submitted")</f>
        <v>EGM Submitted</v>
      </c>
      <c r="H300" t="str">
        <f>IF(OR(ISNUMBER(SEARCH("Released",tblShipments2[[#This Row],[ROSL]])),
      ISNUMBER(SEARCH("Scroll",tblShipments2[[#This Row],[ROSL]])),
      ISNUMBER(SEARCH("Y",tblShipments2[[#This Row],[ROSL]]))),
   "Released",
   "Not Released")</f>
        <v>Released</v>
      </c>
      <c r="I300" t="str">
        <f>IF(OR(tblShipments2[[#This Row],[EGM no]]="", tblShipments2[[#This Row],[EGM no]]="N.A."), "Not Submitted", "Submitted")</f>
        <v>Submitted</v>
      </c>
      <c r="J300" t="str">
        <f>IF(LEFT(tblShipments2[[#This Row],[Gateway_Extracted]],2)="IN","Valid","Invalid")</f>
        <v>Valid</v>
      </c>
      <c r="K300" t="s">
        <v>842</v>
      </c>
      <c r="L300" t="s">
        <v>843</v>
      </c>
      <c r="M300" t="s">
        <v>844</v>
      </c>
      <c r="N300" t="s">
        <v>845</v>
      </c>
      <c r="O300" t="str">
        <f>IFERROR("IN" &amp; _xlfn.TEXTBEFORE(_xlfn.TEXTAFTER(UPPER(tblShipments2[[#This Row],[Gateway_clean]]),"IN")," ",1),"")</f>
        <v>INMUN1</v>
      </c>
      <c r="P300" t="str">
        <f>SUBSTITUTE(tblShipments2[[#This Row],[Gateway]], CHAR(10), " ")</f>
        <v xml:space="preserve">AWB No. Gateway Port Gateway EGM No. Gateway EGM Date Gateway Site ID Error Code N.A.  INMUN1  139832  2017-11-30 00:00:00.0  INMUN1  S </v>
      </c>
      <c r="Q300" t="s">
        <v>846</v>
      </c>
    </row>
    <row r="301" spans="1:17" x14ac:dyDescent="0.35">
      <c r="A301" t="s">
        <v>8</v>
      </c>
      <c r="B301">
        <v>8909148</v>
      </c>
      <c r="C301" s="2" t="s">
        <v>835</v>
      </c>
      <c r="D301" s="2" t="str">
        <f>LEFT(TRIM(MID(SUBSTITUTE(tblShipments2[[#This Row],[Details]],CHAR(10)," "), FIND(CHAR(10),tblShipments2[[#This Row],[Details]])+1, 50)), 10)</f>
        <v>DOOPK1147B</v>
      </c>
      <c r="E301" t="s">
        <v>852</v>
      </c>
      <c r="F30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1" t="str">
        <f>IF(tblShipments2[[#This Row],[EGM no]]="", "Missing EGM", "EGM Submitted")</f>
        <v>EGM Submitted</v>
      </c>
      <c r="H301" t="str">
        <f>IF(OR(ISNUMBER(SEARCH("Released",tblShipments2[[#This Row],[ROSL]])),
      ISNUMBER(SEARCH("Scroll",tblShipments2[[#This Row],[ROSL]])),
      ISNUMBER(SEARCH("Y",tblShipments2[[#This Row],[ROSL]]))),
   "Released",
   "Not Released")</f>
        <v>Released</v>
      </c>
      <c r="I301" t="str">
        <f>IF(OR(tblShipments2[[#This Row],[EGM no]]="", tblShipments2[[#This Row],[EGM no]]="N.A."), "Not Submitted", "Submitted")</f>
        <v>Submitted</v>
      </c>
      <c r="J301" t="str">
        <f>IF(LEFT(tblShipments2[[#This Row],[Gateway_Extracted]],2)="IN","Valid","Invalid")</f>
        <v>Valid</v>
      </c>
      <c r="K301" t="s">
        <v>842</v>
      </c>
      <c r="L301" t="s">
        <v>843</v>
      </c>
      <c r="M301" t="s">
        <v>853</v>
      </c>
      <c r="N301" t="s">
        <v>854</v>
      </c>
      <c r="O301" t="str">
        <f>IFERROR("IN" &amp; _xlfn.TEXTBEFORE(_xlfn.TEXTAFTER(UPPER(tblShipments2[[#This Row],[Gateway_clean]]),"IN")," ",1),"")</f>
        <v>INMUN1</v>
      </c>
      <c r="P301" t="str">
        <f>SUBSTITUTE(tblShipments2[[#This Row],[Gateway]], CHAR(10), " ")</f>
        <v xml:space="preserve">AWB No. Gateway Port Gateway EGM No. Gateway EGM Date Gateway Site ID Error Code N.A.  INMUN1  139832  2017-11-30 00:00:00.0  INMUN1  S </v>
      </c>
      <c r="Q301" t="s">
        <v>846</v>
      </c>
    </row>
    <row r="302" spans="1:17" x14ac:dyDescent="0.35">
      <c r="A302" t="s">
        <v>8</v>
      </c>
      <c r="B302">
        <v>8910761</v>
      </c>
      <c r="C302" s="2" t="s">
        <v>835</v>
      </c>
      <c r="D302" s="2" t="str">
        <f>LEFT(TRIM(MID(SUBSTITUTE(tblShipments2[[#This Row],[Details]],CHAR(10)," "), FIND(CHAR(10),tblShipments2[[#This Row],[Details]])+1, 50)), 10)</f>
        <v>DOOPK1147B</v>
      </c>
      <c r="E302" t="s">
        <v>855</v>
      </c>
      <c r="F30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2" t="str">
        <f>IF(tblShipments2[[#This Row],[EGM no]]="", "Missing EGM", "EGM Submitted")</f>
        <v>EGM Submitted</v>
      </c>
      <c r="H302" t="str">
        <f>IF(OR(ISNUMBER(SEARCH("Released",tblShipments2[[#This Row],[ROSL]])),
      ISNUMBER(SEARCH("Scroll",tblShipments2[[#This Row],[ROSL]])),
      ISNUMBER(SEARCH("Y",tblShipments2[[#This Row],[ROSL]]))),
   "Released",
   "Not Released")</f>
        <v>Released</v>
      </c>
      <c r="I302" t="str">
        <f>IF(OR(tblShipments2[[#This Row],[EGM no]]="", tblShipments2[[#This Row],[EGM no]]="N.A."), "Not Submitted", "Submitted")</f>
        <v>Submitted</v>
      </c>
      <c r="J302" t="str">
        <f>IF(LEFT(tblShipments2[[#This Row],[Gateway_Extracted]],2)="IN","Valid","Invalid")</f>
        <v>Valid</v>
      </c>
      <c r="K302" t="s">
        <v>842</v>
      </c>
      <c r="L302" t="s">
        <v>843</v>
      </c>
      <c r="M302" t="s">
        <v>844</v>
      </c>
      <c r="N302" t="s">
        <v>845</v>
      </c>
      <c r="O302" t="str">
        <f>IFERROR("IN" &amp; _xlfn.TEXTBEFORE(_xlfn.TEXTAFTER(UPPER(tblShipments2[[#This Row],[Gateway_clean]]),"IN")," ",1),"")</f>
        <v>INMUN1</v>
      </c>
      <c r="P302" t="str">
        <f>SUBSTITUTE(tblShipments2[[#This Row],[Gateway]], CHAR(10), " ")</f>
        <v xml:space="preserve">AWB No. Gateway Port Gateway EGM No. Gateway EGM Date Gateway Site ID Error Code N.A.  INMUN1  139832  2017-11-30 00:00:00.0  INMUN1  S </v>
      </c>
      <c r="Q302" t="s">
        <v>846</v>
      </c>
    </row>
    <row r="303" spans="1:17" x14ac:dyDescent="0.35">
      <c r="A303" t="s">
        <v>8</v>
      </c>
      <c r="B303">
        <v>8913772</v>
      </c>
      <c r="C303" s="2" t="s">
        <v>835</v>
      </c>
      <c r="D303" s="2" t="str">
        <f>LEFT(TRIM(MID(SUBSTITUTE(tblShipments2[[#This Row],[Details]],CHAR(10)," "), FIND(CHAR(10),tblShipments2[[#This Row],[Details]])+1, 50)), 10)</f>
        <v>0510005021</v>
      </c>
      <c r="E303" t="s">
        <v>856</v>
      </c>
      <c r="F30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3" t="str">
        <f>IF(tblShipments2[[#This Row],[EGM no]]="", "Missing EGM", "EGM Submitted")</f>
        <v>EGM Submitted</v>
      </c>
      <c r="H303" t="str">
        <f>IF(OR(ISNUMBER(SEARCH("Released",tblShipments2[[#This Row],[ROSL]])),
      ISNUMBER(SEARCH("Scroll",tblShipments2[[#This Row],[ROSL]])),
      ISNUMBER(SEARCH("Y",tblShipments2[[#This Row],[ROSL]]))),
   "Released",
   "Not Released")</f>
        <v>Released</v>
      </c>
      <c r="I303" t="str">
        <f>IF(OR(tblShipments2[[#This Row],[EGM no]]="", tblShipments2[[#This Row],[EGM no]]="N.A."), "Not Submitted", "Submitted")</f>
        <v>Submitted</v>
      </c>
      <c r="J303" t="str">
        <f>IF(LEFT(tblShipments2[[#This Row],[Gateway_Extracted]],2)="IN","Valid","Invalid")</f>
        <v>Valid</v>
      </c>
      <c r="K303" t="s">
        <v>857</v>
      </c>
      <c r="L303" t="s">
        <v>858</v>
      </c>
      <c r="M303" t="s">
        <v>31</v>
      </c>
      <c r="N303" t="s">
        <v>859</v>
      </c>
      <c r="O303" t="str">
        <f>IFERROR("IN" &amp; _xlfn.TEXTBEFORE(_xlfn.TEXTAFTER(UPPER(tblShipments2[[#This Row],[Gateway_clean]]),"IN")," ",1),"")</f>
        <v>INMUN1</v>
      </c>
      <c r="P303" t="str">
        <f>SUBSTITUTE(tblShipments2[[#This Row],[Gateway]], CHAR(10), " ")</f>
        <v xml:space="preserve">AWB No. Gateway Port Gateway EGM No. Gateway EGM Date Gateway Site ID Error Code N.A.  INMUN1  137768  2017-10-28 00:00:00.0  INMUN1  S </v>
      </c>
      <c r="Q303" t="s">
        <v>860</v>
      </c>
    </row>
    <row r="304" spans="1:17" x14ac:dyDescent="0.35">
      <c r="A304" t="s">
        <v>8</v>
      </c>
      <c r="B304">
        <v>8937407</v>
      </c>
      <c r="C304" s="2" t="s">
        <v>861</v>
      </c>
      <c r="D304" s="2" t="str">
        <f>LEFT(TRIM(MID(SUBSTITUTE(tblShipments2[[#This Row],[Details]],CHAR(10)," "), FIND(CHAR(10),tblShipments2[[#This Row],[Details]])+1, 50)), 10)</f>
        <v>0509035337</v>
      </c>
      <c r="E304" t="s">
        <v>862</v>
      </c>
      <c r="F30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4" t="str">
        <f>IF(tblShipments2[[#This Row],[EGM no]]="", "Missing EGM", "EGM Submitted")</f>
        <v>EGM Submitted</v>
      </c>
      <c r="H304" t="str">
        <f>IF(OR(ISNUMBER(SEARCH("Released",tblShipments2[[#This Row],[ROSL]])),
      ISNUMBER(SEARCH("Scroll",tblShipments2[[#This Row],[ROSL]])),
      ISNUMBER(SEARCH("Y",tblShipments2[[#This Row],[ROSL]]))),
   "Released",
   "Not Released")</f>
        <v>Released</v>
      </c>
      <c r="I304" t="str">
        <f>IF(OR(tblShipments2[[#This Row],[EGM no]]="", tblShipments2[[#This Row],[EGM no]]="N.A."), "Not Submitted", "Submitted")</f>
        <v>Submitted</v>
      </c>
      <c r="J304" t="str">
        <f>IF(LEFT(tblShipments2[[#This Row],[Gateway_Extracted]],2)="IN","Valid","Invalid")</f>
        <v>Valid</v>
      </c>
      <c r="K304" t="s">
        <v>863</v>
      </c>
      <c r="L304" t="s">
        <v>864</v>
      </c>
      <c r="M304" t="s">
        <v>13</v>
      </c>
      <c r="N304" t="s">
        <v>865</v>
      </c>
      <c r="O304" t="str">
        <f>IFERROR("IN" &amp; _xlfn.TEXTBEFORE(_xlfn.TEXTAFTER(UPPER(tblShipments2[[#This Row],[Gateway_clean]]),"IN")," ",1),"")</f>
        <v>INNSA1</v>
      </c>
      <c r="P304" t="str">
        <f>SUBSTITUTE(tblShipments2[[#This Row],[Gateway]], CHAR(10), " ")</f>
        <v xml:space="preserve">AWB No. Gateway Port Gateway EGM No. Gateway EGM Date Gateway Site ID Error Code N.A.  INNSA1  136158  2017-10-03 00:00:00.0  INNSA1  S </v>
      </c>
      <c r="Q304" t="s">
        <v>866</v>
      </c>
    </row>
    <row r="305" spans="1:17" x14ac:dyDescent="0.35">
      <c r="A305" t="s">
        <v>8</v>
      </c>
      <c r="B305">
        <v>8942181</v>
      </c>
      <c r="C305" s="2" t="s">
        <v>861</v>
      </c>
      <c r="D305" s="2" t="str">
        <f>LEFT(TRIM(MID(SUBSTITUTE(tblShipments2[[#This Row],[Details]],CHAR(10)," "), FIND(CHAR(10),tblShipments2[[#This Row],[Details]])+1, 50)), 10)</f>
        <v>0599059206</v>
      </c>
      <c r="E305" t="s">
        <v>867</v>
      </c>
      <c r="F30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5" t="str">
        <f>IF(tblShipments2[[#This Row],[EGM no]]="", "Missing EGM", "EGM Submitted")</f>
        <v>EGM Submitted</v>
      </c>
      <c r="H305" t="str">
        <f>IF(OR(ISNUMBER(SEARCH("Released",tblShipments2[[#This Row],[ROSL]])),
      ISNUMBER(SEARCH("Scroll",tblShipments2[[#This Row],[ROSL]])),
      ISNUMBER(SEARCH("Y",tblShipments2[[#This Row],[ROSL]]))),
   "Released",
   "Not Released")</f>
        <v>Released</v>
      </c>
      <c r="I305" t="str">
        <f>IF(OR(tblShipments2[[#This Row],[EGM no]]="", tblShipments2[[#This Row],[EGM no]]="N.A."), "Not Submitted", "Submitted")</f>
        <v>Submitted</v>
      </c>
      <c r="J305" t="str">
        <f>IF(LEFT(tblShipments2[[#This Row],[Gateway_Extracted]],2)="IN","Valid","Invalid")</f>
        <v>Valid</v>
      </c>
      <c r="K305" t="s">
        <v>749</v>
      </c>
      <c r="L305" t="s">
        <v>868</v>
      </c>
      <c r="M305" t="s">
        <v>31</v>
      </c>
      <c r="N305" t="s">
        <v>869</v>
      </c>
      <c r="O305" t="str">
        <f>IFERROR("IN" &amp; _xlfn.TEXTBEFORE(_xlfn.TEXTAFTER(UPPER(tblShipments2[[#This Row],[Gateway_clean]]),"IN")," ",1),"")</f>
        <v>INMUN1</v>
      </c>
      <c r="P305" t="str">
        <f>SUBSTITUTE(tblShipments2[[#This Row],[Gateway]], CHAR(10), " ")</f>
        <v xml:space="preserve">AWB No. Gateway Port Gateway EGM No. Gateway EGM Date Gateway Site ID Error Code N.A.  INMUN1  136519  2017-10-09 00:00:00.0  INMUN1  S </v>
      </c>
      <c r="Q305" t="s">
        <v>870</v>
      </c>
    </row>
    <row r="306" spans="1:17" x14ac:dyDescent="0.35">
      <c r="A306" t="s">
        <v>8</v>
      </c>
      <c r="B306">
        <v>8942185</v>
      </c>
      <c r="C306" s="2" t="s">
        <v>861</v>
      </c>
      <c r="D306" s="2" t="str">
        <f>LEFT(TRIM(MID(SUBSTITUTE(tblShipments2[[#This Row],[Details]],CHAR(10)," "), FIND(CHAR(10),tblShipments2[[#This Row],[Details]])+1, 50)), 10)</f>
        <v>0599059206</v>
      </c>
      <c r="E306" t="s">
        <v>871</v>
      </c>
      <c r="F30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6" t="str">
        <f>IF(tblShipments2[[#This Row],[EGM no]]="", "Missing EGM", "EGM Submitted")</f>
        <v>EGM Submitted</v>
      </c>
      <c r="H306" t="str">
        <f>IF(OR(ISNUMBER(SEARCH("Released",tblShipments2[[#This Row],[ROSL]])),
      ISNUMBER(SEARCH("Scroll",tblShipments2[[#This Row],[ROSL]])),
      ISNUMBER(SEARCH("Y",tblShipments2[[#This Row],[ROSL]]))),
   "Released",
   "Not Released")</f>
        <v>Released</v>
      </c>
      <c r="I306" t="str">
        <f>IF(OR(tblShipments2[[#This Row],[EGM no]]="", tblShipments2[[#This Row],[EGM no]]="N.A."), "Not Submitted", "Submitted")</f>
        <v>Submitted</v>
      </c>
      <c r="J306" t="str">
        <f>IF(LEFT(tblShipments2[[#This Row],[Gateway_Extracted]],2)="IN","Valid","Invalid")</f>
        <v>Valid</v>
      </c>
      <c r="K306" t="s">
        <v>749</v>
      </c>
      <c r="L306" t="s">
        <v>872</v>
      </c>
      <c r="M306" t="s">
        <v>31</v>
      </c>
      <c r="N306" t="s">
        <v>873</v>
      </c>
      <c r="O306" t="str">
        <f>IFERROR("IN" &amp; _xlfn.TEXTBEFORE(_xlfn.TEXTAFTER(UPPER(tblShipments2[[#This Row],[Gateway_clean]]),"IN")," ",1),"")</f>
        <v>INMUN1</v>
      </c>
      <c r="P306" t="str">
        <f>SUBSTITUTE(tblShipments2[[#This Row],[Gateway]], CHAR(10), " ")</f>
        <v xml:space="preserve">AWB No. Gateway Port Gateway EGM No. Gateway EGM Date Gateway Site ID Error Code N.A.  INMUN1  136519  2017-10-09 00:00:00.0  INMUN1  S </v>
      </c>
      <c r="Q306" t="s">
        <v>870</v>
      </c>
    </row>
    <row r="307" spans="1:17" x14ac:dyDescent="0.35">
      <c r="A307" t="s">
        <v>8</v>
      </c>
      <c r="B307">
        <v>8961510</v>
      </c>
      <c r="C307" s="2" t="s">
        <v>874</v>
      </c>
      <c r="D307" s="2" t="str">
        <f>LEFT(TRIM(MID(SUBSTITUTE(tblShipments2[[#This Row],[Details]],CHAR(10)," "), FIND(CHAR(10),tblShipments2[[#This Row],[Details]])+1, 50)), 10)</f>
        <v>0515036919</v>
      </c>
      <c r="E307" t="s">
        <v>875</v>
      </c>
      <c r="F30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7" t="str">
        <f>IF(tblShipments2[[#This Row],[EGM no]]="", "Missing EGM", "EGM Submitted")</f>
        <v>EGM Submitted</v>
      </c>
      <c r="H307" t="str">
        <f>IF(OR(ISNUMBER(SEARCH("Released",tblShipments2[[#This Row],[ROSL]])),
      ISNUMBER(SEARCH("Scroll",tblShipments2[[#This Row],[ROSL]])),
      ISNUMBER(SEARCH("Y",tblShipments2[[#This Row],[ROSL]]))),
   "Released",
   "Not Released")</f>
        <v>Released</v>
      </c>
      <c r="I307" t="str">
        <f>IF(OR(tblShipments2[[#This Row],[EGM no]]="", tblShipments2[[#This Row],[EGM no]]="N.A."), "Not Submitted", "Submitted")</f>
        <v>Submitted</v>
      </c>
      <c r="J307" t="str">
        <f>IF(LEFT(tblShipments2[[#This Row],[Gateway_Extracted]],2)="IN","Valid","Invalid")</f>
        <v>Valid</v>
      </c>
      <c r="K307" t="s">
        <v>876</v>
      </c>
      <c r="L307" t="s">
        <v>877</v>
      </c>
      <c r="M307" t="s">
        <v>878</v>
      </c>
      <c r="N307" t="s">
        <v>879</v>
      </c>
      <c r="O307" t="str">
        <f>IFERROR("IN" &amp; _xlfn.TEXTBEFORE(_xlfn.TEXTAFTER(UPPER(tblShipments2[[#This Row],[Gateway_clean]]),"IN")," ",1),"")</f>
        <v>INNSA1</v>
      </c>
      <c r="P307" t="str">
        <f>SUBSTITUTE(tblShipments2[[#This Row],[Gateway]], CHAR(10), " ")</f>
        <v xml:space="preserve">AWB No. Gateway Port Gateway EGM No. Gateway EGM Date Gateway Site ID Error Code N.A.  INNSA1  136238  2017-10-04 00:00:00.0  INNSA1  S </v>
      </c>
      <c r="Q307" t="s">
        <v>880</v>
      </c>
    </row>
    <row r="308" spans="1:17" x14ac:dyDescent="0.35">
      <c r="A308" t="s">
        <v>8</v>
      </c>
      <c r="B308">
        <v>8961708</v>
      </c>
      <c r="C308" s="2" t="s">
        <v>874</v>
      </c>
      <c r="D308" s="2" t="str">
        <f>LEFT(TRIM(MID(SUBSTITUTE(tblShipments2[[#This Row],[Details]],CHAR(10)," "), FIND(CHAR(10),tblShipments2[[#This Row],[Details]])+1, 50)), 10)</f>
        <v>3104003254</v>
      </c>
      <c r="E308" t="s">
        <v>881</v>
      </c>
      <c r="F30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8" t="str">
        <f>IF(tblShipments2[[#This Row],[EGM no]]="", "Missing EGM", "EGM Submitted")</f>
        <v>EGM Submitted</v>
      </c>
      <c r="H308" t="str">
        <f>IF(OR(ISNUMBER(SEARCH("Released",tblShipments2[[#This Row],[ROSL]])),
      ISNUMBER(SEARCH("Scroll",tblShipments2[[#This Row],[ROSL]])),
      ISNUMBER(SEARCH("Y",tblShipments2[[#This Row],[ROSL]]))),
   "Released",
   "Not Released")</f>
        <v>Released</v>
      </c>
      <c r="I308" t="str">
        <f>IF(OR(tblShipments2[[#This Row],[EGM no]]="", tblShipments2[[#This Row],[EGM no]]="N.A."), "Not Submitted", "Submitted")</f>
        <v>Submitted</v>
      </c>
      <c r="J308" t="str">
        <f>IF(LEFT(tblShipments2[[#This Row],[Gateway_Extracted]],2)="IN","Valid","Invalid")</f>
        <v>Valid</v>
      </c>
      <c r="K308" t="s">
        <v>882</v>
      </c>
      <c r="L308" t="s">
        <v>883</v>
      </c>
      <c r="M308" t="s">
        <v>13</v>
      </c>
      <c r="N308" t="s">
        <v>884</v>
      </c>
      <c r="O308" t="str">
        <f>IFERROR("IN" &amp; _xlfn.TEXTBEFORE(_xlfn.TEXTAFTER(UPPER(tblShipments2[[#This Row],[Gateway_clean]]),"IN")," ",1),"")</f>
        <v>INNSA1</v>
      </c>
      <c r="P308" t="str">
        <f>SUBSTITUTE(tblShipments2[[#This Row],[Gateway]], CHAR(10), " ")</f>
        <v xml:space="preserve">AWB No. Gateway Port Gateway EGM No. Gateway EGM Date Gateway Site ID Error Code N.A.  INNSA1  136898  2017-10-13 00:00:00.0  INNSA1  S </v>
      </c>
      <c r="Q308" t="s">
        <v>885</v>
      </c>
    </row>
    <row r="309" spans="1:17" x14ac:dyDescent="0.35">
      <c r="A309" t="s">
        <v>8</v>
      </c>
      <c r="B309">
        <v>8964619</v>
      </c>
      <c r="C309" s="2" t="s">
        <v>874</v>
      </c>
      <c r="D309" s="2" t="str">
        <f>LEFT(TRIM(MID(SUBSTITUTE(tblShipments2[[#This Row],[Details]],CHAR(10)," "), FIND(CHAR(10),tblShipments2[[#This Row],[Details]])+1, 50)), 10)</f>
        <v>0588079359</v>
      </c>
      <c r="E309" t="s">
        <v>886</v>
      </c>
      <c r="F30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09" t="str">
        <f>IF(tblShipments2[[#This Row],[EGM no]]="", "Missing EGM", "EGM Submitted")</f>
        <v>EGM Submitted</v>
      </c>
      <c r="H309" t="str">
        <f>IF(OR(ISNUMBER(SEARCH("Released",tblShipments2[[#This Row],[ROSL]])),
      ISNUMBER(SEARCH("Scroll",tblShipments2[[#This Row],[ROSL]])),
      ISNUMBER(SEARCH("Y",tblShipments2[[#This Row],[ROSL]]))),
   "Released",
   "Not Released")</f>
        <v>Released</v>
      </c>
      <c r="I309" t="str">
        <f>IF(OR(tblShipments2[[#This Row],[EGM no]]="", tblShipments2[[#This Row],[EGM no]]="N.A."), "Not Submitted", "Submitted")</f>
        <v>Submitted</v>
      </c>
      <c r="J309" t="str">
        <f>IF(LEFT(tblShipments2[[#This Row],[Gateway_Extracted]],2)="IN","Valid","Invalid")</f>
        <v>Valid</v>
      </c>
      <c r="K309" t="s">
        <v>887</v>
      </c>
      <c r="L309" t="s">
        <v>888</v>
      </c>
      <c r="M309" t="s">
        <v>13</v>
      </c>
      <c r="N309" t="s">
        <v>889</v>
      </c>
      <c r="O309" t="str">
        <f>IFERROR("IN" &amp; _xlfn.TEXTBEFORE(_xlfn.TEXTAFTER(UPPER(tblShipments2[[#This Row],[Gateway_clean]]),"IN")," ",1),"")</f>
        <v>INNSA1</v>
      </c>
      <c r="P309" t="str">
        <f>SUBSTITUTE(tblShipments2[[#This Row],[Gateway]], CHAR(10), " ")</f>
        <v xml:space="preserve">AWB No. Gateway Port Gateway EGM No. Gateway EGM Date Gateway Site ID Error Code N.A.  INNSA1  N.A.  N.A.  N.A.  N.A. </v>
      </c>
      <c r="Q309" t="s">
        <v>26</v>
      </c>
    </row>
    <row r="310" spans="1:17" x14ac:dyDescent="0.35">
      <c r="A310" t="s">
        <v>8</v>
      </c>
      <c r="B310">
        <v>8966600</v>
      </c>
      <c r="C310" s="2" t="s">
        <v>874</v>
      </c>
      <c r="D310" s="2" t="str">
        <f>LEFT(TRIM(MID(SUBSTITUTE(tblShipments2[[#This Row],[Details]],CHAR(10)," "), FIND(CHAR(10),tblShipments2[[#This Row],[Details]])+1, 50)), 10)</f>
        <v>3104003254</v>
      </c>
      <c r="E310" t="s">
        <v>890</v>
      </c>
      <c r="F31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0" t="str">
        <f>IF(tblShipments2[[#This Row],[EGM no]]="", "Missing EGM", "EGM Submitted")</f>
        <v>EGM Submitted</v>
      </c>
      <c r="H310" t="str">
        <f>IF(OR(ISNUMBER(SEARCH("Released",tblShipments2[[#This Row],[ROSL]])),
      ISNUMBER(SEARCH("Scroll",tblShipments2[[#This Row],[ROSL]])),
      ISNUMBER(SEARCH("Y",tblShipments2[[#This Row],[ROSL]]))),
   "Released",
   "Not Released")</f>
        <v>Released</v>
      </c>
      <c r="I310" t="str">
        <f>IF(OR(tblShipments2[[#This Row],[EGM no]]="", tblShipments2[[#This Row],[EGM no]]="N.A."), "Not Submitted", "Submitted")</f>
        <v>Submitted</v>
      </c>
      <c r="J310" t="str">
        <f>IF(LEFT(tblShipments2[[#This Row],[Gateway_Extracted]],2)="IN","Valid","Invalid")</f>
        <v>Valid</v>
      </c>
      <c r="K310" t="s">
        <v>891</v>
      </c>
      <c r="L310" t="s">
        <v>883</v>
      </c>
      <c r="M310" t="s">
        <v>13</v>
      </c>
      <c r="N310" t="s">
        <v>892</v>
      </c>
      <c r="O310" t="str">
        <f>IFERROR("IN" &amp; _xlfn.TEXTBEFORE(_xlfn.TEXTAFTER(UPPER(tblShipments2[[#This Row],[Gateway_clean]]),"IN")," ",1),"")</f>
        <v>INNSA1</v>
      </c>
      <c r="P310" t="str">
        <f>SUBSTITUTE(tblShipments2[[#This Row],[Gateway]], CHAR(10), " ")</f>
        <v xml:space="preserve">AWB No. Gateway Port Gateway EGM No. Gateway EGM Date Gateway Site ID Error Code N.A.  INNSA1  136898  2017-10-13 00:00:00.0  INNSA1  S </v>
      </c>
      <c r="Q310" t="s">
        <v>885</v>
      </c>
    </row>
    <row r="311" spans="1:17" x14ac:dyDescent="0.35">
      <c r="A311" t="s">
        <v>8</v>
      </c>
      <c r="B311">
        <v>8967109</v>
      </c>
      <c r="C311" s="2" t="s">
        <v>874</v>
      </c>
      <c r="D311" s="2" t="str">
        <f>LEFT(TRIM(MID(SUBSTITUTE(tblShipments2[[#This Row],[Details]],CHAR(10)," "), FIND(CHAR(10),tblShipments2[[#This Row],[Details]])+1, 50)), 10)</f>
        <v>3104003254</v>
      </c>
      <c r="E311" t="s">
        <v>893</v>
      </c>
      <c r="F31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1" t="str">
        <f>IF(tblShipments2[[#This Row],[EGM no]]="", "Missing EGM", "EGM Submitted")</f>
        <v>EGM Submitted</v>
      </c>
      <c r="H311" t="str">
        <f>IF(OR(ISNUMBER(SEARCH("Released",tblShipments2[[#This Row],[ROSL]])),
      ISNUMBER(SEARCH("Scroll",tblShipments2[[#This Row],[ROSL]])),
      ISNUMBER(SEARCH("Y",tblShipments2[[#This Row],[ROSL]]))),
   "Released",
   "Not Released")</f>
        <v>Released</v>
      </c>
      <c r="I311" t="str">
        <f>IF(OR(tblShipments2[[#This Row],[EGM no]]="", tblShipments2[[#This Row],[EGM no]]="N.A."), "Not Submitted", "Submitted")</f>
        <v>Submitted</v>
      </c>
      <c r="J311" t="str">
        <f>IF(LEFT(tblShipments2[[#This Row],[Gateway_Extracted]],2)="IN","Valid","Invalid")</f>
        <v>Valid</v>
      </c>
      <c r="K311" t="s">
        <v>894</v>
      </c>
      <c r="L311" t="s">
        <v>883</v>
      </c>
      <c r="M311" t="s">
        <v>13</v>
      </c>
      <c r="N311" t="s">
        <v>895</v>
      </c>
      <c r="O311" t="str">
        <f>IFERROR("IN" &amp; _xlfn.TEXTBEFORE(_xlfn.TEXTAFTER(UPPER(tblShipments2[[#This Row],[Gateway_clean]]),"IN")," ",1),"")</f>
        <v>INNSA1</v>
      </c>
      <c r="P311" t="str">
        <f>SUBSTITUTE(tblShipments2[[#This Row],[Gateway]], CHAR(10), " ")</f>
        <v xml:space="preserve">AWB No. Gateway Port Gateway EGM No. Gateway EGM Date Gateway Site ID Error Code N.A.  INNSA1  136898  2017-10-13 00:00:00.0  INNSA1  S </v>
      </c>
      <c r="Q311" t="s">
        <v>885</v>
      </c>
    </row>
    <row r="312" spans="1:17" x14ac:dyDescent="0.35">
      <c r="A312" t="s">
        <v>8</v>
      </c>
      <c r="B312">
        <v>8967731</v>
      </c>
      <c r="C312" s="2" t="s">
        <v>874</v>
      </c>
      <c r="D312" s="2" t="str">
        <f>LEFT(TRIM(MID(SUBSTITUTE(tblShipments2[[#This Row],[Details]],CHAR(10)," "), FIND(CHAR(10),tblShipments2[[#This Row],[Details]])+1, 50)), 10)</f>
        <v>3104003254</v>
      </c>
      <c r="E312" t="s">
        <v>896</v>
      </c>
      <c r="F31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2" t="str">
        <f>IF(tblShipments2[[#This Row],[EGM no]]="", "Missing EGM", "EGM Submitted")</f>
        <v>EGM Submitted</v>
      </c>
      <c r="H312" t="str">
        <f>IF(OR(ISNUMBER(SEARCH("Released",tblShipments2[[#This Row],[ROSL]])),
      ISNUMBER(SEARCH("Scroll",tblShipments2[[#This Row],[ROSL]])),
      ISNUMBER(SEARCH("Y",tblShipments2[[#This Row],[ROSL]]))),
   "Released",
   "Not Released")</f>
        <v>Released</v>
      </c>
      <c r="I312" t="str">
        <f>IF(OR(tblShipments2[[#This Row],[EGM no]]="", tblShipments2[[#This Row],[EGM no]]="N.A."), "Not Submitted", "Submitted")</f>
        <v>Submitted</v>
      </c>
      <c r="J312" t="str">
        <f>IF(LEFT(tblShipments2[[#This Row],[Gateway_Extracted]],2)="IN","Valid","Invalid")</f>
        <v>Valid</v>
      </c>
      <c r="K312" t="s">
        <v>882</v>
      </c>
      <c r="L312" t="s">
        <v>897</v>
      </c>
      <c r="M312" t="s">
        <v>13</v>
      </c>
      <c r="N312" t="s">
        <v>898</v>
      </c>
      <c r="O312" t="str">
        <f>IFERROR("IN" &amp; _xlfn.TEXTBEFORE(_xlfn.TEXTAFTER(UPPER(tblShipments2[[#This Row],[Gateway_clean]]),"IN")," ",1),"")</f>
        <v>INMUN1</v>
      </c>
      <c r="P312" t="str">
        <f>SUBSTITUTE(tblShipments2[[#This Row],[Gateway]], CHAR(10), " ")</f>
        <v xml:space="preserve">AWB No. Gateway Port Gateway EGM No. Gateway EGM Date Gateway Site ID Error Code N.A.  INMUN1  135373  2017-09-19 00:00:00.0  INMUN1  S </v>
      </c>
      <c r="Q312" t="s">
        <v>899</v>
      </c>
    </row>
    <row r="313" spans="1:17" x14ac:dyDescent="0.35">
      <c r="A313" t="s">
        <v>8</v>
      </c>
      <c r="B313">
        <v>8999430</v>
      </c>
      <c r="C313" s="2" t="s">
        <v>900</v>
      </c>
      <c r="D313" s="2" t="str">
        <f>LEFT(TRIM(MID(SUBSTITUTE(tblShipments2[[#This Row],[Details]],CHAR(10)," "), FIND(CHAR(10),tblShipments2[[#This Row],[Details]])+1, 50)), 10)</f>
        <v>0589053850</v>
      </c>
      <c r="E313" t="s">
        <v>901</v>
      </c>
      <c r="F31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3" t="str">
        <f>IF(tblShipments2[[#This Row],[EGM no]]="", "Missing EGM", "EGM Submitted")</f>
        <v>EGM Submitted</v>
      </c>
      <c r="H313" t="str">
        <f>IF(OR(ISNUMBER(SEARCH("Released",tblShipments2[[#This Row],[ROSL]])),
      ISNUMBER(SEARCH("Scroll",tblShipments2[[#This Row],[ROSL]])),
      ISNUMBER(SEARCH("Y",tblShipments2[[#This Row],[ROSL]]))),
   "Released",
   "Not Released")</f>
        <v>Released</v>
      </c>
      <c r="I313" t="str">
        <f>IF(OR(tblShipments2[[#This Row],[EGM no]]="", tblShipments2[[#This Row],[EGM no]]="N.A."), "Not Submitted", "Submitted")</f>
        <v>Submitted</v>
      </c>
      <c r="J313" t="str">
        <f>IF(LEFT(tblShipments2[[#This Row],[Gateway_Extracted]],2)="IN","Valid","Invalid")</f>
        <v>Valid</v>
      </c>
      <c r="K313" t="s">
        <v>902</v>
      </c>
      <c r="L313" t="s">
        <v>903</v>
      </c>
      <c r="M313" t="s">
        <v>13</v>
      </c>
      <c r="N313" t="s">
        <v>904</v>
      </c>
      <c r="O313" t="str">
        <f>IFERROR("IN" &amp; _xlfn.TEXTBEFORE(_xlfn.TEXTAFTER(UPPER(tblShipments2[[#This Row],[Gateway_clean]]),"IN")," ",1),"")</f>
        <v>INNSA1</v>
      </c>
      <c r="P313" t="str">
        <f>SUBSTITUTE(tblShipments2[[#This Row],[Gateway]], CHAR(10), " ")</f>
        <v xml:space="preserve">AWB No. Gateway Port Gateway EGM No. Gateway EGM Date Gateway Site ID Error Code N.A.  INNSA1  135755  2017-09-25 00:00:00.0  INNSA1  NC </v>
      </c>
      <c r="Q313" t="s">
        <v>905</v>
      </c>
    </row>
    <row r="314" spans="1:17" x14ac:dyDescent="0.35">
      <c r="A314" t="s">
        <v>8</v>
      </c>
      <c r="B314">
        <v>9000406</v>
      </c>
      <c r="C314" s="2" t="s">
        <v>900</v>
      </c>
      <c r="D314" s="2" t="str">
        <f>LEFT(TRIM(MID(SUBSTITUTE(tblShipments2[[#This Row],[Details]],CHAR(10)," "), FIND(CHAR(10),tblShipments2[[#This Row],[Details]])+1, 50)), 10)</f>
        <v>0595012647</v>
      </c>
      <c r="E314" t="s">
        <v>906</v>
      </c>
      <c r="F31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4" t="str">
        <f>IF(tblShipments2[[#This Row],[EGM no]]="", "Missing EGM", "EGM Submitted")</f>
        <v>EGM Submitted</v>
      </c>
      <c r="H314" t="str">
        <f>IF(OR(ISNUMBER(SEARCH("Released",tblShipments2[[#This Row],[ROSL]])),
      ISNUMBER(SEARCH("Scroll",tblShipments2[[#This Row],[ROSL]])),
      ISNUMBER(SEARCH("Y",tblShipments2[[#This Row],[ROSL]]))),
   "Released",
   "Not Released")</f>
        <v>Released</v>
      </c>
      <c r="I314" t="str">
        <f>IF(OR(tblShipments2[[#This Row],[EGM no]]="", tblShipments2[[#This Row],[EGM no]]="N.A."), "Not Submitted", "Submitted")</f>
        <v>Submitted</v>
      </c>
      <c r="J314" t="str">
        <f>IF(LEFT(tblShipments2[[#This Row],[Gateway_Extracted]],2)="IN","Valid","Invalid")</f>
        <v>Valid</v>
      </c>
      <c r="K314" t="s">
        <v>907</v>
      </c>
      <c r="L314" t="s">
        <v>908</v>
      </c>
      <c r="M314" t="s">
        <v>13</v>
      </c>
      <c r="N314" t="s">
        <v>909</v>
      </c>
      <c r="O314" t="str">
        <f>IFERROR("IN" &amp; _xlfn.TEXTBEFORE(_xlfn.TEXTAFTER(UPPER(tblShipments2[[#This Row],[Gateway_clean]]),"IN")," ",1),"")</f>
        <v>INMUN1</v>
      </c>
      <c r="P314" t="str">
        <f>SUBSTITUTE(tblShipments2[[#This Row],[Gateway]], CHAR(10), " ")</f>
        <v xml:space="preserve">AWB No. Gateway Port Gateway EGM No. Gateway EGM Date Gateway Site ID Error Code N.A.  INMUN1  136071  2017-09-29 00:00:00.0  INMUN1  S </v>
      </c>
      <c r="Q314" t="s">
        <v>910</v>
      </c>
    </row>
    <row r="315" spans="1:17" x14ac:dyDescent="0.35">
      <c r="A315" t="s">
        <v>8</v>
      </c>
      <c r="B315">
        <v>9003019</v>
      </c>
      <c r="C315" s="2" t="s">
        <v>900</v>
      </c>
      <c r="D315" s="2" t="str">
        <f>LEFT(TRIM(MID(SUBSTITUTE(tblShipments2[[#This Row],[Details]],CHAR(10)," "), FIND(CHAR(10),tblShipments2[[#This Row],[Details]])+1, 50)), 10)</f>
        <v>0595012647</v>
      </c>
      <c r="E315" t="s">
        <v>911</v>
      </c>
      <c r="F31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5" t="str">
        <f>IF(tblShipments2[[#This Row],[EGM no]]="", "Missing EGM", "EGM Submitted")</f>
        <v>EGM Submitted</v>
      </c>
      <c r="H315" t="str">
        <f>IF(OR(ISNUMBER(SEARCH("Released",tblShipments2[[#This Row],[ROSL]])),
      ISNUMBER(SEARCH("Scroll",tblShipments2[[#This Row],[ROSL]])),
      ISNUMBER(SEARCH("Y",tblShipments2[[#This Row],[ROSL]]))),
   "Released",
   "Not Released")</f>
        <v>Released</v>
      </c>
      <c r="I315" t="str">
        <f>IF(OR(tblShipments2[[#This Row],[EGM no]]="", tblShipments2[[#This Row],[EGM no]]="N.A."), "Not Submitted", "Submitted")</f>
        <v>Submitted</v>
      </c>
      <c r="J315" t="str">
        <f>IF(LEFT(tblShipments2[[#This Row],[Gateway_Extracted]],2)="IN","Valid","Invalid")</f>
        <v>Valid</v>
      </c>
      <c r="K315" t="s">
        <v>811</v>
      </c>
      <c r="L315" t="s">
        <v>908</v>
      </c>
      <c r="M315" t="s">
        <v>13</v>
      </c>
      <c r="N315" t="s">
        <v>912</v>
      </c>
      <c r="O315" t="str">
        <f>IFERROR("IN" &amp; _xlfn.TEXTBEFORE(_xlfn.TEXTAFTER(UPPER(tblShipments2[[#This Row],[Gateway_clean]]),"IN")," ",1),"")</f>
        <v>INMUN1</v>
      </c>
      <c r="P315" t="str">
        <f>SUBSTITUTE(tblShipments2[[#This Row],[Gateway]], CHAR(10), " ")</f>
        <v xml:space="preserve">AWB No. Gateway Port Gateway EGM No. Gateway EGM Date Gateway Site ID Error Code N.A.  INMUN1  136071  2017-09-29 00:00:00.0  INMUN1  S </v>
      </c>
      <c r="Q315" t="s">
        <v>910</v>
      </c>
    </row>
    <row r="316" spans="1:17" x14ac:dyDescent="0.35">
      <c r="A316" t="s">
        <v>8</v>
      </c>
      <c r="B316">
        <v>9009228</v>
      </c>
      <c r="C316" s="2" t="s">
        <v>900</v>
      </c>
      <c r="D316" s="2" t="str">
        <f>LEFT(TRIM(MID(SUBSTITUTE(tblShipments2[[#This Row],[Details]],CHAR(10)," "), FIND(CHAR(10),tblShipments2[[#This Row],[Details]])+1, 50)), 10)</f>
        <v>2915001367</v>
      </c>
      <c r="E316" t="s">
        <v>913</v>
      </c>
      <c r="F31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6" t="str">
        <f>IF(tblShipments2[[#This Row],[EGM no]]="", "Missing EGM", "EGM Submitted")</f>
        <v>EGM Submitted</v>
      </c>
      <c r="H316" t="str">
        <f>IF(OR(ISNUMBER(SEARCH("Released",tblShipments2[[#This Row],[ROSL]])),
      ISNUMBER(SEARCH("Scroll",tblShipments2[[#This Row],[ROSL]])),
      ISNUMBER(SEARCH("Y",tblShipments2[[#This Row],[ROSL]]))),
   "Released",
   "Not Released")</f>
        <v>Released</v>
      </c>
      <c r="I316" t="str">
        <f>IF(OR(tblShipments2[[#This Row],[EGM no]]="", tblShipments2[[#This Row],[EGM no]]="N.A."), "Not Submitted", "Submitted")</f>
        <v>Submitted</v>
      </c>
      <c r="J316" t="str">
        <f>IF(LEFT(tblShipments2[[#This Row],[Gateway_Extracted]],2)="IN","Valid","Invalid")</f>
        <v>Valid</v>
      </c>
      <c r="K316" t="s">
        <v>749</v>
      </c>
      <c r="L316" t="s">
        <v>914</v>
      </c>
      <c r="M316" t="s">
        <v>31</v>
      </c>
      <c r="N316" t="s">
        <v>915</v>
      </c>
      <c r="O316" t="str">
        <f>IFERROR("IN" &amp; _xlfn.TEXTBEFORE(_xlfn.TEXTAFTER(UPPER(tblShipments2[[#This Row],[Gateway_clean]]),"IN")," ",1),"")</f>
        <v>INNSA1</v>
      </c>
      <c r="P316" t="str">
        <f>SUBSTITUTE(tblShipments2[[#This Row],[Gateway]], CHAR(10), " ")</f>
        <v xml:space="preserve">AWB No. Gateway Port Gateway EGM No. Gateway EGM Date Gateway Site ID Error Code N.A.  INNSA1  135119  2017-09-14 00:00:00.0  INNSA1  S </v>
      </c>
      <c r="Q316" t="s">
        <v>916</v>
      </c>
    </row>
    <row r="317" spans="1:17" x14ac:dyDescent="0.35">
      <c r="A317" t="s">
        <v>8</v>
      </c>
      <c r="B317">
        <v>9029616</v>
      </c>
      <c r="C317" s="2" t="s">
        <v>917</v>
      </c>
      <c r="D317" s="2" t="str">
        <f>LEFT(TRIM(MID(SUBSTITUTE(tblShipments2[[#This Row],[Details]],CHAR(10)," "), FIND(CHAR(10),tblShipments2[[#This Row],[Details]])+1, 50)), 10)</f>
        <v>0598059113</v>
      </c>
      <c r="E317" t="s">
        <v>918</v>
      </c>
      <c r="F31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7" t="str">
        <f>IF(tblShipments2[[#This Row],[EGM no]]="", "Missing EGM", "EGM Submitted")</f>
        <v>EGM Submitted</v>
      </c>
      <c r="H317" t="str">
        <f>IF(OR(ISNUMBER(SEARCH("Released",tblShipments2[[#This Row],[ROSL]])),
      ISNUMBER(SEARCH("Scroll",tblShipments2[[#This Row],[ROSL]])),
      ISNUMBER(SEARCH("Y",tblShipments2[[#This Row],[ROSL]]))),
   "Released",
   "Not Released")</f>
        <v>Released</v>
      </c>
      <c r="I317" t="str">
        <f>IF(OR(tblShipments2[[#This Row],[EGM no]]="", tblShipments2[[#This Row],[EGM no]]="N.A."), "Not Submitted", "Submitted")</f>
        <v>Submitted</v>
      </c>
      <c r="J317" t="str">
        <f>IF(LEFT(tblShipments2[[#This Row],[Gateway_Extracted]],2)="IN","Valid","Invalid")</f>
        <v>Valid</v>
      </c>
      <c r="K317" t="s">
        <v>919</v>
      </c>
      <c r="L317" t="s">
        <v>920</v>
      </c>
      <c r="M317" t="s">
        <v>13</v>
      </c>
      <c r="N317" t="s">
        <v>921</v>
      </c>
      <c r="O317" t="str">
        <f>IFERROR("IN" &amp; _xlfn.TEXTBEFORE(_xlfn.TEXTAFTER(UPPER(tblShipments2[[#This Row],[Gateway_clean]]),"IN")," ",1),"")</f>
        <v>INMUN1</v>
      </c>
      <c r="P317" t="str">
        <f>SUBSTITUTE(tblShipments2[[#This Row],[Gateway]], CHAR(10), " ")</f>
        <v xml:space="preserve">AWB No. Gateway Port Gateway EGM No. Gateway EGM Date Gateway Site ID Error Code N.A.  INMUN1  136518  2017-10-09 00:00:00.0  INMUN1  S </v>
      </c>
      <c r="Q317" t="s">
        <v>922</v>
      </c>
    </row>
    <row r="318" spans="1:17" x14ac:dyDescent="0.35">
      <c r="A318" t="s">
        <v>8</v>
      </c>
      <c r="B318">
        <v>9049883</v>
      </c>
      <c r="C318" s="2" t="s">
        <v>917</v>
      </c>
      <c r="D318" s="2" t="str">
        <f>LEFT(TRIM(MID(SUBSTITUTE(tblShipments2[[#This Row],[Details]],CHAR(10)," "), FIND(CHAR(10),tblShipments2[[#This Row],[Details]])+1, 50)), 10)</f>
        <v>0506012905</v>
      </c>
      <c r="E318" t="s">
        <v>923</v>
      </c>
      <c r="F31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8" t="str">
        <f>IF(tblShipments2[[#This Row],[EGM no]]="", "Missing EGM", "EGM Submitted")</f>
        <v>EGM Submitted</v>
      </c>
      <c r="H318" t="str">
        <f>IF(OR(ISNUMBER(SEARCH("Released",tblShipments2[[#This Row],[ROSL]])),
      ISNUMBER(SEARCH("Scroll",tblShipments2[[#This Row],[ROSL]])),
      ISNUMBER(SEARCH("Y",tblShipments2[[#This Row],[ROSL]]))),
   "Released",
   "Not Released")</f>
        <v>Released</v>
      </c>
      <c r="I318" t="str">
        <f>IF(OR(tblShipments2[[#This Row],[EGM no]]="", tblShipments2[[#This Row],[EGM no]]="N.A."), "Not Submitted", "Submitted")</f>
        <v>Submitted</v>
      </c>
      <c r="J318" t="str">
        <f>IF(LEFT(tblShipments2[[#This Row],[Gateway_Extracted]],2)="IN","Valid","Invalid")</f>
        <v>Valid</v>
      </c>
      <c r="K318" t="s">
        <v>924</v>
      </c>
      <c r="L318" t="s">
        <v>925</v>
      </c>
      <c r="M318" t="s">
        <v>31</v>
      </c>
      <c r="N318" t="s">
        <v>926</v>
      </c>
      <c r="O318" t="str">
        <f>IFERROR("IN" &amp; _xlfn.TEXTBEFORE(_xlfn.TEXTAFTER(UPPER(tblShipments2[[#This Row],[Gateway_clean]]),"IN")," ",1),"")</f>
        <v>INNSA1</v>
      </c>
      <c r="P318" t="str">
        <f>SUBSTITUTE(tblShipments2[[#This Row],[Gateway]], CHAR(10), " ")</f>
        <v xml:space="preserve">AWB No. Gateway Port Gateway EGM No. Gateway EGM Date Gateway Site ID Error Code N.A.  INNSA1  136163  2017-10-03 00:00:00.0  INNSA1  C </v>
      </c>
      <c r="Q318" t="s">
        <v>927</v>
      </c>
    </row>
    <row r="319" spans="1:17" x14ac:dyDescent="0.35">
      <c r="A319" t="s">
        <v>8</v>
      </c>
      <c r="B319">
        <v>9064900</v>
      </c>
      <c r="C319" s="2" t="s">
        <v>928</v>
      </c>
      <c r="D319" s="2" t="str">
        <f>LEFT(TRIM(MID(SUBSTITUTE(tblShipments2[[#This Row],[Details]],CHAR(10)," "), FIND(CHAR(10),tblShipments2[[#This Row],[Details]])+1, 50)), 10)</f>
        <v>0504063227</v>
      </c>
      <c r="E319" t="s">
        <v>929</v>
      </c>
      <c r="F31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19" t="str">
        <f>IF(tblShipments2[[#This Row],[EGM no]]="", "Missing EGM", "EGM Submitted")</f>
        <v>EGM Submitted</v>
      </c>
      <c r="H319" t="str">
        <f>IF(OR(ISNUMBER(SEARCH("Released",tblShipments2[[#This Row],[ROSL]])),
      ISNUMBER(SEARCH("Scroll",tblShipments2[[#This Row],[ROSL]])),
      ISNUMBER(SEARCH("Y",tblShipments2[[#This Row],[ROSL]]))),
   "Released",
   "Not Released")</f>
        <v>Released</v>
      </c>
      <c r="I319" t="str">
        <f>IF(OR(tblShipments2[[#This Row],[EGM no]]="", tblShipments2[[#This Row],[EGM no]]="N.A."), "Not Submitted", "Submitted")</f>
        <v>Submitted</v>
      </c>
      <c r="J319" t="str">
        <f>IF(LEFT(tblShipments2[[#This Row],[Gateway_Extracted]],2)="IN","Valid","Invalid")</f>
        <v>Valid</v>
      </c>
      <c r="K319" t="s">
        <v>930</v>
      </c>
      <c r="L319" t="s">
        <v>931</v>
      </c>
      <c r="M319" t="s">
        <v>13</v>
      </c>
      <c r="N319" t="s">
        <v>932</v>
      </c>
      <c r="O319" t="str">
        <f>IFERROR("IN" &amp; _xlfn.TEXTBEFORE(_xlfn.TEXTAFTER(UPPER(tblShipments2[[#This Row],[Gateway_clean]]),"IN")," ",1),"")</f>
        <v>INNSA1</v>
      </c>
      <c r="P319" t="str">
        <f>SUBSTITUTE(tblShipments2[[#This Row],[Gateway]], CHAR(10), " ")</f>
        <v xml:space="preserve">AWB No. Gateway Port Gateway EGM No. Gateway EGM Date Gateway Site ID Error Code N.A.  INNSA1  135895  2017-09-27 00:00:00.0  INNSA1  S </v>
      </c>
      <c r="Q319" t="s">
        <v>933</v>
      </c>
    </row>
    <row r="320" spans="1:17" x14ac:dyDescent="0.35">
      <c r="A320" t="s">
        <v>8</v>
      </c>
      <c r="B320">
        <v>9073097</v>
      </c>
      <c r="C320" s="2" t="s">
        <v>928</v>
      </c>
      <c r="D320" s="2" t="str">
        <f>LEFT(TRIM(MID(SUBSTITUTE(tblShipments2[[#This Row],[Details]],CHAR(10)," "), FIND(CHAR(10),tblShipments2[[#This Row],[Details]])+1, 50)), 10)</f>
        <v>0588024317</v>
      </c>
      <c r="E320" t="s">
        <v>934</v>
      </c>
      <c r="F32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0" t="str">
        <f>IF(tblShipments2[[#This Row],[EGM no]]="", "Missing EGM", "EGM Submitted")</f>
        <v>EGM Submitted</v>
      </c>
      <c r="H320" t="str">
        <f>IF(OR(ISNUMBER(SEARCH("Released",tblShipments2[[#This Row],[ROSL]])),
      ISNUMBER(SEARCH("Scroll",tblShipments2[[#This Row],[ROSL]])),
      ISNUMBER(SEARCH("Y",tblShipments2[[#This Row],[ROSL]]))),
   "Released",
   "Not Released")</f>
        <v>Released</v>
      </c>
      <c r="I320" t="str">
        <f>IF(OR(tblShipments2[[#This Row],[EGM no]]="", tblShipments2[[#This Row],[EGM no]]="N.A."), "Not Submitted", "Submitted")</f>
        <v>Submitted</v>
      </c>
      <c r="J320" t="str">
        <f>IF(LEFT(tblShipments2[[#This Row],[Gateway_Extracted]],2)="IN","Valid","Invalid")</f>
        <v>Valid</v>
      </c>
      <c r="K320" t="s">
        <v>935</v>
      </c>
      <c r="L320" t="s">
        <v>936</v>
      </c>
      <c r="M320" t="s">
        <v>31</v>
      </c>
      <c r="N320" t="s">
        <v>937</v>
      </c>
      <c r="O320" t="str">
        <f>IFERROR("IN" &amp; _xlfn.TEXTBEFORE(_xlfn.TEXTAFTER(UPPER(tblShipments2[[#This Row],[Gateway_clean]]),"IN")," ",1),"")</f>
        <v>INNSA1</v>
      </c>
      <c r="P320" t="str">
        <f>SUBSTITUTE(tblShipments2[[#This Row],[Gateway]], CHAR(10), " ")</f>
        <v xml:space="preserve">AWB No. Gateway Port Gateway EGM No. Gateway EGM Date Gateway Site ID Error Code N.A.  INNSA1  135126  2017-09-14 00:00:00.0  INNSA1  S </v>
      </c>
      <c r="Q320" t="s">
        <v>938</v>
      </c>
    </row>
    <row r="321" spans="1:17" x14ac:dyDescent="0.35">
      <c r="A321" t="s">
        <v>8</v>
      </c>
      <c r="B321">
        <v>9086361</v>
      </c>
      <c r="C321" s="2" t="s">
        <v>939</v>
      </c>
      <c r="D321" s="2" t="str">
        <f>LEFT(TRIM(MID(SUBSTITUTE(tblShipments2[[#This Row],[Details]],CHAR(10)," "), FIND(CHAR(10),tblShipments2[[#This Row],[Details]])+1, 50)), 10)</f>
        <v>0514085720</v>
      </c>
      <c r="E321" t="s">
        <v>940</v>
      </c>
      <c r="F32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1" t="str">
        <f>IF(tblShipments2[[#This Row],[EGM no]]="", "Missing EGM", "EGM Submitted")</f>
        <v>EGM Submitted</v>
      </c>
      <c r="H321" t="str">
        <f>IF(OR(ISNUMBER(SEARCH("Released",tblShipments2[[#This Row],[ROSL]])),
      ISNUMBER(SEARCH("Scroll",tblShipments2[[#This Row],[ROSL]])),
      ISNUMBER(SEARCH("Y",tblShipments2[[#This Row],[ROSL]]))),
   "Released",
   "Not Released")</f>
        <v>Released</v>
      </c>
      <c r="I321" t="str">
        <f>IF(OR(tblShipments2[[#This Row],[EGM no]]="", tblShipments2[[#This Row],[EGM no]]="N.A."), "Not Submitted", "Submitted")</f>
        <v>Submitted</v>
      </c>
      <c r="J321" t="str">
        <f>IF(LEFT(tblShipments2[[#This Row],[Gateway_Extracted]],2)="IN","Valid","Invalid")</f>
        <v>Valid</v>
      </c>
      <c r="K321" t="s">
        <v>941</v>
      </c>
      <c r="L321" t="s">
        <v>942</v>
      </c>
      <c r="M321" t="s">
        <v>31</v>
      </c>
      <c r="N321" t="s">
        <v>943</v>
      </c>
      <c r="O321" t="str">
        <f>IFERROR("IN" &amp; _xlfn.TEXTBEFORE(_xlfn.TEXTAFTER(UPPER(tblShipments2[[#This Row],[Gateway_clean]]),"IN")," ",1),"")</f>
        <v>INNSA1</v>
      </c>
      <c r="P321" t="str">
        <f>SUBSTITUTE(tblShipments2[[#This Row],[Gateway]], CHAR(10), " ")</f>
        <v xml:space="preserve">AWB No. Gateway Port Gateway EGM No. Gateway EGM Date Gateway Site ID Error Code N.A.  INNSA1  136252  2017-10-04 00:00:00.0  INNSA1  S </v>
      </c>
      <c r="Q321" t="s">
        <v>944</v>
      </c>
    </row>
    <row r="322" spans="1:17" x14ac:dyDescent="0.35">
      <c r="A322" t="s">
        <v>8</v>
      </c>
      <c r="B322">
        <v>9089004</v>
      </c>
      <c r="C322" s="2" t="s">
        <v>939</v>
      </c>
      <c r="D322" s="2" t="str">
        <f>LEFT(TRIM(MID(SUBSTITUTE(tblShipments2[[#This Row],[Details]],CHAR(10)," "), FIND(CHAR(10),tblShipments2[[#This Row],[Details]])+1, 50)), 10)</f>
        <v>0514067969</v>
      </c>
      <c r="E322" t="s">
        <v>945</v>
      </c>
      <c r="F32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2" t="str">
        <f>IF(tblShipments2[[#This Row],[EGM no]]="", "Missing EGM", "EGM Submitted")</f>
        <v>EGM Submitted</v>
      </c>
      <c r="H322" t="str">
        <f>IF(OR(ISNUMBER(SEARCH("Released",tblShipments2[[#This Row],[ROSL]])),
      ISNUMBER(SEARCH("Scroll",tblShipments2[[#This Row],[ROSL]])),
      ISNUMBER(SEARCH("Y",tblShipments2[[#This Row],[ROSL]]))),
   "Released",
   "Not Released")</f>
        <v>Released</v>
      </c>
      <c r="I322" t="str">
        <f>IF(OR(tblShipments2[[#This Row],[EGM no]]="", tblShipments2[[#This Row],[EGM no]]="N.A."), "Not Submitted", "Submitted")</f>
        <v>Submitted</v>
      </c>
      <c r="J322" t="str">
        <f>IF(LEFT(tblShipments2[[#This Row],[Gateway_Extracted]],2)="IN","Valid","Invalid")</f>
        <v>Valid</v>
      </c>
      <c r="K322" t="s">
        <v>907</v>
      </c>
      <c r="L322" t="s">
        <v>946</v>
      </c>
      <c r="M322" t="s">
        <v>13</v>
      </c>
      <c r="N322" t="s">
        <v>947</v>
      </c>
      <c r="O322" t="str">
        <f>IFERROR("IN" &amp; _xlfn.TEXTBEFORE(_xlfn.TEXTAFTER(UPPER(tblShipments2[[#This Row],[Gateway_clean]]),"IN")," ",1),"")</f>
        <v>INNSA1</v>
      </c>
      <c r="P322" t="str">
        <f>SUBSTITUTE(tblShipments2[[#This Row],[Gateway]], CHAR(10), " ")</f>
        <v xml:space="preserve">AWB No. Gateway Port Gateway EGM No. Gateway EGM Date Gateway Site ID Error Code N.A.  INNSA1  137096  2017-10-17 00:00:00.0  INNSA1  C </v>
      </c>
      <c r="Q322" t="s">
        <v>948</v>
      </c>
    </row>
    <row r="323" spans="1:17" x14ac:dyDescent="0.35">
      <c r="A323" t="s">
        <v>8</v>
      </c>
      <c r="B323">
        <v>9093386</v>
      </c>
      <c r="C323" s="2" t="s">
        <v>939</v>
      </c>
      <c r="D323" s="2" t="str">
        <f>LEFT(TRIM(MID(SUBSTITUTE(tblShipments2[[#This Row],[Details]],CHAR(10)," "), FIND(CHAR(10),tblShipments2[[#This Row],[Details]])+1, 50)), 10)</f>
        <v>0516502123</v>
      </c>
      <c r="E323" t="s">
        <v>949</v>
      </c>
      <c r="F32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3" t="str">
        <f>IF(tblShipments2[[#This Row],[EGM no]]="", "Missing EGM", "EGM Submitted")</f>
        <v>EGM Submitted</v>
      </c>
      <c r="H323" t="str">
        <f>IF(OR(ISNUMBER(SEARCH("Released",tblShipments2[[#This Row],[ROSL]])),
      ISNUMBER(SEARCH("Scroll",tblShipments2[[#This Row],[ROSL]])),
      ISNUMBER(SEARCH("Y",tblShipments2[[#This Row],[ROSL]]))),
   "Released",
   "Not Released")</f>
        <v>Released</v>
      </c>
      <c r="I323" t="str">
        <f>IF(OR(tblShipments2[[#This Row],[EGM no]]="", tblShipments2[[#This Row],[EGM no]]="N.A."), "Not Submitted", "Submitted")</f>
        <v>Submitted</v>
      </c>
      <c r="J323" t="str">
        <f>IF(LEFT(tblShipments2[[#This Row],[Gateway_Extracted]],2)="IN","Valid","Invalid")</f>
        <v>Valid</v>
      </c>
      <c r="K323" t="s">
        <v>930</v>
      </c>
      <c r="L323" t="s">
        <v>950</v>
      </c>
      <c r="M323" t="s">
        <v>13</v>
      </c>
      <c r="N323" t="s">
        <v>951</v>
      </c>
      <c r="O323" t="str">
        <f>IFERROR("IN" &amp; _xlfn.TEXTBEFORE(_xlfn.TEXTAFTER(UPPER(tblShipments2[[#This Row],[Gateway_clean]]),"IN")," ",1),"")</f>
        <v>INMUN1</v>
      </c>
      <c r="P323" t="str">
        <f>SUBSTITUTE(tblShipments2[[#This Row],[Gateway]], CHAR(10), " ")</f>
        <v xml:space="preserve">AWB No. Gateway Port Gateway EGM No. Gateway EGM Date Gateway Site ID Error Code N.A.  INMUN1  140361  2017-12-08 00:00:00.0  INMUN1  S </v>
      </c>
      <c r="Q323" t="s">
        <v>952</v>
      </c>
    </row>
    <row r="324" spans="1:17" x14ac:dyDescent="0.35">
      <c r="A324" t="s">
        <v>8</v>
      </c>
      <c r="B324">
        <v>9096262</v>
      </c>
      <c r="C324" s="2" t="s">
        <v>939</v>
      </c>
      <c r="D324" s="2" t="str">
        <f>LEFT(TRIM(MID(SUBSTITUTE(tblShipments2[[#This Row],[Details]],CHAR(10)," "), FIND(CHAR(10),tblShipments2[[#This Row],[Details]])+1, 50)), 10)</f>
        <v>0588128180</v>
      </c>
      <c r="E324" t="s">
        <v>953</v>
      </c>
      <c r="F32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4" t="str">
        <f>IF(tblShipments2[[#This Row],[EGM no]]="", "Missing EGM", "EGM Submitted")</f>
        <v>EGM Submitted</v>
      </c>
      <c r="H324" t="str">
        <f>IF(OR(ISNUMBER(SEARCH("Released",tblShipments2[[#This Row],[ROSL]])),
      ISNUMBER(SEARCH("Scroll",tblShipments2[[#This Row],[ROSL]])),
      ISNUMBER(SEARCH("Y",tblShipments2[[#This Row],[ROSL]]))),
   "Released",
   "Not Released")</f>
        <v>Released</v>
      </c>
      <c r="I324" t="str">
        <f>IF(OR(tblShipments2[[#This Row],[EGM no]]="", tblShipments2[[#This Row],[EGM no]]="N.A."), "Not Submitted", "Submitted")</f>
        <v>Submitted</v>
      </c>
      <c r="J324" t="str">
        <f>IF(LEFT(tblShipments2[[#This Row],[Gateway_Extracted]],2)="IN","Valid","Invalid")</f>
        <v>Valid</v>
      </c>
      <c r="K324" t="s">
        <v>887</v>
      </c>
      <c r="L324" t="s">
        <v>954</v>
      </c>
      <c r="M324" t="s">
        <v>13</v>
      </c>
      <c r="N324" t="s">
        <v>955</v>
      </c>
      <c r="O324" t="str">
        <f>IFERROR("IN" &amp; _xlfn.TEXTBEFORE(_xlfn.TEXTAFTER(UPPER(tblShipments2[[#This Row],[Gateway_clean]]),"IN")," ",1),"")</f>
        <v>INMUN1</v>
      </c>
      <c r="P324" t="str">
        <f>SUBSTITUTE(tblShipments2[[#This Row],[Gateway]], CHAR(10), " ")</f>
        <v xml:space="preserve">AWB No. Gateway Port Gateway EGM No. Gateway EGM Date Gateway Site ID Error Code N.A.  INMUN1  136910  2017-10-13 00:00:00.0  INMUN1  S </v>
      </c>
      <c r="Q324" t="s">
        <v>956</v>
      </c>
    </row>
    <row r="325" spans="1:17" x14ac:dyDescent="0.35">
      <c r="A325" t="s">
        <v>8</v>
      </c>
      <c r="B325">
        <v>9098433</v>
      </c>
      <c r="C325" s="2" t="s">
        <v>939</v>
      </c>
      <c r="D325" s="2" t="str">
        <f>LEFT(TRIM(MID(SUBSTITUTE(tblShipments2[[#This Row],[Details]],CHAR(10)," "), FIND(CHAR(10),tblShipments2[[#This Row],[Details]])+1, 50)), 10)</f>
        <v>0501061428</v>
      </c>
      <c r="E325" t="s">
        <v>957</v>
      </c>
      <c r="F32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5" t="str">
        <f>IF(tblShipments2[[#This Row],[EGM no]]="", "Missing EGM", "EGM Submitted")</f>
        <v>EGM Submitted</v>
      </c>
      <c r="H325" t="str">
        <f>IF(OR(ISNUMBER(SEARCH("Released",tblShipments2[[#This Row],[ROSL]])),
      ISNUMBER(SEARCH("Scroll",tblShipments2[[#This Row],[ROSL]])),
      ISNUMBER(SEARCH("Y",tblShipments2[[#This Row],[ROSL]]))),
   "Released",
   "Not Released")</f>
        <v>Released</v>
      </c>
      <c r="I325" t="str">
        <f>IF(OR(tblShipments2[[#This Row],[EGM no]]="", tblShipments2[[#This Row],[EGM no]]="N.A."), "Not Submitted", "Submitted")</f>
        <v>Submitted</v>
      </c>
      <c r="J325" t="str">
        <f>IF(LEFT(tblShipments2[[#This Row],[Gateway_Extracted]],2)="IN","Valid","Invalid")</f>
        <v>Valid</v>
      </c>
      <c r="K325" t="s">
        <v>894</v>
      </c>
      <c r="L325" t="s">
        <v>958</v>
      </c>
      <c r="M325" t="s">
        <v>13</v>
      </c>
      <c r="N325" t="s">
        <v>959</v>
      </c>
      <c r="O325" t="str">
        <f>IFERROR("IN" &amp; _xlfn.TEXTBEFORE(_xlfn.TEXTAFTER(UPPER(tblShipments2[[#This Row],[Gateway_clean]]),"IN")," ",1),"")</f>
        <v>INNSA1</v>
      </c>
      <c r="P325" t="str">
        <f>SUBSTITUTE(tblShipments2[[#This Row],[Gateway]], CHAR(10), " ")</f>
        <v xml:space="preserve">AWB No. Gateway Port Gateway EGM No. Gateway EGM Date Gateway Site ID Error Code N.A.  INNSA1  135895  2017-09-27 00:00:00.0  INNSA1  S </v>
      </c>
      <c r="Q325" t="s">
        <v>933</v>
      </c>
    </row>
    <row r="326" spans="1:17" x14ac:dyDescent="0.35">
      <c r="A326" t="s">
        <v>8</v>
      </c>
      <c r="B326">
        <v>9122323</v>
      </c>
      <c r="C326" s="2" t="s">
        <v>960</v>
      </c>
      <c r="D326" s="2" t="str">
        <f>LEFT(TRIM(MID(SUBSTITUTE(tblShipments2[[#This Row],[Details]],CHAR(10)," "), FIND(CHAR(10),tblShipments2[[#This Row],[Details]])+1, 50)), 10)</f>
        <v>0507023722</v>
      </c>
      <c r="E326" t="s">
        <v>961</v>
      </c>
      <c r="F32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6" t="str">
        <f>IF(tblShipments2[[#This Row],[EGM no]]="", "Missing EGM", "EGM Submitted")</f>
        <v>EGM Submitted</v>
      </c>
      <c r="H326" t="str">
        <f>IF(OR(ISNUMBER(SEARCH("Released",tblShipments2[[#This Row],[ROSL]])),
      ISNUMBER(SEARCH("Scroll",tblShipments2[[#This Row],[ROSL]])),
      ISNUMBER(SEARCH("Y",tblShipments2[[#This Row],[ROSL]]))),
   "Released",
   "Not Released")</f>
        <v>Released</v>
      </c>
      <c r="I326" t="str">
        <f>IF(OR(tblShipments2[[#This Row],[EGM no]]="", tblShipments2[[#This Row],[EGM no]]="N.A."), "Not Submitted", "Submitted")</f>
        <v>Submitted</v>
      </c>
      <c r="J326" t="str">
        <f>IF(LEFT(tblShipments2[[#This Row],[Gateway_Extracted]],2)="IN","Valid","Invalid")</f>
        <v>Valid</v>
      </c>
      <c r="K326" t="s">
        <v>941</v>
      </c>
      <c r="L326" t="s">
        <v>958</v>
      </c>
      <c r="M326" t="s">
        <v>31</v>
      </c>
      <c r="N326" t="s">
        <v>962</v>
      </c>
      <c r="O326" t="str">
        <f>IFERROR("IN" &amp; _xlfn.TEXTBEFORE(_xlfn.TEXTAFTER(UPPER(tblShipments2[[#This Row],[Gateway_clean]]),"IN")," ",1),"")</f>
        <v>INNSA1</v>
      </c>
      <c r="P326" t="str">
        <f>SUBSTITUTE(tblShipments2[[#This Row],[Gateway]], CHAR(10), " ")</f>
        <v xml:space="preserve">AWB No. Gateway Port Gateway EGM No. Gateway EGM Date Gateway Site ID Error Code N.A.  INNSA1  135895  2017-09-27 00:00:00.0  INNSA1  S </v>
      </c>
      <c r="Q326" t="s">
        <v>933</v>
      </c>
    </row>
    <row r="327" spans="1:17" x14ac:dyDescent="0.35">
      <c r="A327" t="s">
        <v>8</v>
      </c>
      <c r="B327">
        <v>9131041</v>
      </c>
      <c r="C327" s="2" t="s">
        <v>960</v>
      </c>
      <c r="D327" s="2" t="str">
        <f>LEFT(TRIM(MID(SUBSTITUTE(tblShipments2[[#This Row],[Details]],CHAR(10)," "), FIND(CHAR(10),tblShipments2[[#This Row],[Details]])+1, 50)), 10)</f>
        <v>0500003491</v>
      </c>
      <c r="E327" t="s">
        <v>963</v>
      </c>
      <c r="F32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7" t="str">
        <f>IF(tblShipments2[[#This Row],[EGM no]]="", "Missing EGM", "EGM Submitted")</f>
        <v>EGM Submitted</v>
      </c>
      <c r="H327" t="str">
        <f>IF(OR(ISNUMBER(SEARCH("Released",tblShipments2[[#This Row],[ROSL]])),
      ISNUMBER(SEARCH("Scroll",tblShipments2[[#This Row],[ROSL]])),
      ISNUMBER(SEARCH("Y",tblShipments2[[#This Row],[ROSL]]))),
   "Released",
   "Not Released")</f>
        <v>Released</v>
      </c>
      <c r="I327" t="str">
        <f>IF(OR(tblShipments2[[#This Row],[EGM no]]="", tblShipments2[[#This Row],[EGM no]]="N.A."), "Not Submitted", "Submitted")</f>
        <v>Submitted</v>
      </c>
      <c r="J327" t="str">
        <f>IF(LEFT(tblShipments2[[#This Row],[Gateway_Extracted]],2)="IN","Valid","Invalid")</f>
        <v>Valid</v>
      </c>
      <c r="K327" t="s">
        <v>964</v>
      </c>
      <c r="L327" t="s">
        <v>965</v>
      </c>
      <c r="M327" t="s">
        <v>31</v>
      </c>
      <c r="N327" t="s">
        <v>966</v>
      </c>
      <c r="O327" t="str">
        <f>IFERROR("IN" &amp; _xlfn.TEXTBEFORE(_xlfn.TEXTAFTER(UPPER(tblShipments2[[#This Row],[Gateway_clean]]),"IN")," ",1),"")</f>
        <v>INMUN1</v>
      </c>
      <c r="P327" t="str">
        <f>SUBSTITUTE(tblShipments2[[#This Row],[Gateway]], CHAR(10), " ")</f>
        <v xml:space="preserve">AWB No. Gateway Port Gateway EGM No. Gateway EGM Date Gateway Site ID Error Code N.A.  INMUN1  138865  2017-11-15 00:00:00.0  INMUN1  S </v>
      </c>
      <c r="Q327" t="s">
        <v>967</v>
      </c>
    </row>
    <row r="328" spans="1:17" x14ac:dyDescent="0.35">
      <c r="A328" t="s">
        <v>8</v>
      </c>
      <c r="B328">
        <v>9136843</v>
      </c>
      <c r="C328" s="2" t="s">
        <v>968</v>
      </c>
      <c r="D328" s="2" t="str">
        <f>LEFT(TRIM(MID(SUBSTITUTE(tblShipments2[[#This Row],[Details]],CHAR(10)," "), FIND(CHAR(10),tblShipments2[[#This Row],[Details]])+1, 50)), 10)</f>
        <v>0314004173</v>
      </c>
      <c r="E328" t="s">
        <v>969</v>
      </c>
      <c r="F32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8" t="str">
        <f>IF(tblShipments2[[#This Row],[EGM no]]="", "Missing EGM", "EGM Submitted")</f>
        <v>EGM Submitted</v>
      </c>
      <c r="H328" t="str">
        <f>IF(OR(ISNUMBER(SEARCH("Released",tblShipments2[[#This Row],[ROSL]])),
      ISNUMBER(SEARCH("Scroll",tblShipments2[[#This Row],[ROSL]])),
      ISNUMBER(SEARCH("Y",tblShipments2[[#This Row],[ROSL]]))),
   "Released",
   "Not Released")</f>
        <v>Released</v>
      </c>
      <c r="I328" t="str">
        <f>IF(OR(tblShipments2[[#This Row],[EGM no]]="", tblShipments2[[#This Row],[EGM no]]="N.A."), "Not Submitted", "Submitted")</f>
        <v>Submitted</v>
      </c>
      <c r="J328" t="str">
        <f>IF(LEFT(tblShipments2[[#This Row],[Gateway_Extracted]],2)="IN","Valid","Invalid")</f>
        <v>Valid</v>
      </c>
      <c r="K328" t="s">
        <v>811</v>
      </c>
      <c r="L328" t="s">
        <v>970</v>
      </c>
      <c r="M328" t="s">
        <v>13</v>
      </c>
      <c r="N328" t="s">
        <v>971</v>
      </c>
      <c r="O328" t="str">
        <f>IFERROR("IN" &amp; _xlfn.TEXTBEFORE(_xlfn.TEXTAFTER(UPPER(tblShipments2[[#This Row],[Gateway_clean]]),"IN")," ",1),"")</f>
        <v>INNSA1</v>
      </c>
      <c r="P328" t="str">
        <f>SUBSTITUTE(tblShipments2[[#This Row],[Gateway]], CHAR(10), " ")</f>
        <v xml:space="preserve">AWB No. Gateway Port Gateway EGM No. Gateway EGM Date Gateway Site ID Error Code N.A.  INNSA1  137147  2017-10-18 00:00:00.0  INNSA1  S </v>
      </c>
      <c r="Q328" t="s">
        <v>972</v>
      </c>
    </row>
    <row r="329" spans="1:17" x14ac:dyDescent="0.35">
      <c r="A329" t="s">
        <v>8</v>
      </c>
      <c r="B329">
        <v>9137886</v>
      </c>
      <c r="C329" s="2" t="s">
        <v>968</v>
      </c>
      <c r="D329" s="2" t="str">
        <f>LEFT(TRIM(MID(SUBSTITUTE(tblShipments2[[#This Row],[Details]],CHAR(10)," "), FIND(CHAR(10),tblShipments2[[#This Row],[Details]])+1, 50)), 10)</f>
        <v>0509025765</v>
      </c>
      <c r="E329" t="s">
        <v>973</v>
      </c>
      <c r="F32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29" t="str">
        <f>IF(tblShipments2[[#This Row],[EGM no]]="", "Missing EGM", "EGM Submitted")</f>
        <v>EGM Submitted</v>
      </c>
      <c r="H329" t="str">
        <f>IF(OR(ISNUMBER(SEARCH("Released",tblShipments2[[#This Row],[ROSL]])),
      ISNUMBER(SEARCH("Scroll",tblShipments2[[#This Row],[ROSL]])),
      ISNUMBER(SEARCH("Y",tblShipments2[[#This Row],[ROSL]]))),
   "Released",
   "Not Released")</f>
        <v>Released</v>
      </c>
      <c r="I329" t="str">
        <f>IF(OR(tblShipments2[[#This Row],[EGM no]]="", tblShipments2[[#This Row],[EGM no]]="N.A."), "Not Submitted", "Submitted")</f>
        <v>Submitted</v>
      </c>
      <c r="J329" t="str">
        <f>IF(LEFT(tblShipments2[[#This Row],[Gateway_Extracted]],2)="IN","Valid","Invalid")</f>
        <v>Valid</v>
      </c>
      <c r="K329" t="s">
        <v>935</v>
      </c>
      <c r="L329" t="s">
        <v>974</v>
      </c>
      <c r="M329" t="s">
        <v>31</v>
      </c>
      <c r="N329" t="s">
        <v>975</v>
      </c>
      <c r="O329" t="str">
        <f>IFERROR("IN" &amp; _xlfn.TEXTBEFORE(_xlfn.TEXTAFTER(UPPER(tblShipments2[[#This Row],[Gateway_clean]]),"IN")," ",1),"")</f>
        <v>INNSA1</v>
      </c>
      <c r="P329" t="str">
        <f>SUBSTITUTE(tblShipments2[[#This Row],[Gateway]], CHAR(10), " ")</f>
        <v xml:space="preserve">AWB No. Gateway Port Gateway EGM No. Gateway EGM Date Gateway Site ID Error Code N.A.  INNSA1  136648  2017-10-10 00:00:00.0  INNSA1  C </v>
      </c>
      <c r="Q329" t="s">
        <v>976</v>
      </c>
    </row>
    <row r="330" spans="1:17" x14ac:dyDescent="0.35">
      <c r="A330" t="s">
        <v>8</v>
      </c>
      <c r="B330">
        <v>9150741</v>
      </c>
      <c r="C330" s="2" t="s">
        <v>968</v>
      </c>
      <c r="D330" s="2" t="str">
        <f>LEFT(TRIM(MID(SUBSTITUTE(tblShipments2[[#This Row],[Details]],CHAR(10)," "), FIND(CHAR(10),tblShipments2[[#This Row],[Details]])+1, 50)), 10)</f>
        <v>0505007592</v>
      </c>
      <c r="E330" t="s">
        <v>977</v>
      </c>
      <c r="F33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0" t="str">
        <f>IF(tblShipments2[[#This Row],[EGM no]]="", "Missing EGM", "EGM Submitted")</f>
        <v>EGM Submitted</v>
      </c>
      <c r="H330" t="str">
        <f>IF(OR(ISNUMBER(SEARCH("Released",tblShipments2[[#This Row],[ROSL]])),
      ISNUMBER(SEARCH("Scroll",tblShipments2[[#This Row],[ROSL]])),
      ISNUMBER(SEARCH("Y",tblShipments2[[#This Row],[ROSL]]))),
   "Released",
   "Not Released")</f>
        <v>Released</v>
      </c>
      <c r="I330" t="str">
        <f>IF(OR(tblShipments2[[#This Row],[EGM no]]="", tblShipments2[[#This Row],[EGM no]]="N.A."), "Not Submitted", "Submitted")</f>
        <v>Submitted</v>
      </c>
      <c r="J330" t="str">
        <f>IF(LEFT(tblShipments2[[#This Row],[Gateway_Extracted]],2)="IN","Valid","Invalid")</f>
        <v>Valid</v>
      </c>
      <c r="K330" t="s">
        <v>894</v>
      </c>
      <c r="L330" t="s">
        <v>978</v>
      </c>
      <c r="M330" t="s">
        <v>13</v>
      </c>
      <c r="N330" t="s">
        <v>979</v>
      </c>
      <c r="O330" t="str">
        <f>IFERROR("IN" &amp; _xlfn.TEXTBEFORE(_xlfn.TEXTAFTER(UPPER(tblShipments2[[#This Row],[Gateway_clean]]),"IN")," ",1),"")</f>
        <v>INNSA1</v>
      </c>
      <c r="P330" t="str">
        <f>SUBSTITUTE(tblShipments2[[#This Row],[Gateway]], CHAR(10), " ")</f>
        <v xml:space="preserve">AWB No. Gateway Port Gateway EGM No. Gateway EGM Date Gateway Site ID Error Code N.A.  INNSA1  136123  2017-10-02 00:00:00.0  INNSA1  S </v>
      </c>
      <c r="Q330" t="s">
        <v>980</v>
      </c>
    </row>
    <row r="331" spans="1:17" x14ac:dyDescent="0.35">
      <c r="A331" t="s">
        <v>8</v>
      </c>
      <c r="B331">
        <v>9161051</v>
      </c>
      <c r="C331" s="2" t="s">
        <v>981</v>
      </c>
      <c r="D331" s="2" t="str">
        <f>LEFT(TRIM(MID(SUBSTITUTE(tblShipments2[[#This Row],[Details]],CHAR(10)," "), FIND(CHAR(10),tblShipments2[[#This Row],[Details]])+1, 50)), 10)</f>
        <v>0511034661</v>
      </c>
      <c r="E331" t="s">
        <v>982</v>
      </c>
      <c r="F33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1" t="str">
        <f>IF(tblShipments2[[#This Row],[EGM no]]="", "Missing EGM", "EGM Submitted")</f>
        <v>EGM Submitted</v>
      </c>
      <c r="H331" t="str">
        <f>IF(OR(ISNUMBER(SEARCH("Released",tblShipments2[[#This Row],[ROSL]])),
      ISNUMBER(SEARCH("Scroll",tblShipments2[[#This Row],[ROSL]])),
      ISNUMBER(SEARCH("Y",tblShipments2[[#This Row],[ROSL]]))),
   "Released",
   "Not Released")</f>
        <v>Released</v>
      </c>
      <c r="I331" t="str">
        <f>IF(OR(tblShipments2[[#This Row],[EGM no]]="", tblShipments2[[#This Row],[EGM no]]="N.A."), "Not Submitted", "Submitted")</f>
        <v>Submitted</v>
      </c>
      <c r="J331" t="str">
        <f>IF(LEFT(tblShipments2[[#This Row],[Gateway_Extracted]],2)="IN","Valid","Invalid")</f>
        <v>Valid</v>
      </c>
      <c r="K331" t="s">
        <v>983</v>
      </c>
      <c r="L331" t="s">
        <v>984</v>
      </c>
      <c r="M331" t="s">
        <v>31</v>
      </c>
      <c r="N331" t="s">
        <v>985</v>
      </c>
      <c r="O331" t="str">
        <f>IFERROR("IN" &amp; _xlfn.TEXTBEFORE(_xlfn.TEXTAFTER(UPPER(tblShipments2[[#This Row],[Gateway_clean]]),"IN")," ",1),"")</f>
        <v>INNSA1</v>
      </c>
      <c r="P331" t="str">
        <f>SUBSTITUTE(tblShipments2[[#This Row],[Gateway]], CHAR(10), " ")</f>
        <v xml:space="preserve">AWB No. Gateway Port Gateway EGM No. Gateway EGM Date Gateway Site ID Error Code N.A.  INNSA1  136151  2017-10-03 00:00:00.0  INNSA1  S </v>
      </c>
      <c r="Q331" t="s">
        <v>986</v>
      </c>
    </row>
    <row r="332" spans="1:17" x14ac:dyDescent="0.35">
      <c r="A332" t="s">
        <v>8</v>
      </c>
      <c r="B332">
        <v>9203657</v>
      </c>
      <c r="C332" s="2" t="s">
        <v>987</v>
      </c>
      <c r="D332" s="2" t="str">
        <f>LEFT(TRIM(MID(SUBSTITUTE(tblShipments2[[#This Row],[Details]],CHAR(10)," "), FIND(CHAR(10),tblShipments2[[#This Row],[Details]])+1, 50)), 10)</f>
        <v>0510012680</v>
      </c>
      <c r="E332" t="s">
        <v>988</v>
      </c>
      <c r="F33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2" t="str">
        <f>IF(tblShipments2[[#This Row],[EGM no]]="", "Missing EGM", "EGM Submitted")</f>
        <v>EGM Submitted</v>
      </c>
      <c r="H332" t="str">
        <f>IF(OR(ISNUMBER(SEARCH("Released",tblShipments2[[#This Row],[ROSL]])),
      ISNUMBER(SEARCH("Scroll",tblShipments2[[#This Row],[ROSL]])),
      ISNUMBER(SEARCH("Y",tblShipments2[[#This Row],[ROSL]]))),
   "Released",
   "Not Released")</f>
        <v>Released</v>
      </c>
      <c r="I332" t="str">
        <f>IF(OR(tblShipments2[[#This Row],[EGM no]]="", tblShipments2[[#This Row],[EGM no]]="N.A."), "Not Submitted", "Submitted")</f>
        <v>Submitted</v>
      </c>
      <c r="J332" t="str">
        <f>IF(LEFT(tblShipments2[[#This Row],[Gateway_Extracted]],2)="IN","Valid","Invalid")</f>
        <v>Valid</v>
      </c>
      <c r="K332" t="s">
        <v>989</v>
      </c>
      <c r="L332" t="s">
        <v>990</v>
      </c>
      <c r="M332" t="s">
        <v>31</v>
      </c>
      <c r="N332" t="s">
        <v>991</v>
      </c>
      <c r="O332" t="str">
        <f>IFERROR("IN" &amp; _xlfn.TEXTBEFORE(_xlfn.TEXTAFTER(UPPER(tblShipments2[[#This Row],[Gateway_clean]]),"IN")," ",1),"")</f>
        <v>INNSA1</v>
      </c>
      <c r="P332" t="str">
        <f>SUBSTITUTE(tblShipments2[[#This Row],[Gateway]], CHAR(10), " ")</f>
        <v xml:space="preserve">AWB No. Gateway Port Gateway EGM No. Gateway EGM Date Gateway Site ID Error Code N.A.  INNSA1  136204  2017-10-03 00:00:00.0  INNSA1  S </v>
      </c>
      <c r="Q332" t="s">
        <v>992</v>
      </c>
    </row>
    <row r="333" spans="1:17" x14ac:dyDescent="0.35">
      <c r="A333" t="s">
        <v>8</v>
      </c>
      <c r="B333">
        <v>9212445</v>
      </c>
      <c r="C333" s="2" t="s">
        <v>993</v>
      </c>
      <c r="D333" s="2" t="str">
        <f>LEFT(TRIM(MID(SUBSTITUTE(tblShipments2[[#This Row],[Details]],CHAR(10)," "), FIND(CHAR(10),tblShipments2[[#This Row],[Details]])+1, 50)), 10)</f>
        <v>0512084262</v>
      </c>
      <c r="E333" t="s">
        <v>994</v>
      </c>
      <c r="F33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3" t="str">
        <f>IF(tblShipments2[[#This Row],[EGM no]]="", "Missing EGM", "EGM Submitted")</f>
        <v>EGM Submitted</v>
      </c>
      <c r="H333" t="str">
        <f>IF(OR(ISNUMBER(SEARCH("Released",tblShipments2[[#This Row],[ROSL]])),
      ISNUMBER(SEARCH("Scroll",tblShipments2[[#This Row],[ROSL]])),
      ISNUMBER(SEARCH("Y",tblShipments2[[#This Row],[ROSL]]))),
   "Released",
   "Not Released")</f>
        <v>Released</v>
      </c>
      <c r="I333" t="str">
        <f>IF(OR(tblShipments2[[#This Row],[EGM no]]="", tblShipments2[[#This Row],[EGM no]]="N.A."), "Not Submitted", "Submitted")</f>
        <v>Submitted</v>
      </c>
      <c r="J333" t="str">
        <f>IF(LEFT(tblShipments2[[#This Row],[Gateway_Extracted]],2)="IN","Valid","Invalid")</f>
        <v>Valid</v>
      </c>
      <c r="K333" t="s">
        <v>995</v>
      </c>
      <c r="L333" t="s">
        <v>996</v>
      </c>
      <c r="M333" t="s">
        <v>13</v>
      </c>
      <c r="N333" t="s">
        <v>997</v>
      </c>
      <c r="O333" t="str">
        <f>IFERROR("IN" &amp; _xlfn.TEXTBEFORE(_xlfn.TEXTAFTER(UPPER(tblShipments2[[#This Row],[Gateway_clean]]),"IN")," ",1),"")</f>
        <v>INNSA1</v>
      </c>
      <c r="P333" t="str">
        <f>SUBSTITUTE(tblShipments2[[#This Row],[Gateway]], CHAR(10), " ")</f>
        <v xml:space="preserve">AWB No. Gateway Port Gateway EGM No. Gateway EGM Date Gateway Site ID Error Code N.A.  INNSA1  136637  2017-10-10 00:00:00.0  INNSA1  C </v>
      </c>
      <c r="Q333" t="s">
        <v>998</v>
      </c>
    </row>
    <row r="334" spans="1:17" x14ac:dyDescent="0.35">
      <c r="A334" t="s">
        <v>8</v>
      </c>
      <c r="B334">
        <v>9225719</v>
      </c>
      <c r="C334" s="2" t="s">
        <v>993</v>
      </c>
      <c r="D334" s="2" t="str">
        <f>LEFT(TRIM(MID(SUBSTITUTE(tblShipments2[[#This Row],[Details]],CHAR(10)," "), FIND(CHAR(10),tblShipments2[[#This Row],[Details]])+1, 50)), 10)</f>
        <v>0591032163</v>
      </c>
      <c r="E334" t="s">
        <v>999</v>
      </c>
      <c r="F33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4" t="str">
        <f>IF(tblShipments2[[#This Row],[EGM no]]="", "Missing EGM", "EGM Submitted")</f>
        <v>EGM Submitted</v>
      </c>
      <c r="H334" t="str">
        <f>IF(OR(ISNUMBER(SEARCH("Released",tblShipments2[[#This Row],[ROSL]])),
      ISNUMBER(SEARCH("Scroll",tblShipments2[[#This Row],[ROSL]])),
      ISNUMBER(SEARCH("Y",tblShipments2[[#This Row],[ROSL]]))),
   "Released",
   "Not Released")</f>
        <v>Released</v>
      </c>
      <c r="I334" t="str">
        <f>IF(OR(tblShipments2[[#This Row],[EGM no]]="", tblShipments2[[#This Row],[EGM no]]="N.A."), "Not Submitted", "Submitted")</f>
        <v>Submitted</v>
      </c>
      <c r="J334" t="str">
        <f>IF(LEFT(tblShipments2[[#This Row],[Gateway_Extracted]],2)="IN","Valid","Invalid")</f>
        <v>Valid</v>
      </c>
      <c r="K334" t="s">
        <v>1000</v>
      </c>
      <c r="L334" t="s">
        <v>1001</v>
      </c>
      <c r="M334" t="s">
        <v>13</v>
      </c>
      <c r="N334" t="s">
        <v>1002</v>
      </c>
      <c r="O334" t="str">
        <f>IFERROR("IN" &amp; _xlfn.TEXTBEFORE(_xlfn.TEXTAFTER(UPPER(tblShipments2[[#This Row],[Gateway_clean]]),"IN")," ",1),"")</f>
        <v>INNSA1</v>
      </c>
      <c r="P334" t="str">
        <f>SUBSTITUTE(tblShipments2[[#This Row],[Gateway]], CHAR(10), " ")</f>
        <v xml:space="preserve">AWB No. Gateway Port Gateway EGM No. Gateway EGM Date Gateway Site ID Error Code N.A.  INNSA1  N.A.  N.A.  N.A.  N.A. </v>
      </c>
      <c r="Q334" t="s">
        <v>26</v>
      </c>
    </row>
    <row r="335" spans="1:17" x14ac:dyDescent="0.35">
      <c r="A335" t="s">
        <v>8</v>
      </c>
      <c r="B335">
        <v>9226280</v>
      </c>
      <c r="C335" s="2" t="s">
        <v>993</v>
      </c>
      <c r="D335" s="2" t="str">
        <f>LEFT(TRIM(MID(SUBSTITUTE(tblShipments2[[#This Row],[Details]],CHAR(10)," "), FIND(CHAR(10),tblShipments2[[#This Row],[Details]])+1, 50)), 10)</f>
        <v>0592023052</v>
      </c>
      <c r="E335" t="s">
        <v>1003</v>
      </c>
      <c r="F33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5" t="str">
        <f>IF(tblShipments2[[#This Row],[EGM no]]="", "Missing EGM", "EGM Submitted")</f>
        <v>EGM Submitted</v>
      </c>
      <c r="H335" t="str">
        <f>IF(OR(ISNUMBER(SEARCH("Released",tblShipments2[[#This Row],[ROSL]])),
      ISNUMBER(SEARCH("Scroll",tblShipments2[[#This Row],[ROSL]])),
      ISNUMBER(SEARCH("Y",tblShipments2[[#This Row],[ROSL]]))),
   "Released",
   "Not Released")</f>
        <v>Released</v>
      </c>
      <c r="I335" t="str">
        <f>IF(OR(tblShipments2[[#This Row],[EGM no]]="", tblShipments2[[#This Row],[EGM no]]="N.A."), "Not Submitted", "Submitted")</f>
        <v>Submitted</v>
      </c>
      <c r="J335" t="str">
        <f>IF(LEFT(tblShipments2[[#This Row],[Gateway_Extracted]],2)="IN","Valid","Invalid")</f>
        <v>Valid</v>
      </c>
      <c r="K335" t="s">
        <v>1004</v>
      </c>
      <c r="L335" t="s">
        <v>1005</v>
      </c>
      <c r="M335" t="s">
        <v>13</v>
      </c>
      <c r="N335" t="s">
        <v>1006</v>
      </c>
      <c r="O335" t="str">
        <f>IFERROR("IN" &amp; _xlfn.TEXTBEFORE(_xlfn.TEXTAFTER(UPPER(tblShipments2[[#This Row],[Gateway_clean]]),"IN")," ",1),"")</f>
        <v>INNSA1</v>
      </c>
      <c r="P335" t="str">
        <f>SUBSTITUTE(tblShipments2[[#This Row],[Gateway]], CHAR(10), " ")</f>
        <v xml:space="preserve">AWB No. Gateway Port Gateway EGM No. Gateway EGM Date Gateway Site ID Error Code N.A.  INNSA1  138138  2017-11-03 00:00:00.0  INNSA1  C </v>
      </c>
      <c r="Q335" t="s">
        <v>1007</v>
      </c>
    </row>
    <row r="336" spans="1:17" x14ac:dyDescent="0.35">
      <c r="A336" t="s">
        <v>8</v>
      </c>
      <c r="B336">
        <v>9234919</v>
      </c>
      <c r="C336" s="2" t="s">
        <v>1008</v>
      </c>
      <c r="D336" s="2" t="str">
        <f>LEFT(TRIM(MID(SUBSTITUTE(tblShipments2[[#This Row],[Details]],CHAR(10)," "), FIND(CHAR(10),tblShipments2[[#This Row],[Details]])+1, 50)), 10)</f>
        <v>0511026242</v>
      </c>
      <c r="E336" t="s">
        <v>1009</v>
      </c>
      <c r="F33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6" t="str">
        <f>IF(tblShipments2[[#This Row],[EGM no]]="", "Missing EGM", "EGM Submitted")</f>
        <v>EGM Submitted</v>
      </c>
      <c r="H336" t="str">
        <f>IF(OR(ISNUMBER(SEARCH("Released",tblShipments2[[#This Row],[ROSL]])),
      ISNUMBER(SEARCH("Scroll",tblShipments2[[#This Row],[ROSL]])),
      ISNUMBER(SEARCH("Y",tblShipments2[[#This Row],[ROSL]]))),
   "Released",
   "Not Released")</f>
        <v>Released</v>
      </c>
      <c r="I336" t="str">
        <f>IF(OR(tblShipments2[[#This Row],[EGM no]]="", tblShipments2[[#This Row],[EGM no]]="N.A."), "Not Submitted", "Submitted")</f>
        <v>Submitted</v>
      </c>
      <c r="J336" t="str">
        <f>IF(LEFT(tblShipments2[[#This Row],[Gateway_Extracted]],2)="IN","Valid","Invalid")</f>
        <v>Valid</v>
      </c>
      <c r="K336" t="s">
        <v>1010</v>
      </c>
      <c r="L336" t="s">
        <v>1011</v>
      </c>
      <c r="M336" t="s">
        <v>13</v>
      </c>
      <c r="N336" t="s">
        <v>1012</v>
      </c>
      <c r="O336" t="str">
        <f>IFERROR("IN" &amp; _xlfn.TEXTBEFORE(_xlfn.TEXTAFTER(UPPER(tblShipments2[[#This Row],[Gateway_clean]]),"IN")," ",1),"")</f>
        <v>INNSA1</v>
      </c>
      <c r="P336" t="str">
        <f>SUBSTITUTE(tblShipments2[[#This Row],[Gateway]], CHAR(10), " ")</f>
        <v xml:space="preserve">AWB No. Gateway Port Gateway EGM No. Gateway EGM Date Gateway Site ID Error Code N.A.  INNSA1  136898  2017-10-13 00:00:00.0  INNSA1  S </v>
      </c>
      <c r="Q336" t="s">
        <v>885</v>
      </c>
    </row>
    <row r="337" spans="1:17" x14ac:dyDescent="0.35">
      <c r="A337" t="s">
        <v>8</v>
      </c>
      <c r="B337">
        <v>9246037</v>
      </c>
      <c r="C337" s="2" t="s">
        <v>1008</v>
      </c>
      <c r="D337" s="2" t="str">
        <f>LEFT(TRIM(MID(SUBSTITUTE(tblShipments2[[#This Row],[Details]],CHAR(10)," "), FIND(CHAR(10),tblShipments2[[#This Row],[Details]])+1, 50)), 10)</f>
        <v>0505000873</v>
      </c>
      <c r="E337" t="s">
        <v>1013</v>
      </c>
      <c r="F33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7" t="str">
        <f>IF(tblShipments2[[#This Row],[EGM no]]="", "Missing EGM", "EGM Submitted")</f>
        <v>EGM Submitted</v>
      </c>
      <c r="H337" t="str">
        <f>IF(OR(ISNUMBER(SEARCH("Released",tblShipments2[[#This Row],[ROSL]])),
      ISNUMBER(SEARCH("Scroll",tblShipments2[[#This Row],[ROSL]])),
      ISNUMBER(SEARCH("Y",tblShipments2[[#This Row],[ROSL]]))),
   "Released",
   "Not Released")</f>
        <v>Released</v>
      </c>
      <c r="I337" t="str">
        <f>IF(OR(tblShipments2[[#This Row],[EGM no]]="", tblShipments2[[#This Row],[EGM no]]="N.A."), "Not Submitted", "Submitted")</f>
        <v>Submitted</v>
      </c>
      <c r="J337" t="str">
        <f>IF(LEFT(tblShipments2[[#This Row],[Gateway_Extracted]],2)="IN","Valid","Invalid")</f>
        <v>Valid</v>
      </c>
      <c r="K337" t="s">
        <v>1014</v>
      </c>
      <c r="L337" t="s">
        <v>1015</v>
      </c>
      <c r="M337" t="s">
        <v>13</v>
      </c>
      <c r="N337" t="s">
        <v>1016</v>
      </c>
      <c r="O337" t="str">
        <f>IFERROR("IN" &amp; _xlfn.TEXTBEFORE(_xlfn.TEXTAFTER(UPPER(tblShipments2[[#This Row],[Gateway_clean]]),"IN")," ",1),"")</f>
        <v>INPAV1</v>
      </c>
      <c r="P337" t="str">
        <f>SUBSTITUTE(tblShipments2[[#This Row],[Gateway]], CHAR(10), " ")</f>
        <v xml:space="preserve">AWB No. Gateway Port Gateway EGM No. Gateway EGM Date Gateway Site ID Error Code N.A.  INPAV1  137330  2017-10-23 00:00:00.0  INPAV1  S </v>
      </c>
      <c r="Q337" t="s">
        <v>1017</v>
      </c>
    </row>
    <row r="338" spans="1:17" x14ac:dyDescent="0.35">
      <c r="A338" t="s">
        <v>8</v>
      </c>
      <c r="B338">
        <v>9312599</v>
      </c>
      <c r="C338" s="2" t="s">
        <v>1018</v>
      </c>
      <c r="D338" s="2" t="str">
        <f>LEFT(TRIM(MID(SUBSTITUTE(tblShipments2[[#This Row],[Details]],CHAR(10)," "), FIND(CHAR(10),tblShipments2[[#This Row],[Details]])+1, 50)), 10)</f>
        <v>2189000734</v>
      </c>
      <c r="E338" t="s">
        <v>1019</v>
      </c>
      <c r="F33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8" t="str">
        <f>IF(tblShipments2[[#This Row],[EGM no]]="", "Missing EGM", "EGM Submitted")</f>
        <v>EGM Submitted</v>
      </c>
      <c r="H338" t="str">
        <f>IF(OR(ISNUMBER(SEARCH("Released",tblShipments2[[#This Row],[ROSL]])),
      ISNUMBER(SEARCH("Scroll",tblShipments2[[#This Row],[ROSL]])),
      ISNUMBER(SEARCH("Y",tblShipments2[[#This Row],[ROSL]]))),
   "Released",
   "Not Released")</f>
        <v>Released</v>
      </c>
      <c r="I338" t="str">
        <f>IF(OR(tblShipments2[[#This Row],[EGM no]]="", tblShipments2[[#This Row],[EGM no]]="N.A."), "Not Submitted", "Submitted")</f>
        <v>Submitted</v>
      </c>
      <c r="J338" t="str">
        <f>IF(LEFT(tblShipments2[[#This Row],[Gateway_Extracted]],2)="IN","Valid","Invalid")</f>
        <v>Valid</v>
      </c>
      <c r="K338" t="s">
        <v>1020</v>
      </c>
      <c r="L338" t="s">
        <v>1021</v>
      </c>
      <c r="M338" t="s">
        <v>31</v>
      </c>
      <c r="N338" t="s">
        <v>1022</v>
      </c>
      <c r="O338" t="str">
        <f>IFERROR("IN" &amp; _xlfn.TEXTBEFORE(_xlfn.TEXTAFTER(UPPER(tblShipments2[[#This Row],[Gateway_clean]]),"IN")," ",1),"")</f>
        <v>INNSA1</v>
      </c>
      <c r="P338" t="str">
        <f>SUBSTITUTE(tblShipments2[[#This Row],[Gateway]], CHAR(10), " ")</f>
        <v xml:space="preserve">AWB No. Gateway Port Gateway EGM No. Gateway EGM Date Gateway Site ID Error Code N.A.  INNSA1  N.A.  N.A.  N.A.  N.A. </v>
      </c>
      <c r="Q338" t="s">
        <v>26</v>
      </c>
    </row>
    <row r="339" spans="1:17" x14ac:dyDescent="0.35">
      <c r="A339" t="s">
        <v>8</v>
      </c>
      <c r="B339">
        <v>9323426</v>
      </c>
      <c r="C339" s="2" t="s">
        <v>1018</v>
      </c>
      <c r="D339" s="2" t="str">
        <f>LEFT(TRIM(MID(SUBSTITUTE(tblShipments2[[#This Row],[Details]],CHAR(10)," "), FIND(CHAR(10),tblShipments2[[#This Row],[Details]])+1, 50)), 10)</f>
        <v>3104003254</v>
      </c>
      <c r="E339" t="s">
        <v>1023</v>
      </c>
      <c r="F33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39" t="str">
        <f>IF(tblShipments2[[#This Row],[EGM no]]="", "Missing EGM", "EGM Submitted")</f>
        <v>EGM Submitted</v>
      </c>
      <c r="H339" t="str">
        <f>IF(OR(ISNUMBER(SEARCH("Released",tblShipments2[[#This Row],[ROSL]])),
      ISNUMBER(SEARCH("Scroll",tblShipments2[[#This Row],[ROSL]])),
      ISNUMBER(SEARCH("Y",tblShipments2[[#This Row],[ROSL]]))),
   "Released",
   "Not Released")</f>
        <v>Released</v>
      </c>
      <c r="I339" t="str">
        <f>IF(OR(tblShipments2[[#This Row],[EGM no]]="", tblShipments2[[#This Row],[EGM no]]="N.A."), "Not Submitted", "Submitted")</f>
        <v>Submitted</v>
      </c>
      <c r="J339" t="str">
        <f>IF(LEFT(tblShipments2[[#This Row],[Gateway_Extracted]],2)="IN","Valid","Invalid")</f>
        <v>Valid</v>
      </c>
      <c r="K339" t="s">
        <v>1024</v>
      </c>
      <c r="L339" t="s">
        <v>1025</v>
      </c>
      <c r="M339" t="s">
        <v>13</v>
      </c>
      <c r="N339" t="s">
        <v>1026</v>
      </c>
      <c r="O339" t="str">
        <f>IFERROR("IN" &amp; _xlfn.TEXTBEFORE(_xlfn.TEXTAFTER(UPPER(tblShipments2[[#This Row],[Gateway_clean]]),"IN")," ",1),"")</f>
        <v>INMUN1</v>
      </c>
      <c r="P339" t="str">
        <f>SUBSTITUTE(tblShipments2[[#This Row],[Gateway]], CHAR(10), " ")</f>
        <v xml:space="preserve">AWB No. Gateway Port Gateway EGM No. Gateway EGM Date Gateway Site ID Error Code N.A.  INMUN1  137020  2017-10-16 00:00:00.0  INMUN1  S </v>
      </c>
      <c r="Q339" t="s">
        <v>1027</v>
      </c>
    </row>
    <row r="340" spans="1:17" x14ac:dyDescent="0.35">
      <c r="A340" t="s">
        <v>8</v>
      </c>
      <c r="B340">
        <v>9330767</v>
      </c>
      <c r="C340" s="2" t="s">
        <v>1018</v>
      </c>
      <c r="D340" s="2" t="str">
        <f>LEFT(TRIM(MID(SUBSTITUTE(tblShipments2[[#This Row],[Details]],CHAR(10)," "), FIND(CHAR(10),tblShipments2[[#This Row],[Details]])+1, 50)), 10)</f>
        <v>0503014761</v>
      </c>
      <c r="E340" t="s">
        <v>1028</v>
      </c>
      <c r="F34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0" t="str">
        <f>IF(tblShipments2[[#This Row],[EGM no]]="", "Missing EGM", "EGM Submitted")</f>
        <v>EGM Submitted</v>
      </c>
      <c r="H340" t="str">
        <f>IF(OR(ISNUMBER(SEARCH("Released",tblShipments2[[#This Row],[ROSL]])),
      ISNUMBER(SEARCH("Scroll",tblShipments2[[#This Row],[ROSL]])),
      ISNUMBER(SEARCH("Y",tblShipments2[[#This Row],[ROSL]]))),
   "Released",
   "Not Released")</f>
        <v>Released</v>
      </c>
      <c r="I340" t="str">
        <f>IF(OR(tblShipments2[[#This Row],[EGM no]]="", tblShipments2[[#This Row],[EGM no]]="N.A."), "Not Submitted", "Submitted")</f>
        <v>Submitted</v>
      </c>
      <c r="J340" t="str">
        <f>IF(LEFT(tblShipments2[[#This Row],[Gateway_Extracted]],2)="IN","Valid","Invalid")</f>
        <v>Valid</v>
      </c>
      <c r="K340" t="s">
        <v>1029</v>
      </c>
      <c r="L340" t="s">
        <v>1030</v>
      </c>
      <c r="M340" t="s">
        <v>31</v>
      </c>
      <c r="N340" t="s">
        <v>1031</v>
      </c>
      <c r="O340" t="str">
        <f>IFERROR("IN" &amp; _xlfn.TEXTBEFORE(_xlfn.TEXTAFTER(UPPER(tblShipments2[[#This Row],[Gateway_clean]]),"IN")," ",1),"")</f>
        <v>INNSA1</v>
      </c>
      <c r="P340" t="str">
        <f>SUBSTITUTE(tblShipments2[[#This Row],[Gateway]], CHAR(10), " ")</f>
        <v xml:space="preserve">AWB No. Gateway Port Gateway EGM No. Gateway EGM Date Gateway Site ID Error Code N.A.  INNSA1  136204  2017-10-03 00:00:00.0  INNSA1  S </v>
      </c>
      <c r="Q340" t="s">
        <v>992</v>
      </c>
    </row>
    <row r="341" spans="1:17" x14ac:dyDescent="0.35">
      <c r="A341" t="s">
        <v>8</v>
      </c>
      <c r="B341">
        <v>9344909</v>
      </c>
      <c r="C341" s="2" t="s">
        <v>1032</v>
      </c>
      <c r="D341" s="2" t="str">
        <f>LEFT(TRIM(MID(SUBSTITUTE(tblShipments2[[#This Row],[Details]],CHAR(10)," "), FIND(CHAR(10),tblShipments2[[#This Row],[Details]])+1, 50)), 10)</f>
        <v>0302060855</v>
      </c>
      <c r="E341" t="s">
        <v>1033</v>
      </c>
      <c r="F34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1" t="str">
        <f>IF(tblShipments2[[#This Row],[EGM no]]="", "Missing EGM", "EGM Submitted")</f>
        <v>EGM Submitted</v>
      </c>
      <c r="H341" t="str">
        <f>IF(OR(ISNUMBER(SEARCH("Released",tblShipments2[[#This Row],[ROSL]])),
      ISNUMBER(SEARCH("Scroll",tblShipments2[[#This Row],[ROSL]])),
      ISNUMBER(SEARCH("Y",tblShipments2[[#This Row],[ROSL]]))),
   "Released",
   "Not Released")</f>
        <v>Released</v>
      </c>
      <c r="I341" t="str">
        <f>IF(OR(tblShipments2[[#This Row],[EGM no]]="", tblShipments2[[#This Row],[EGM no]]="N.A."), "Not Submitted", "Submitted")</f>
        <v>Submitted</v>
      </c>
      <c r="J341" t="str">
        <f>IF(LEFT(tblShipments2[[#This Row],[Gateway_Extracted]],2)="IN","Valid","Invalid")</f>
        <v>Valid</v>
      </c>
      <c r="K341" t="s">
        <v>1020</v>
      </c>
      <c r="L341" t="s">
        <v>1034</v>
      </c>
      <c r="M341" t="s">
        <v>31</v>
      </c>
      <c r="N341" t="s">
        <v>1035</v>
      </c>
      <c r="O341" t="str">
        <f>IFERROR("IN" &amp; _xlfn.TEXTBEFORE(_xlfn.TEXTAFTER(UPPER(tblShipments2[[#This Row],[Gateway_clean]]),"IN")," ",1),"")</f>
        <v>INMUN1</v>
      </c>
      <c r="P341" t="str">
        <f>SUBSTITUTE(tblShipments2[[#This Row],[Gateway]], CHAR(10), " ")</f>
        <v xml:space="preserve">AWB No. Gateway Port Gateway EGM No. Gateway EGM Date Gateway Site ID Error Code N.A.  INMUN1  137857  2017-10-30 00:00:00.0  INMUN1  S </v>
      </c>
      <c r="Q341" t="s">
        <v>1036</v>
      </c>
    </row>
    <row r="342" spans="1:17" x14ac:dyDescent="0.35">
      <c r="A342" t="s">
        <v>8</v>
      </c>
      <c r="B342">
        <v>9346238</v>
      </c>
      <c r="C342" s="2" t="s">
        <v>1032</v>
      </c>
      <c r="D342" s="2" t="str">
        <f>LEFT(TRIM(MID(SUBSTITUTE(tblShipments2[[#This Row],[Details]],CHAR(10)," "), FIND(CHAR(10),tblShipments2[[#This Row],[Details]])+1, 50)), 10)</f>
        <v>0594000319</v>
      </c>
      <c r="E342" t="s">
        <v>1037</v>
      </c>
      <c r="F34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2" t="str">
        <f>IF(tblShipments2[[#This Row],[EGM no]]="", "Missing EGM", "EGM Submitted")</f>
        <v>EGM Submitted</v>
      </c>
      <c r="H342" t="str">
        <f>IF(OR(ISNUMBER(SEARCH("Released",tblShipments2[[#This Row],[ROSL]])),
      ISNUMBER(SEARCH("Scroll",tblShipments2[[#This Row],[ROSL]])),
      ISNUMBER(SEARCH("Y",tblShipments2[[#This Row],[ROSL]]))),
   "Released",
   "Not Released")</f>
        <v>Released</v>
      </c>
      <c r="I342" t="str">
        <f>IF(OR(tblShipments2[[#This Row],[EGM no]]="", tblShipments2[[#This Row],[EGM no]]="N.A."), "Not Submitted", "Submitted")</f>
        <v>Submitted</v>
      </c>
      <c r="J342" t="str">
        <f>IF(LEFT(tblShipments2[[#This Row],[Gateway_Extracted]],2)="IN","Valid","Invalid")</f>
        <v>Valid</v>
      </c>
      <c r="K342" t="s">
        <v>1038</v>
      </c>
      <c r="L342" t="s">
        <v>1039</v>
      </c>
      <c r="M342" t="s">
        <v>31</v>
      </c>
      <c r="N342" t="s">
        <v>1040</v>
      </c>
      <c r="O342" t="str">
        <f>IFERROR("IN" &amp; _xlfn.TEXTBEFORE(_xlfn.TEXTAFTER(UPPER(tblShipments2[[#This Row],[Gateway_clean]]),"IN")," ",1),"")</f>
        <v>INNSA1</v>
      </c>
      <c r="P342" t="str">
        <f>SUBSTITUTE(tblShipments2[[#This Row],[Gateway]], CHAR(10), " ")</f>
        <v xml:space="preserve">AWB No. Gateway Port Gateway EGM No. Gateway EGM Date Gateway Site ID Error Code N.A.  INNSA1  136639  2017-10-10 00:00:00.0  INNSA1  S </v>
      </c>
      <c r="Q342" t="s">
        <v>1041</v>
      </c>
    </row>
    <row r="343" spans="1:17" x14ac:dyDescent="0.35">
      <c r="A343" t="s">
        <v>8</v>
      </c>
      <c r="B343">
        <v>9353344</v>
      </c>
      <c r="C343" s="2" t="s">
        <v>1032</v>
      </c>
      <c r="D343" s="2" t="str">
        <f>LEFT(TRIM(MID(SUBSTITUTE(tblShipments2[[#This Row],[Details]],CHAR(10)," "), FIND(CHAR(10),tblShipments2[[#This Row],[Details]])+1, 50)), 10)</f>
        <v>0500054339</v>
      </c>
      <c r="E343" t="s">
        <v>1042</v>
      </c>
      <c r="F34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3" t="str">
        <f>IF(tblShipments2[[#This Row],[EGM no]]="", "Missing EGM", "EGM Submitted")</f>
        <v>EGM Submitted</v>
      </c>
      <c r="H343" t="str">
        <f>IF(OR(ISNUMBER(SEARCH("Released",tblShipments2[[#This Row],[ROSL]])),
      ISNUMBER(SEARCH("Scroll",tblShipments2[[#This Row],[ROSL]])),
      ISNUMBER(SEARCH("Y",tblShipments2[[#This Row],[ROSL]]))),
   "Released",
   "Not Released")</f>
        <v>Released</v>
      </c>
      <c r="I343" t="str">
        <f>IF(OR(tblShipments2[[#This Row],[EGM no]]="", tblShipments2[[#This Row],[EGM no]]="N.A."), "Not Submitted", "Submitted")</f>
        <v>Submitted</v>
      </c>
      <c r="J343" t="str">
        <f>IF(LEFT(tblShipments2[[#This Row],[Gateway_Extracted]],2)="IN","Valid","Invalid")</f>
        <v>Valid</v>
      </c>
      <c r="K343" t="s">
        <v>1029</v>
      </c>
      <c r="L343" t="s">
        <v>1043</v>
      </c>
      <c r="M343" t="s">
        <v>31</v>
      </c>
      <c r="N343" t="s">
        <v>1044</v>
      </c>
      <c r="O343" t="str">
        <f>IFERROR("IN" &amp; _xlfn.TEXTBEFORE(_xlfn.TEXTAFTER(UPPER(tblShipments2[[#This Row],[Gateway_clean]]),"IN")," ",1),"")</f>
        <v>INMUN1</v>
      </c>
      <c r="P343" t="str">
        <f>SUBSTITUTE(tblShipments2[[#This Row],[Gateway]], CHAR(10), " ")</f>
        <v xml:space="preserve">AWB No. Gateway Port Gateway EGM No. Gateway EGM Date Gateway Site ID Error Code N.A.  INMUN1  137573  2017-10-25 00:00:00.0  INMUN1  S </v>
      </c>
      <c r="Q343" t="s">
        <v>1045</v>
      </c>
    </row>
    <row r="344" spans="1:17" x14ac:dyDescent="0.35">
      <c r="A344" t="s">
        <v>8</v>
      </c>
      <c r="B344">
        <v>9361492</v>
      </c>
      <c r="C344" s="2" t="s">
        <v>1032</v>
      </c>
      <c r="D344" s="2" t="str">
        <f>LEFT(TRIM(MID(SUBSTITUTE(tblShipments2[[#This Row],[Details]],CHAR(10)," "), FIND(CHAR(10),tblShipments2[[#This Row],[Details]])+1, 50)), 10)</f>
        <v>0501009990</v>
      </c>
      <c r="E344" t="s">
        <v>1046</v>
      </c>
      <c r="F34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4" t="str">
        <f>IF(tblShipments2[[#This Row],[EGM no]]="", "Missing EGM", "EGM Submitted")</f>
        <v>EGM Submitted</v>
      </c>
      <c r="H344" t="str">
        <f>IF(OR(ISNUMBER(SEARCH("Released",tblShipments2[[#This Row],[ROSL]])),
      ISNUMBER(SEARCH("Scroll",tblShipments2[[#This Row],[ROSL]])),
      ISNUMBER(SEARCH("Y",tblShipments2[[#This Row],[ROSL]]))),
   "Released",
   "Not Released")</f>
        <v>Released</v>
      </c>
      <c r="I344" t="str">
        <f>IF(OR(tblShipments2[[#This Row],[EGM no]]="", tblShipments2[[#This Row],[EGM no]]="N.A."), "Not Submitted", "Submitted")</f>
        <v>Submitted</v>
      </c>
      <c r="J344" t="str">
        <f>IF(LEFT(tblShipments2[[#This Row],[Gateway_Extracted]],2)="IN","Valid","Invalid")</f>
        <v>Valid</v>
      </c>
      <c r="K344" t="s">
        <v>1047</v>
      </c>
      <c r="L344" t="s">
        <v>1011</v>
      </c>
      <c r="M344" t="s">
        <v>31</v>
      </c>
      <c r="N344" t="s">
        <v>1048</v>
      </c>
      <c r="O344" t="str">
        <f>IFERROR("IN" &amp; _xlfn.TEXTBEFORE(_xlfn.TEXTAFTER(UPPER(tblShipments2[[#This Row],[Gateway_clean]]),"IN")," ",1),"")</f>
        <v>INNSA1</v>
      </c>
      <c r="P344" t="str">
        <f>SUBSTITUTE(tblShipments2[[#This Row],[Gateway]], CHAR(10), " ")</f>
        <v xml:space="preserve">AWB No. Gateway Port Gateway EGM No. Gateway EGM Date Gateway Site ID Error Code N.A.  INNSA1  N.A.  N.A.  N.A.  N.A. </v>
      </c>
      <c r="Q344" t="s">
        <v>26</v>
      </c>
    </row>
    <row r="345" spans="1:17" x14ac:dyDescent="0.35">
      <c r="A345" t="s">
        <v>8</v>
      </c>
      <c r="B345">
        <v>9425848</v>
      </c>
      <c r="C345" s="2" t="s">
        <v>1049</v>
      </c>
      <c r="D345" s="2" t="str">
        <f>LEFT(TRIM(MID(SUBSTITUTE(tblShipments2[[#This Row],[Details]],CHAR(10)," "), FIND(CHAR(10),tblShipments2[[#This Row],[Details]])+1, 50)), 10)</f>
        <v>0500075158</v>
      </c>
      <c r="E345" t="s">
        <v>1050</v>
      </c>
      <c r="F34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5" t="str">
        <f>IF(tblShipments2[[#This Row],[EGM no]]="", "Missing EGM", "EGM Submitted")</f>
        <v>EGM Submitted</v>
      </c>
      <c r="H345" t="str">
        <f>IF(OR(ISNUMBER(SEARCH("Released",tblShipments2[[#This Row],[ROSL]])),
      ISNUMBER(SEARCH("Scroll",tblShipments2[[#This Row],[ROSL]])),
      ISNUMBER(SEARCH("Y",tblShipments2[[#This Row],[ROSL]]))),
   "Released",
   "Not Released")</f>
        <v>Released</v>
      </c>
      <c r="I345" t="str">
        <f>IF(OR(tblShipments2[[#This Row],[EGM no]]="", tblShipments2[[#This Row],[EGM no]]="N.A."), "Not Submitted", "Submitted")</f>
        <v>Submitted</v>
      </c>
      <c r="J345" t="str">
        <f>IF(LEFT(tblShipments2[[#This Row],[Gateway_Extracted]],2)="IN","Valid","Invalid")</f>
        <v>Valid</v>
      </c>
      <c r="K345" t="s">
        <v>1051</v>
      </c>
      <c r="L345" t="s">
        <v>1052</v>
      </c>
      <c r="M345" t="s">
        <v>1053</v>
      </c>
      <c r="N345" t="s">
        <v>1054</v>
      </c>
      <c r="O345" t="str">
        <f>IFERROR("IN" &amp; _xlfn.TEXTBEFORE(_xlfn.TEXTAFTER(UPPER(tblShipments2[[#This Row],[Gateway_clean]]),"IN")," ",1),"")</f>
        <v>INMUN1</v>
      </c>
      <c r="P345" t="str">
        <f>SUBSTITUTE(tblShipments2[[#This Row],[Gateway]], CHAR(10), " ")</f>
        <v xml:space="preserve">AWB No. Gateway Port Gateway EGM No. Gateway EGM Date Gateway Site ID Error Code N.A.  INMUN1  N.A.  N.A.  N.A.  N.A. </v>
      </c>
      <c r="Q345" t="s">
        <v>244</v>
      </c>
    </row>
    <row r="346" spans="1:17" x14ac:dyDescent="0.35">
      <c r="A346" t="s">
        <v>8</v>
      </c>
      <c r="B346">
        <v>9474719</v>
      </c>
      <c r="C346" s="2" t="s">
        <v>1055</v>
      </c>
      <c r="D346" s="2" t="str">
        <f>LEFT(TRIM(MID(SUBSTITUTE(tblShipments2[[#This Row],[Details]],CHAR(10)," "), FIND(CHAR(10),tblShipments2[[#This Row],[Details]])+1, 50)), 10)</f>
        <v>0512076341</v>
      </c>
      <c r="E346" t="s">
        <v>1056</v>
      </c>
      <c r="F34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6" t="str">
        <f>IF(tblShipments2[[#This Row],[EGM no]]="", "Missing EGM", "EGM Submitted")</f>
        <v>EGM Submitted</v>
      </c>
      <c r="H346" t="str">
        <f>IF(OR(ISNUMBER(SEARCH("Released",tblShipments2[[#This Row],[ROSL]])),
      ISNUMBER(SEARCH("Scroll",tblShipments2[[#This Row],[ROSL]])),
      ISNUMBER(SEARCH("Y",tblShipments2[[#This Row],[ROSL]]))),
   "Released",
   "Not Released")</f>
        <v>Released</v>
      </c>
      <c r="I346" t="str">
        <f>IF(OR(tblShipments2[[#This Row],[EGM no]]="", tblShipments2[[#This Row],[EGM no]]="N.A."), "Not Submitted", "Submitted")</f>
        <v>Submitted</v>
      </c>
      <c r="J346" t="str">
        <f>IF(LEFT(tblShipments2[[#This Row],[Gateway_Extracted]],2)="IN","Valid","Invalid")</f>
        <v>Valid</v>
      </c>
      <c r="K346" t="s">
        <v>1057</v>
      </c>
      <c r="L346" t="s">
        <v>1058</v>
      </c>
      <c r="M346" t="s">
        <v>13</v>
      </c>
      <c r="N346" t="s">
        <v>1059</v>
      </c>
      <c r="O346" t="str">
        <f>IFERROR("IN" &amp; _xlfn.TEXTBEFORE(_xlfn.TEXTAFTER(UPPER(tblShipments2[[#This Row],[Gateway_clean]]),"IN")," ",1),"")</f>
        <v>INMUN1</v>
      </c>
      <c r="P346" t="str">
        <f>SUBSTITUTE(tblShipments2[[#This Row],[Gateway]], CHAR(10), " ")</f>
        <v xml:space="preserve">AWB No. Gateway Port Gateway EGM No. Gateway EGM Date Gateway Site ID Error Code N.A.  INMUN1  137953  2017-11-01 00:00:00.0  INMUN1  S </v>
      </c>
      <c r="Q346" t="s">
        <v>1060</v>
      </c>
    </row>
    <row r="347" spans="1:17" x14ac:dyDescent="0.35">
      <c r="A347" t="s">
        <v>8</v>
      </c>
      <c r="B347">
        <v>9492580</v>
      </c>
      <c r="C347" s="2" t="s">
        <v>1061</v>
      </c>
      <c r="D347" s="2" t="str">
        <f>LEFT(TRIM(MID(SUBSTITUTE(tblShipments2[[#This Row],[Details]],CHAR(10)," "), FIND(CHAR(10),tblShipments2[[#This Row],[Details]])+1, 50)), 10)</f>
        <v>0510085423</v>
      </c>
      <c r="E347" t="s">
        <v>1062</v>
      </c>
      <c r="F34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7" t="str">
        <f>IF(tblShipments2[[#This Row],[EGM no]]="", "Missing EGM", "EGM Submitted")</f>
        <v>EGM Submitted</v>
      </c>
      <c r="H347" t="str">
        <f>IF(OR(ISNUMBER(SEARCH("Released",tblShipments2[[#This Row],[ROSL]])),
      ISNUMBER(SEARCH("Scroll",tblShipments2[[#This Row],[ROSL]])),
      ISNUMBER(SEARCH("Y",tblShipments2[[#This Row],[ROSL]]))),
   "Released",
   "Not Released")</f>
        <v>Released</v>
      </c>
      <c r="I347" t="str">
        <f>IF(OR(tblShipments2[[#This Row],[EGM no]]="", tblShipments2[[#This Row],[EGM no]]="N.A."), "Not Submitted", "Submitted")</f>
        <v>Submitted</v>
      </c>
      <c r="J347" t="str">
        <f>IF(LEFT(tblShipments2[[#This Row],[Gateway_Extracted]],2)="IN","Valid","Invalid")</f>
        <v>Valid</v>
      </c>
      <c r="K347" t="s">
        <v>1063</v>
      </c>
      <c r="L347" t="s">
        <v>1064</v>
      </c>
      <c r="M347" t="s">
        <v>13</v>
      </c>
      <c r="N347" t="s">
        <v>1065</v>
      </c>
      <c r="O347" t="str">
        <f>IFERROR("IN" &amp; _xlfn.TEXTBEFORE(_xlfn.TEXTAFTER(UPPER(tblShipments2[[#This Row],[Gateway_clean]]),"IN")," ",1),"")</f>
        <v>INNSA1</v>
      </c>
      <c r="P347" t="str">
        <f>SUBSTITUTE(tblShipments2[[#This Row],[Gateway]], CHAR(10), " ")</f>
        <v xml:space="preserve">AWB No. Gateway Port Gateway EGM No. Gateway EGM Date Gateway Site ID Error Code N.A.  INNSA1  137147  2017-10-18 00:00:00.0  INNSA1  C </v>
      </c>
      <c r="Q347" t="s">
        <v>1066</v>
      </c>
    </row>
    <row r="348" spans="1:17" x14ac:dyDescent="0.35">
      <c r="A348" t="s">
        <v>8</v>
      </c>
      <c r="B348">
        <v>9510284</v>
      </c>
      <c r="C348" s="2" t="s">
        <v>1061</v>
      </c>
      <c r="D348" s="2" t="str">
        <f>LEFT(TRIM(MID(SUBSTITUTE(tblShipments2[[#This Row],[Details]],CHAR(10)," "), FIND(CHAR(10),tblShipments2[[#This Row],[Details]])+1, 50)), 10)</f>
        <v>0504064754</v>
      </c>
      <c r="E348" t="s">
        <v>1067</v>
      </c>
      <c r="F34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8" t="str">
        <f>IF(tblShipments2[[#This Row],[EGM no]]="", "Missing EGM", "EGM Submitted")</f>
        <v>EGM Submitted</v>
      </c>
      <c r="H348" t="str">
        <f>IF(OR(ISNUMBER(SEARCH("Released",tblShipments2[[#This Row],[ROSL]])),
      ISNUMBER(SEARCH("Scroll",tblShipments2[[#This Row],[ROSL]])),
      ISNUMBER(SEARCH("Y",tblShipments2[[#This Row],[ROSL]]))),
   "Released",
   "Not Released")</f>
        <v>Released</v>
      </c>
      <c r="I348" t="str">
        <f>IF(OR(tblShipments2[[#This Row],[EGM no]]="", tblShipments2[[#This Row],[EGM no]]="N.A."), "Not Submitted", "Submitted")</f>
        <v>Submitted</v>
      </c>
      <c r="J348" t="str">
        <f>IF(LEFT(tblShipments2[[#This Row],[Gateway_Extracted]],2)="IN","Valid","Invalid")</f>
        <v>Valid</v>
      </c>
      <c r="K348" t="s">
        <v>1068</v>
      </c>
      <c r="L348" t="s">
        <v>1069</v>
      </c>
      <c r="M348" t="s">
        <v>13</v>
      </c>
      <c r="N348" t="s">
        <v>1070</v>
      </c>
      <c r="O348" t="str">
        <f>IFERROR("IN" &amp; _xlfn.TEXTBEFORE(_xlfn.TEXTAFTER(UPPER(tblShipments2[[#This Row],[Gateway_clean]]),"IN")," ",1),"")</f>
        <v>INNSA1</v>
      </c>
      <c r="P348" t="str">
        <f>SUBSTITUTE(tblShipments2[[#This Row],[Gateway]], CHAR(10), " ")</f>
        <v xml:space="preserve">AWB No. Gateway Port Gateway EGM No. Gateway EGM Date Gateway Site ID Error Code N.A.  INNSA1  138449  2017-11-09 00:00:00.0  INNSA1  S </v>
      </c>
      <c r="Q348" t="s">
        <v>1071</v>
      </c>
    </row>
    <row r="349" spans="1:17" x14ac:dyDescent="0.35">
      <c r="A349" t="s">
        <v>8</v>
      </c>
      <c r="B349">
        <v>9522381</v>
      </c>
      <c r="C349" s="2" t="s">
        <v>1072</v>
      </c>
      <c r="D349" s="2" t="str">
        <f>LEFT(TRIM(MID(SUBSTITUTE(tblShipments2[[#This Row],[Details]],CHAR(10)," "), FIND(CHAR(10),tblShipments2[[#This Row],[Details]])+1, 50)), 10)</f>
        <v>0507051360</v>
      </c>
      <c r="E349" t="s">
        <v>1073</v>
      </c>
      <c r="F34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49" t="str">
        <f>IF(tblShipments2[[#This Row],[EGM no]]="", "Missing EGM", "EGM Submitted")</f>
        <v>EGM Submitted</v>
      </c>
      <c r="H349" t="str">
        <f>IF(OR(ISNUMBER(SEARCH("Released",tblShipments2[[#This Row],[ROSL]])),
      ISNUMBER(SEARCH("Scroll",tblShipments2[[#This Row],[ROSL]])),
      ISNUMBER(SEARCH("Y",tblShipments2[[#This Row],[ROSL]]))),
   "Released",
   "Not Released")</f>
        <v>Released</v>
      </c>
      <c r="I349" t="str">
        <f>IF(OR(tblShipments2[[#This Row],[EGM no]]="", tblShipments2[[#This Row],[EGM no]]="N.A."), "Not Submitted", "Submitted")</f>
        <v>Submitted</v>
      </c>
      <c r="J349" t="str">
        <f>IF(LEFT(tblShipments2[[#This Row],[Gateway_Extracted]],2)="IN","Valid","Invalid")</f>
        <v>Valid</v>
      </c>
      <c r="K349" t="s">
        <v>1074</v>
      </c>
      <c r="L349" t="s">
        <v>1075</v>
      </c>
      <c r="M349" t="s">
        <v>31</v>
      </c>
      <c r="N349" t="s">
        <v>1076</v>
      </c>
      <c r="O349" t="str">
        <f>IFERROR("IN" &amp; _xlfn.TEXTBEFORE(_xlfn.TEXTAFTER(UPPER(tblShipments2[[#This Row],[Gateway_clean]]),"IN")," ",1),"")</f>
        <v>INPAV1</v>
      </c>
      <c r="P349" t="str">
        <f>SUBSTITUTE(tblShipments2[[#This Row],[Gateway]], CHAR(10), " ")</f>
        <v xml:space="preserve">AWB No. Gateway Port Gateway EGM No. Gateway EGM Date Gateway Site ID Error Code N.A.  INPAV1  138356  2017-11-07 00:00:00.0  INPAV1  S </v>
      </c>
      <c r="Q349" t="s">
        <v>1077</v>
      </c>
    </row>
    <row r="350" spans="1:17" x14ac:dyDescent="0.35">
      <c r="A350" t="s">
        <v>8</v>
      </c>
      <c r="B350">
        <v>9531547</v>
      </c>
      <c r="C350" s="2" t="s">
        <v>1072</v>
      </c>
      <c r="D350" s="2" t="str">
        <f>LEFT(TRIM(MID(SUBSTITUTE(tblShipments2[[#This Row],[Details]],CHAR(10)," "), FIND(CHAR(10),tblShipments2[[#This Row],[Details]])+1, 50)), 10)</f>
        <v>0500048967</v>
      </c>
      <c r="E350" t="s">
        <v>1078</v>
      </c>
      <c r="F35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0" t="str">
        <f>IF(tblShipments2[[#This Row],[EGM no]]="", "Missing EGM", "EGM Submitted")</f>
        <v>EGM Submitted</v>
      </c>
      <c r="H350" t="str">
        <f>IF(OR(ISNUMBER(SEARCH("Released",tblShipments2[[#This Row],[ROSL]])),
      ISNUMBER(SEARCH("Scroll",tblShipments2[[#This Row],[ROSL]])),
      ISNUMBER(SEARCH("Y",tblShipments2[[#This Row],[ROSL]]))),
   "Released",
   "Not Released")</f>
        <v>Released</v>
      </c>
      <c r="I350" t="str">
        <f>IF(OR(tblShipments2[[#This Row],[EGM no]]="", tblShipments2[[#This Row],[EGM no]]="N.A."), "Not Submitted", "Submitted")</f>
        <v>Submitted</v>
      </c>
      <c r="J350" t="str">
        <f>IF(LEFT(tblShipments2[[#This Row],[Gateway_Extracted]],2)="IN","Valid","Invalid")</f>
        <v>Valid</v>
      </c>
      <c r="K350" t="s">
        <v>1079</v>
      </c>
      <c r="L350" t="s">
        <v>1080</v>
      </c>
      <c r="M350" t="s">
        <v>31</v>
      </c>
      <c r="N350" t="s">
        <v>1081</v>
      </c>
      <c r="O350" t="str">
        <f>IFERROR("IN" &amp; _xlfn.TEXTBEFORE(_xlfn.TEXTAFTER(UPPER(tblShipments2[[#This Row],[Gateway_clean]]),"IN")," ",1),"")</f>
        <v>INNSA1</v>
      </c>
      <c r="P350" t="str">
        <f>SUBSTITUTE(tblShipments2[[#This Row],[Gateway]], CHAR(10), " ")</f>
        <v xml:space="preserve">AWB No. Gateway Port Gateway EGM No. Gateway EGM Date Gateway Site ID Error Code N.A.  INNSA1  137367  2017-10-23 00:00:00.0  INNSA1  S </v>
      </c>
      <c r="Q350" t="s">
        <v>1082</v>
      </c>
    </row>
    <row r="351" spans="1:17" x14ac:dyDescent="0.35">
      <c r="A351" t="s">
        <v>8</v>
      </c>
      <c r="B351">
        <v>9535945</v>
      </c>
      <c r="C351" s="2" t="s">
        <v>1072</v>
      </c>
      <c r="D351" s="2" t="str">
        <f>LEFT(TRIM(MID(SUBSTITUTE(tblShipments2[[#This Row],[Details]],CHAR(10)," "), FIND(CHAR(10),tblShipments2[[#This Row],[Details]])+1, 50)), 10)</f>
        <v>0592023052</v>
      </c>
      <c r="E351" t="s">
        <v>1083</v>
      </c>
      <c r="F35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1" t="str">
        <f>IF(tblShipments2[[#This Row],[EGM no]]="", "Missing EGM", "EGM Submitted")</f>
        <v>EGM Submitted</v>
      </c>
      <c r="H351" t="str">
        <f>IF(OR(ISNUMBER(SEARCH("Released",tblShipments2[[#This Row],[ROSL]])),
      ISNUMBER(SEARCH("Scroll",tblShipments2[[#This Row],[ROSL]])),
      ISNUMBER(SEARCH("Y",tblShipments2[[#This Row],[ROSL]]))),
   "Released",
   "Not Released")</f>
        <v>Released</v>
      </c>
      <c r="I351" t="str">
        <f>IF(OR(tblShipments2[[#This Row],[EGM no]]="", tblShipments2[[#This Row],[EGM no]]="N.A."), "Not Submitted", "Submitted")</f>
        <v>Submitted</v>
      </c>
      <c r="J351" t="str">
        <f>IF(LEFT(tblShipments2[[#This Row],[Gateway_Extracted]],2)="IN","Valid","Invalid")</f>
        <v>Valid</v>
      </c>
      <c r="K351" t="s">
        <v>1024</v>
      </c>
      <c r="L351" t="s">
        <v>1084</v>
      </c>
      <c r="M351" t="s">
        <v>13</v>
      </c>
      <c r="N351" t="s">
        <v>1085</v>
      </c>
      <c r="O351" t="str">
        <f>IFERROR("IN" &amp; _xlfn.TEXTBEFORE(_xlfn.TEXTAFTER(UPPER(tblShipments2[[#This Row],[Gateway_clean]]),"IN")," ",1),"")</f>
        <v>INNSA1</v>
      </c>
      <c r="P351" t="str">
        <f>SUBSTITUTE(tblShipments2[[#This Row],[Gateway]], CHAR(10), " ")</f>
        <v xml:space="preserve">AWB No. Gateway Port Gateway EGM No. Gateway EGM Date Gateway Site ID Error Code N.A.  INNSA1  137969  2017-11-01 00:00:00.0  INNSA1  C </v>
      </c>
      <c r="Q351" t="s">
        <v>1086</v>
      </c>
    </row>
    <row r="352" spans="1:17" x14ac:dyDescent="0.35">
      <c r="A352" t="s">
        <v>8</v>
      </c>
      <c r="B352">
        <v>9536682</v>
      </c>
      <c r="C352" s="2" t="s">
        <v>1072</v>
      </c>
      <c r="D352" s="2" t="str">
        <f>LEFT(TRIM(MID(SUBSTITUTE(tblShipments2[[#This Row],[Details]],CHAR(10)," "), FIND(CHAR(10),tblShipments2[[#This Row],[Details]])+1, 50)), 10)</f>
        <v>0511002459</v>
      </c>
      <c r="E352" t="s">
        <v>1087</v>
      </c>
      <c r="F35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2" t="str">
        <f>IF(tblShipments2[[#This Row],[EGM no]]="", "Missing EGM", "EGM Submitted")</f>
        <v>EGM Submitted</v>
      </c>
      <c r="H352" t="str">
        <f>IF(OR(ISNUMBER(SEARCH("Released",tblShipments2[[#This Row],[ROSL]])),
      ISNUMBER(SEARCH("Scroll",tblShipments2[[#This Row],[ROSL]])),
      ISNUMBER(SEARCH("Y",tblShipments2[[#This Row],[ROSL]]))),
   "Released",
   "Not Released")</f>
        <v>Released</v>
      </c>
      <c r="I352" t="str">
        <f>IF(OR(tblShipments2[[#This Row],[EGM no]]="", tblShipments2[[#This Row],[EGM no]]="N.A."), "Not Submitted", "Submitted")</f>
        <v>Submitted</v>
      </c>
      <c r="J352" t="str">
        <f>IF(LEFT(tblShipments2[[#This Row],[Gateway_Extracted]],2)="IN","Valid","Invalid")</f>
        <v>Valid</v>
      </c>
      <c r="K352" t="s">
        <v>1088</v>
      </c>
      <c r="L352" t="s">
        <v>1089</v>
      </c>
      <c r="M352" t="s">
        <v>13</v>
      </c>
      <c r="N352" t="s">
        <v>1090</v>
      </c>
      <c r="O352" t="str">
        <f>IFERROR("IN" &amp; _xlfn.TEXTBEFORE(_xlfn.TEXTAFTER(UPPER(tblShipments2[[#This Row],[Gateway_clean]]),"IN")," ",1),"")</f>
        <v>INNSA1</v>
      </c>
      <c r="P352" t="str">
        <f>SUBSTITUTE(tblShipments2[[#This Row],[Gateway]], CHAR(10), " ")</f>
        <v xml:space="preserve">AWB No. Gateway Port Gateway EGM No. Gateway EGM Date Gateway Site ID Error Code N.A.  INNSA1  138138  2017-11-03 00:00:00.0  INNSA1  S </v>
      </c>
      <c r="Q352" t="s">
        <v>1091</v>
      </c>
    </row>
    <row r="353" spans="1:17" x14ac:dyDescent="0.35">
      <c r="A353" t="s">
        <v>8</v>
      </c>
      <c r="B353">
        <v>9565498</v>
      </c>
      <c r="C353" s="2" t="s">
        <v>1092</v>
      </c>
      <c r="D353" s="2" t="str">
        <f>LEFT(TRIM(MID(SUBSTITUTE(tblShipments2[[#This Row],[Details]],CHAR(10)," "), FIND(CHAR(10),tblShipments2[[#This Row],[Details]])+1, 50)), 10)</f>
        <v>0508028078</v>
      </c>
      <c r="E353" t="s">
        <v>1093</v>
      </c>
      <c r="F35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3" t="str">
        <f>IF(tblShipments2[[#This Row],[EGM no]]="", "Missing EGM", "EGM Submitted")</f>
        <v>EGM Submitted</v>
      </c>
      <c r="H353" t="str">
        <f>IF(OR(ISNUMBER(SEARCH("Released",tblShipments2[[#This Row],[ROSL]])),
      ISNUMBER(SEARCH("Scroll",tblShipments2[[#This Row],[ROSL]])),
      ISNUMBER(SEARCH("Y",tblShipments2[[#This Row],[ROSL]]))),
   "Released",
   "Not Released")</f>
        <v>Released</v>
      </c>
      <c r="I353" t="str">
        <f>IF(OR(tblShipments2[[#This Row],[EGM no]]="", tblShipments2[[#This Row],[EGM no]]="N.A."), "Not Submitted", "Submitted")</f>
        <v>Submitted</v>
      </c>
      <c r="J353" t="str">
        <f>IF(LEFT(tblShipments2[[#This Row],[Gateway_Extracted]],2)="IN","Valid","Invalid")</f>
        <v>Valid</v>
      </c>
      <c r="K353" t="s">
        <v>1094</v>
      </c>
      <c r="L353" t="s">
        <v>1095</v>
      </c>
      <c r="M353" t="s">
        <v>31</v>
      </c>
      <c r="N353" t="s">
        <v>1096</v>
      </c>
      <c r="O353" t="str">
        <f>IFERROR("IN" &amp; _xlfn.TEXTBEFORE(_xlfn.TEXTAFTER(UPPER(tblShipments2[[#This Row],[Gateway_clean]]),"IN")," ",1),"")</f>
        <v>INNSA1</v>
      </c>
      <c r="P353" t="str">
        <f>SUBSTITUTE(tblShipments2[[#This Row],[Gateway]], CHAR(10), " ")</f>
        <v xml:space="preserve">AWB No. Gateway Port Gateway EGM No. Gateway EGM Date Gateway Site ID Error Code N.A.  INNSA1  137453  2017-10-24 00:00:00.0  INNSA1  C </v>
      </c>
      <c r="Q353" t="s">
        <v>1097</v>
      </c>
    </row>
    <row r="354" spans="1:17" x14ac:dyDescent="0.35">
      <c r="A354" t="s">
        <v>8</v>
      </c>
      <c r="B354">
        <v>9572277</v>
      </c>
      <c r="C354" s="2" t="s">
        <v>1092</v>
      </c>
      <c r="D354" s="2" t="str">
        <f>LEFT(TRIM(MID(SUBSTITUTE(tblShipments2[[#This Row],[Details]],CHAR(10)," "), FIND(CHAR(10),tblShipments2[[#This Row],[Details]])+1, 50)), 10)</f>
        <v>0517542374</v>
      </c>
      <c r="E354" t="s">
        <v>1098</v>
      </c>
      <c r="F35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4" t="str">
        <f>IF(tblShipments2[[#This Row],[EGM no]]="", "Missing EGM", "EGM Submitted")</f>
        <v>EGM Submitted</v>
      </c>
      <c r="H354" t="str">
        <f>IF(OR(ISNUMBER(SEARCH("Released",tblShipments2[[#This Row],[ROSL]])),
      ISNUMBER(SEARCH("Scroll",tblShipments2[[#This Row],[ROSL]])),
      ISNUMBER(SEARCH("Y",tblShipments2[[#This Row],[ROSL]]))),
   "Released",
   "Not Released")</f>
        <v>Released</v>
      </c>
      <c r="I354" t="str">
        <f>IF(OR(tblShipments2[[#This Row],[EGM no]]="", tblShipments2[[#This Row],[EGM no]]="N.A."), "Not Submitted", "Submitted")</f>
        <v>Submitted</v>
      </c>
      <c r="J354" t="str">
        <f>IF(LEFT(tblShipments2[[#This Row],[Gateway_Extracted]],2)="IN","Valid","Invalid")</f>
        <v>Valid</v>
      </c>
      <c r="K354" t="s">
        <v>1099</v>
      </c>
      <c r="L354" t="s">
        <v>1100</v>
      </c>
      <c r="M354" t="s">
        <v>13</v>
      </c>
      <c r="N354" t="s">
        <v>1101</v>
      </c>
      <c r="O354" t="str">
        <f>IFERROR("IN" &amp; _xlfn.TEXTBEFORE(_xlfn.TEXTAFTER(UPPER(tblShipments2[[#This Row],[Gateway_clean]]),"IN")," ",1),"")</f>
        <v>INMUN1</v>
      </c>
      <c r="P354" t="str">
        <f>SUBSTITUTE(tblShipments2[[#This Row],[Gateway]], CHAR(10), " ")</f>
        <v xml:space="preserve">AWB No. Gateway Port Gateway EGM No. Gateway EGM Date Gateway Site ID Error Code N.A.  INMUN1  139244  2017-11-21 00:00:00.0  INMUN1  S </v>
      </c>
      <c r="Q354" t="s">
        <v>1102</v>
      </c>
    </row>
    <row r="355" spans="1:17" x14ac:dyDescent="0.35">
      <c r="A355" t="s">
        <v>8</v>
      </c>
      <c r="B355">
        <v>9575454</v>
      </c>
      <c r="C355" s="2" t="s">
        <v>1092</v>
      </c>
      <c r="D355" s="2" t="str">
        <f>LEFT(TRIM(MID(SUBSTITUTE(tblShipments2[[#This Row],[Details]],CHAR(10)," "), FIND(CHAR(10),tblShipments2[[#This Row],[Details]])+1, 50)), 10)</f>
        <v>0591028549</v>
      </c>
      <c r="E355" t="s">
        <v>1103</v>
      </c>
      <c r="F35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5" t="str">
        <f>IF(tblShipments2[[#This Row],[EGM no]]="", "Missing EGM", "EGM Submitted")</f>
        <v>EGM Submitted</v>
      </c>
      <c r="H355" t="str">
        <f>IF(OR(ISNUMBER(SEARCH("Released",tblShipments2[[#This Row],[ROSL]])),
      ISNUMBER(SEARCH("Scroll",tblShipments2[[#This Row],[ROSL]])),
      ISNUMBER(SEARCH("Y",tblShipments2[[#This Row],[ROSL]]))),
   "Released",
   "Not Released")</f>
        <v>Released</v>
      </c>
      <c r="I355" t="str">
        <f>IF(OR(tblShipments2[[#This Row],[EGM no]]="", tblShipments2[[#This Row],[EGM no]]="N.A."), "Not Submitted", "Submitted")</f>
        <v>Submitted</v>
      </c>
      <c r="J355" t="str">
        <f>IF(LEFT(tblShipments2[[#This Row],[Gateway_Extracted]],2)="IN","Valid","Invalid")</f>
        <v>Valid</v>
      </c>
      <c r="K355" t="s">
        <v>1094</v>
      </c>
      <c r="L355" t="s">
        <v>1104</v>
      </c>
      <c r="M355" t="s">
        <v>31</v>
      </c>
      <c r="N355" t="s">
        <v>1105</v>
      </c>
      <c r="O355" t="str">
        <f>IFERROR("IN" &amp; _xlfn.TEXTBEFORE(_xlfn.TEXTAFTER(UPPER(tblShipments2[[#This Row],[Gateway_clean]]),"IN")," ",1),"")</f>
        <v>INNSA1</v>
      </c>
      <c r="P355" t="str">
        <f>SUBSTITUTE(tblShipments2[[#This Row],[Gateway]], CHAR(10), " ")</f>
        <v xml:space="preserve">AWB No. Gateway Port Gateway EGM No. Gateway EGM Date Gateway Site ID Error Code N.A.  INNSA1  137348  2017-10-23 00:00:00.0  INNSA1  S </v>
      </c>
      <c r="Q355" t="s">
        <v>1106</v>
      </c>
    </row>
    <row r="356" spans="1:17" x14ac:dyDescent="0.35">
      <c r="A356" t="s">
        <v>8</v>
      </c>
      <c r="B356">
        <v>9580505</v>
      </c>
      <c r="C356" s="2" t="s">
        <v>1092</v>
      </c>
      <c r="D356" s="2" t="str">
        <f>LEFT(TRIM(MID(SUBSTITUTE(tblShipments2[[#This Row],[Details]],CHAR(10)," "), FIND(CHAR(10),tblShipments2[[#This Row],[Details]])+1, 50)), 10)</f>
        <v>3104003254</v>
      </c>
      <c r="E356" t="s">
        <v>1107</v>
      </c>
      <c r="F35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6" t="str">
        <f>IF(tblShipments2[[#This Row],[EGM no]]="", "Missing EGM", "EGM Submitted")</f>
        <v>EGM Submitted</v>
      </c>
      <c r="H356" t="str">
        <f>IF(OR(ISNUMBER(SEARCH("Released",tblShipments2[[#This Row],[ROSL]])),
      ISNUMBER(SEARCH("Scroll",tblShipments2[[#This Row],[ROSL]])),
      ISNUMBER(SEARCH("Y",tblShipments2[[#This Row],[ROSL]]))),
   "Released",
   "Not Released")</f>
        <v>Released</v>
      </c>
      <c r="I356" t="str">
        <f>IF(OR(tblShipments2[[#This Row],[EGM no]]="", tblShipments2[[#This Row],[EGM no]]="N.A."), "Not Submitted", "Submitted")</f>
        <v>Submitted</v>
      </c>
      <c r="J356" t="str">
        <f>IF(LEFT(tblShipments2[[#This Row],[Gateway_Extracted]],2)="IN","Valid","Invalid")</f>
        <v>Valid</v>
      </c>
      <c r="K356" t="s">
        <v>1108</v>
      </c>
      <c r="L356" t="s">
        <v>1109</v>
      </c>
      <c r="M356" t="s">
        <v>13</v>
      </c>
      <c r="N356" t="s">
        <v>1110</v>
      </c>
      <c r="O356" t="str">
        <f>IFERROR("IN" &amp; _xlfn.TEXTBEFORE(_xlfn.TEXTAFTER(UPPER(tblShipments2[[#This Row],[Gateway_clean]]),"IN")," ",1),"")</f>
        <v>INNSA1</v>
      </c>
      <c r="P356" t="str">
        <f>SUBSTITUTE(tblShipments2[[#This Row],[Gateway]], CHAR(10), " ")</f>
        <v xml:space="preserve">AWB No. Gateway Port Gateway EGM No. Gateway EGM Date Gateway Site ID Error Code N.A.  INNSA1  137366  2017-10-23 00:00:00.0  INNSA1  S </v>
      </c>
      <c r="Q356" t="s">
        <v>1111</v>
      </c>
    </row>
    <row r="357" spans="1:17" x14ac:dyDescent="0.35">
      <c r="A357" t="s">
        <v>8</v>
      </c>
      <c r="B357">
        <v>9597287</v>
      </c>
      <c r="C357" s="2" t="s">
        <v>1112</v>
      </c>
      <c r="D357" s="2" t="str">
        <f>LEFT(TRIM(MID(SUBSTITUTE(tblShipments2[[#This Row],[Details]],CHAR(10)," "), FIND(CHAR(10),tblShipments2[[#This Row],[Details]])+1, 50)), 10)</f>
        <v>0506059944</v>
      </c>
      <c r="E357" t="s">
        <v>1113</v>
      </c>
      <c r="F35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7" t="str">
        <f>IF(tblShipments2[[#This Row],[EGM no]]="", "Missing EGM", "EGM Submitted")</f>
        <v>EGM Submitted</v>
      </c>
      <c r="H357" t="str">
        <f>IF(OR(ISNUMBER(SEARCH("Released",tblShipments2[[#This Row],[ROSL]])),
      ISNUMBER(SEARCH("Scroll",tblShipments2[[#This Row],[ROSL]])),
      ISNUMBER(SEARCH("Y",tblShipments2[[#This Row],[ROSL]]))),
   "Released",
   "Not Released")</f>
        <v>Released</v>
      </c>
      <c r="I357" t="str">
        <f>IF(OR(tblShipments2[[#This Row],[EGM no]]="", tblShipments2[[#This Row],[EGM no]]="N.A."), "Not Submitted", "Submitted")</f>
        <v>Submitted</v>
      </c>
      <c r="J357" t="str">
        <f>IF(LEFT(tblShipments2[[#This Row],[Gateway_Extracted]],2)="IN","Valid","Invalid")</f>
        <v>Valid</v>
      </c>
      <c r="K357" t="s">
        <v>1094</v>
      </c>
      <c r="L357" t="s">
        <v>1114</v>
      </c>
      <c r="M357" t="s">
        <v>31</v>
      </c>
      <c r="N357" t="s">
        <v>1115</v>
      </c>
      <c r="O357" t="str">
        <f>IFERROR("IN" &amp; _xlfn.TEXTBEFORE(_xlfn.TEXTAFTER(UPPER(tblShipments2[[#This Row],[Gateway_clean]]),"IN")," ",1),"")</f>
        <v>INNSA1</v>
      </c>
      <c r="P357" t="str">
        <f>SUBSTITUTE(tblShipments2[[#This Row],[Gateway]], CHAR(10), " ")</f>
        <v xml:space="preserve">AWB No. Gateway Port Gateway EGM No. Gateway EGM Date Gateway Site ID Error Code N.A.  INNSA1  137830  2017-10-30 00:00:00.0  INNSA1  S </v>
      </c>
      <c r="Q357" t="s">
        <v>1116</v>
      </c>
    </row>
    <row r="358" spans="1:17" x14ac:dyDescent="0.35">
      <c r="A358" t="s">
        <v>8</v>
      </c>
      <c r="B358">
        <v>9603076</v>
      </c>
      <c r="C358" s="2" t="s">
        <v>1112</v>
      </c>
      <c r="D358" s="2" t="str">
        <f>LEFT(TRIM(MID(SUBSTITUTE(tblShipments2[[#This Row],[Details]],CHAR(10)," "), FIND(CHAR(10),tblShipments2[[#This Row],[Details]])+1, 50)), 10)</f>
        <v>0597017891</v>
      </c>
      <c r="E358" t="s">
        <v>1117</v>
      </c>
      <c r="F35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8" t="str">
        <f>IF(tblShipments2[[#This Row],[EGM no]]="", "Missing EGM", "EGM Submitted")</f>
        <v>EGM Submitted</v>
      </c>
      <c r="H358" t="str">
        <f>IF(OR(ISNUMBER(SEARCH("Released",tblShipments2[[#This Row],[ROSL]])),
      ISNUMBER(SEARCH("Scroll",tblShipments2[[#This Row],[ROSL]])),
      ISNUMBER(SEARCH("Y",tblShipments2[[#This Row],[ROSL]]))),
   "Released",
   "Not Released")</f>
        <v>Released</v>
      </c>
      <c r="I358" t="str">
        <f>IF(OR(tblShipments2[[#This Row],[EGM no]]="", tblShipments2[[#This Row],[EGM no]]="N.A."), "Not Submitted", "Submitted")</f>
        <v>Submitted</v>
      </c>
      <c r="J358" t="str">
        <f>IF(LEFT(tblShipments2[[#This Row],[Gateway_Extracted]],2)="IN","Valid","Invalid")</f>
        <v>Valid</v>
      </c>
      <c r="K358" t="s">
        <v>1118</v>
      </c>
      <c r="L358" t="s">
        <v>1119</v>
      </c>
      <c r="M358" t="s">
        <v>13</v>
      </c>
      <c r="N358" t="s">
        <v>1120</v>
      </c>
      <c r="O358" t="str">
        <f>IFERROR("IN" &amp; _xlfn.TEXTBEFORE(_xlfn.TEXTAFTER(UPPER(tblShipments2[[#This Row],[Gateway_clean]]),"IN")," ",1),"")</f>
        <v>INNSA1</v>
      </c>
      <c r="P358" t="str">
        <f>SUBSTITUTE(tblShipments2[[#This Row],[Gateway]], CHAR(10), " ")</f>
        <v xml:space="preserve">AWB No. Gateway Port Gateway EGM No. Gateway EGM Date Gateway Site ID Error Code N.A.  INNSA1  138455  2017-11-09 00:00:00.0  INNSA1  S </v>
      </c>
      <c r="Q358" t="s">
        <v>1121</v>
      </c>
    </row>
    <row r="359" spans="1:17" x14ac:dyDescent="0.35">
      <c r="A359" t="s">
        <v>8</v>
      </c>
      <c r="B359">
        <v>9612572</v>
      </c>
      <c r="C359" s="2" t="s">
        <v>1112</v>
      </c>
      <c r="D359" s="2" t="str">
        <f>LEFT(TRIM(MID(SUBSTITUTE(tblShipments2[[#This Row],[Details]],CHAR(10)," "), FIND(CHAR(10),tblShipments2[[#This Row],[Details]])+1, 50)), 10)</f>
        <v>0597017891</v>
      </c>
      <c r="E359" t="s">
        <v>1122</v>
      </c>
      <c r="F35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59" t="str">
        <f>IF(tblShipments2[[#This Row],[EGM no]]="", "Missing EGM", "EGM Submitted")</f>
        <v>EGM Submitted</v>
      </c>
      <c r="H359" t="str">
        <f>IF(OR(ISNUMBER(SEARCH("Released",tblShipments2[[#This Row],[ROSL]])),
      ISNUMBER(SEARCH("Scroll",tblShipments2[[#This Row],[ROSL]])),
      ISNUMBER(SEARCH("Y",tblShipments2[[#This Row],[ROSL]]))),
   "Released",
   "Not Released")</f>
        <v>Released</v>
      </c>
      <c r="I359" t="str">
        <f>IF(OR(tblShipments2[[#This Row],[EGM no]]="", tblShipments2[[#This Row],[EGM no]]="N.A."), "Not Submitted", "Submitted")</f>
        <v>Submitted</v>
      </c>
      <c r="J359" t="str">
        <f>IF(LEFT(tblShipments2[[#This Row],[Gateway_Extracted]],2)="IN","Valid","Invalid")</f>
        <v>Valid</v>
      </c>
      <c r="K359" t="s">
        <v>1123</v>
      </c>
      <c r="L359" t="s">
        <v>1124</v>
      </c>
      <c r="M359" t="s">
        <v>13</v>
      </c>
      <c r="N359" t="s">
        <v>1125</v>
      </c>
      <c r="O359" t="str">
        <f>IFERROR("IN" &amp; _xlfn.TEXTBEFORE(_xlfn.TEXTAFTER(UPPER(tblShipments2[[#This Row],[Gateway_clean]]),"IN")," ",1),"")</f>
        <v>INNSA1</v>
      </c>
      <c r="P359" t="str">
        <f>SUBSTITUTE(tblShipments2[[#This Row],[Gateway]], CHAR(10), " ")</f>
        <v xml:space="preserve">AWB No. Gateway Port Gateway EGM No. Gateway EGM Date Gateway Site ID Error Code N.A.  INNSA1  138732  2017-11-14 00:00:00.0  INNSA1  S </v>
      </c>
      <c r="Q359" t="s">
        <v>1126</v>
      </c>
    </row>
    <row r="360" spans="1:17" x14ac:dyDescent="0.35">
      <c r="A360" t="s">
        <v>8</v>
      </c>
      <c r="B360">
        <v>9626392</v>
      </c>
      <c r="C360" s="2" t="s">
        <v>1127</v>
      </c>
      <c r="D360" s="2" t="str">
        <f>LEFT(TRIM(MID(SUBSTITUTE(tblShipments2[[#This Row],[Details]],CHAR(10)," "), FIND(CHAR(10),tblShipments2[[#This Row],[Details]])+1, 50)), 10)</f>
        <v>0504038966</v>
      </c>
      <c r="E360" t="s">
        <v>1128</v>
      </c>
      <c r="F36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0" t="str">
        <f>IF(tblShipments2[[#This Row],[EGM no]]="", "Missing EGM", "EGM Submitted")</f>
        <v>EGM Submitted</v>
      </c>
      <c r="H360" t="str">
        <f>IF(OR(ISNUMBER(SEARCH("Released",tblShipments2[[#This Row],[ROSL]])),
      ISNUMBER(SEARCH("Scroll",tblShipments2[[#This Row],[ROSL]])),
      ISNUMBER(SEARCH("Y",tblShipments2[[#This Row],[ROSL]]))),
   "Released",
   "Not Released")</f>
        <v>Released</v>
      </c>
      <c r="I360" t="str">
        <f>IF(OR(tblShipments2[[#This Row],[EGM no]]="", tblShipments2[[#This Row],[EGM no]]="N.A."), "Not Submitted", "Submitted")</f>
        <v>Submitted</v>
      </c>
      <c r="J360" t="str">
        <f>IF(LEFT(tblShipments2[[#This Row],[Gateway_Extracted]],2)="IN","Valid","Invalid")</f>
        <v>Valid</v>
      </c>
      <c r="K360" t="s">
        <v>1129</v>
      </c>
      <c r="L360" t="s">
        <v>1130</v>
      </c>
      <c r="M360" t="s">
        <v>13</v>
      </c>
      <c r="N360" t="s">
        <v>1131</v>
      </c>
      <c r="O360" t="str">
        <f>IFERROR("IN" &amp; _xlfn.TEXTBEFORE(_xlfn.TEXTAFTER(UPPER(tblShipments2[[#This Row],[Gateway_clean]]),"IN")," ",1),"")</f>
        <v>INNSA1</v>
      </c>
      <c r="P360" t="str">
        <f>SUBSTITUTE(tblShipments2[[#This Row],[Gateway]], CHAR(10), " ")</f>
        <v xml:space="preserve">AWB No. Gateway Port Gateway EGM No. Gateway EGM Date Gateway Site ID Error Code N.A.  INNSA1  137889  2017-10-31 00:00:00.0  INNSA1  S </v>
      </c>
      <c r="Q360" t="s">
        <v>1132</v>
      </c>
    </row>
    <row r="361" spans="1:17" x14ac:dyDescent="0.35">
      <c r="A361" t="s">
        <v>8</v>
      </c>
      <c r="B361">
        <v>9653631</v>
      </c>
      <c r="C361" s="2" t="s">
        <v>1133</v>
      </c>
      <c r="D361" s="2" t="str">
        <f>LEFT(TRIM(MID(SUBSTITUTE(tblShipments2[[#This Row],[Details]],CHAR(10)," "), FIND(CHAR(10),tblShipments2[[#This Row],[Details]])+1, 50)), 10)</f>
        <v>0511002459</v>
      </c>
      <c r="E361" t="s">
        <v>1134</v>
      </c>
      <c r="F36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1" t="str">
        <f>IF(tblShipments2[[#This Row],[EGM no]]="", "Missing EGM", "EGM Submitted")</f>
        <v>EGM Submitted</v>
      </c>
      <c r="H361" t="str">
        <f>IF(OR(ISNUMBER(SEARCH("Released",tblShipments2[[#This Row],[ROSL]])),
      ISNUMBER(SEARCH("Scroll",tblShipments2[[#This Row],[ROSL]])),
      ISNUMBER(SEARCH("Y",tblShipments2[[#This Row],[ROSL]]))),
   "Released",
   "Not Released")</f>
        <v>Released</v>
      </c>
      <c r="I361" t="str">
        <f>IF(OR(tblShipments2[[#This Row],[EGM no]]="", tblShipments2[[#This Row],[EGM no]]="N.A."), "Not Submitted", "Submitted")</f>
        <v>Submitted</v>
      </c>
      <c r="J361" t="str">
        <f>IF(LEFT(tblShipments2[[#This Row],[Gateway_Extracted]],2)="IN","Valid","Invalid")</f>
        <v>Valid</v>
      </c>
      <c r="K361" t="s">
        <v>1135</v>
      </c>
      <c r="L361" t="s">
        <v>1136</v>
      </c>
      <c r="M361" t="s">
        <v>13</v>
      </c>
      <c r="N361" t="s">
        <v>1137</v>
      </c>
      <c r="O361" t="str">
        <f>IFERROR("IN" &amp; _xlfn.TEXTBEFORE(_xlfn.TEXTAFTER(UPPER(tblShipments2[[#This Row],[Gateway_clean]]),"IN")," ",1),"")</f>
        <v>INNSA1</v>
      </c>
      <c r="P361" t="str">
        <f>SUBSTITUTE(tblShipments2[[#This Row],[Gateway]], CHAR(10), " ")</f>
        <v xml:space="preserve">AWB No. Gateway Port Gateway EGM No. Gateway EGM Date Gateway Site ID Error Code N.A.  INNSA1  138837  2017-11-15 00:00:00.0  INNSA1  S </v>
      </c>
      <c r="Q361" t="s">
        <v>1138</v>
      </c>
    </row>
    <row r="362" spans="1:17" x14ac:dyDescent="0.35">
      <c r="A362" t="s">
        <v>8</v>
      </c>
      <c r="B362">
        <v>9675183</v>
      </c>
      <c r="C362" s="2" t="s">
        <v>1139</v>
      </c>
      <c r="D362" s="2" t="str">
        <f>LEFT(TRIM(MID(SUBSTITUTE(tblShipments2[[#This Row],[Details]],CHAR(10)," "), FIND(CHAR(10),tblShipments2[[#This Row],[Details]])+1, 50)), 10)</f>
        <v>0288014952</v>
      </c>
      <c r="E362" t="s">
        <v>1140</v>
      </c>
      <c r="F36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2" t="str">
        <f>IF(tblShipments2[[#This Row],[EGM no]]="", "Missing EGM", "EGM Submitted")</f>
        <v>EGM Submitted</v>
      </c>
      <c r="H362" t="str">
        <f>IF(OR(ISNUMBER(SEARCH("Released",tblShipments2[[#This Row],[ROSL]])),
      ISNUMBER(SEARCH("Scroll",tblShipments2[[#This Row],[ROSL]])),
      ISNUMBER(SEARCH("Y",tblShipments2[[#This Row],[ROSL]]))),
   "Released",
   "Not Released")</f>
        <v>Released</v>
      </c>
      <c r="I362" t="str">
        <f>IF(OR(tblShipments2[[#This Row],[EGM no]]="", tblShipments2[[#This Row],[EGM no]]="N.A."), "Not Submitted", "Submitted")</f>
        <v>Submitted</v>
      </c>
      <c r="J362" t="str">
        <f>IF(LEFT(tblShipments2[[#This Row],[Gateway_Extracted]],2)="IN","Valid","Invalid")</f>
        <v>Valid</v>
      </c>
      <c r="K362" t="s">
        <v>1141</v>
      </c>
      <c r="L362" t="s">
        <v>1142</v>
      </c>
      <c r="M362" t="s">
        <v>13</v>
      </c>
      <c r="N362" t="s">
        <v>1143</v>
      </c>
      <c r="O362" t="str">
        <f>IFERROR("IN" &amp; _xlfn.TEXTBEFORE(_xlfn.TEXTAFTER(UPPER(tblShipments2[[#This Row],[Gateway_clean]]),"IN")," ",1),"")</f>
        <v>INNSA1</v>
      </c>
      <c r="P362" t="str">
        <f>SUBSTITUTE(tblShipments2[[#This Row],[Gateway]], CHAR(10), " ")</f>
        <v xml:space="preserve">AWB No. Gateway Port Gateway EGM No. Gateway EGM Date Gateway Site ID Error Code N.A.  INNSA1  N.A.  N.A.  N.A.  N.A. </v>
      </c>
      <c r="Q362" t="s">
        <v>26</v>
      </c>
    </row>
    <row r="363" spans="1:17" x14ac:dyDescent="0.35">
      <c r="A363" t="s">
        <v>8</v>
      </c>
      <c r="B363">
        <v>9683009</v>
      </c>
      <c r="C363" s="2" t="s">
        <v>1139</v>
      </c>
      <c r="D363" s="2" t="str">
        <f>LEFT(TRIM(MID(SUBSTITUTE(tblShipments2[[#This Row],[Details]],CHAR(10)," "), FIND(CHAR(10),tblShipments2[[#This Row],[Details]])+1, 50)), 10)</f>
        <v>3014016713</v>
      </c>
      <c r="E363" t="s">
        <v>1144</v>
      </c>
      <c r="F36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3" t="str">
        <f>IF(tblShipments2[[#This Row],[EGM no]]="", "Missing EGM", "EGM Submitted")</f>
        <v>EGM Submitted</v>
      </c>
      <c r="H363" t="str">
        <f>IF(OR(ISNUMBER(SEARCH("Released",tblShipments2[[#This Row],[ROSL]])),
      ISNUMBER(SEARCH("Scroll",tblShipments2[[#This Row],[ROSL]])),
      ISNUMBER(SEARCH("Y",tblShipments2[[#This Row],[ROSL]]))),
   "Released",
   "Not Released")</f>
        <v>Released</v>
      </c>
      <c r="I363" t="str">
        <f>IF(OR(tblShipments2[[#This Row],[EGM no]]="", tblShipments2[[#This Row],[EGM no]]="N.A."), "Not Submitted", "Submitted")</f>
        <v>Submitted</v>
      </c>
      <c r="J363" t="str">
        <f>IF(LEFT(tblShipments2[[#This Row],[Gateway_Extracted]],2)="IN","Valid","Invalid")</f>
        <v>Valid</v>
      </c>
      <c r="K363" t="s">
        <v>1123</v>
      </c>
      <c r="L363" t="s">
        <v>1145</v>
      </c>
      <c r="M363" t="s">
        <v>13</v>
      </c>
      <c r="N363" t="s">
        <v>1146</v>
      </c>
      <c r="O363" t="str">
        <f>IFERROR("IN" &amp; _xlfn.TEXTBEFORE(_xlfn.TEXTAFTER(UPPER(tblShipments2[[#This Row],[Gateway_clean]]),"IN")," ",1),"")</f>
        <v>INNSA1</v>
      </c>
      <c r="P363" t="str">
        <f>SUBSTITUTE(tblShipments2[[#This Row],[Gateway]], CHAR(10), " ")</f>
        <v xml:space="preserve">AWB No. Gateway Port Gateway EGM No. Gateway EGM Date Gateway Site ID Error Code N.A.  INNSA1  138138  2017-11-03 00:00:00.0  INNSA1  S </v>
      </c>
      <c r="Q363" t="s">
        <v>1091</v>
      </c>
    </row>
    <row r="364" spans="1:17" x14ac:dyDescent="0.35">
      <c r="A364" t="s">
        <v>8</v>
      </c>
      <c r="B364">
        <v>9683904</v>
      </c>
      <c r="C364" s="2" t="s">
        <v>1139</v>
      </c>
      <c r="D364" s="2" t="str">
        <f>LEFT(TRIM(MID(SUBSTITUTE(tblShipments2[[#This Row],[Details]],CHAR(10)," "), FIND(CHAR(10),tblShipments2[[#This Row],[Details]])+1, 50)), 10)</f>
        <v>3303004897</v>
      </c>
      <c r="E364" t="s">
        <v>1147</v>
      </c>
      <c r="F36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4" t="str">
        <f>IF(tblShipments2[[#This Row],[EGM no]]="", "Missing EGM", "EGM Submitted")</f>
        <v>EGM Submitted</v>
      </c>
      <c r="H364" t="str">
        <f>IF(OR(ISNUMBER(SEARCH("Released",tblShipments2[[#This Row],[ROSL]])),
      ISNUMBER(SEARCH("Scroll",tblShipments2[[#This Row],[ROSL]])),
      ISNUMBER(SEARCH("Y",tblShipments2[[#This Row],[ROSL]]))),
   "Released",
   "Not Released")</f>
        <v>Released</v>
      </c>
      <c r="I364" t="str">
        <f>IF(OR(tblShipments2[[#This Row],[EGM no]]="", tblShipments2[[#This Row],[EGM no]]="N.A."), "Not Submitted", "Submitted")</f>
        <v>Submitted</v>
      </c>
      <c r="J364" t="str">
        <f>IF(LEFT(tblShipments2[[#This Row],[Gateway_Extracted]],2)="IN","Valid","Invalid")</f>
        <v>Valid</v>
      </c>
      <c r="K364" t="s">
        <v>1148</v>
      </c>
      <c r="L364" t="s">
        <v>1149</v>
      </c>
      <c r="M364" t="s">
        <v>31</v>
      </c>
      <c r="N364" t="s">
        <v>1150</v>
      </c>
      <c r="O364" t="str">
        <f>IFERROR("IN" &amp; _xlfn.TEXTBEFORE(_xlfn.TEXTAFTER(UPPER(tblShipments2[[#This Row],[Gateway_clean]]),"IN")," ",1),"")</f>
        <v>INMUN1</v>
      </c>
      <c r="P364" t="str">
        <f>SUBSTITUTE(tblShipments2[[#This Row],[Gateway]], CHAR(10), " ")</f>
        <v xml:space="preserve">AWB No. Gateway Port Gateway EGM No. Gateway EGM Date Gateway Site ID Error Code N.A.  INMUN1  140630  2017-12-13 00:00:00.0  INMUN1  S </v>
      </c>
      <c r="Q364" t="s">
        <v>1151</v>
      </c>
    </row>
    <row r="365" spans="1:17" x14ac:dyDescent="0.35">
      <c r="A365" t="s">
        <v>8</v>
      </c>
      <c r="B365">
        <v>9687200</v>
      </c>
      <c r="C365" s="2" t="s">
        <v>1139</v>
      </c>
      <c r="D365" s="2" t="str">
        <f>LEFT(TRIM(MID(SUBSTITUTE(tblShipments2[[#This Row],[Details]],CHAR(10)," "), FIND(CHAR(10),tblShipments2[[#This Row],[Details]])+1, 50)), 10)</f>
        <v>0506074285</v>
      </c>
      <c r="E365" t="s">
        <v>1152</v>
      </c>
      <c r="F36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5" t="str">
        <f>IF(tblShipments2[[#This Row],[EGM no]]="", "Missing EGM", "EGM Submitted")</f>
        <v>EGM Submitted</v>
      </c>
      <c r="H365" t="str">
        <f>IF(OR(ISNUMBER(SEARCH("Released",tblShipments2[[#This Row],[ROSL]])),
      ISNUMBER(SEARCH("Scroll",tblShipments2[[#This Row],[ROSL]])),
      ISNUMBER(SEARCH("Y",tblShipments2[[#This Row],[ROSL]]))),
   "Released",
   "Not Released")</f>
        <v>Released</v>
      </c>
      <c r="I365" t="str">
        <f>IF(OR(tblShipments2[[#This Row],[EGM no]]="", tblShipments2[[#This Row],[EGM no]]="N.A."), "Not Submitted", "Submitted")</f>
        <v>Submitted</v>
      </c>
      <c r="J365" t="str">
        <f>IF(LEFT(tblShipments2[[#This Row],[Gateway_Extracted]],2)="IN","Valid","Invalid")</f>
        <v>Valid</v>
      </c>
      <c r="K365" t="s">
        <v>1129</v>
      </c>
      <c r="L365" t="s">
        <v>1153</v>
      </c>
      <c r="M365" t="s">
        <v>1154</v>
      </c>
      <c r="N365" t="s">
        <v>1155</v>
      </c>
      <c r="O365" t="str">
        <f>IFERROR("IN" &amp; _xlfn.TEXTBEFORE(_xlfn.TEXTAFTER(UPPER(tblShipments2[[#This Row],[Gateway_clean]]),"IN")," ",1),"")</f>
        <v>INNSA1</v>
      </c>
      <c r="P365" t="str">
        <f>SUBSTITUTE(tblShipments2[[#This Row],[Gateway]], CHAR(10), " ")</f>
        <v xml:space="preserve">AWB No. Gateway Port Gateway EGM No. Gateway EGM Date Gateway Site ID Error Code N.A.  INNSA1  N.A.  N.A.  N.A.  N.A. </v>
      </c>
      <c r="Q365" t="s">
        <v>26</v>
      </c>
    </row>
    <row r="366" spans="1:17" x14ac:dyDescent="0.35">
      <c r="A366" t="s">
        <v>8</v>
      </c>
      <c r="B366">
        <v>9721864</v>
      </c>
      <c r="C366" s="2" t="s">
        <v>1156</v>
      </c>
      <c r="D366" s="2" t="str">
        <f>LEFT(TRIM(MID(SUBSTITUTE(tblShipments2[[#This Row],[Details]],CHAR(10)," "), FIND(CHAR(10),tblShipments2[[#This Row],[Details]])+1, 50)), 10)</f>
        <v>0598032801</v>
      </c>
      <c r="E366" t="s">
        <v>1157</v>
      </c>
      <c r="F36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6" t="str">
        <f>IF(tblShipments2[[#This Row],[EGM no]]="", "Missing EGM", "EGM Submitted")</f>
        <v>EGM Submitted</v>
      </c>
      <c r="H366" t="str">
        <f>IF(OR(ISNUMBER(SEARCH("Released",tblShipments2[[#This Row],[ROSL]])),
      ISNUMBER(SEARCH("Scroll",tblShipments2[[#This Row],[ROSL]])),
      ISNUMBER(SEARCH("Y",tblShipments2[[#This Row],[ROSL]]))),
   "Released",
   "Not Released")</f>
        <v>Released</v>
      </c>
      <c r="I366" t="str">
        <f>IF(OR(tblShipments2[[#This Row],[EGM no]]="", tblShipments2[[#This Row],[EGM no]]="N.A."), "Not Submitted", "Submitted")</f>
        <v>Submitted</v>
      </c>
      <c r="J366" t="str">
        <f>IF(LEFT(tblShipments2[[#This Row],[Gateway_Extracted]],2)="IN","Valid","Invalid")</f>
        <v>Valid</v>
      </c>
      <c r="K366" t="s">
        <v>1123</v>
      </c>
      <c r="L366" t="s">
        <v>1158</v>
      </c>
      <c r="M366" t="s">
        <v>13</v>
      </c>
      <c r="N366" t="s">
        <v>1159</v>
      </c>
      <c r="O366" t="str">
        <f>IFERROR("IN" &amp; _xlfn.TEXTBEFORE(_xlfn.TEXTAFTER(UPPER(tblShipments2[[#This Row],[Gateway_clean]]),"IN")," ",1),"")</f>
        <v>INMUN1</v>
      </c>
      <c r="P366" t="str">
        <f>SUBSTITUTE(tblShipments2[[#This Row],[Gateway]], CHAR(10), " ")</f>
        <v xml:space="preserve">AWB No. Gateway Port Gateway EGM No. Gateway EGM Date Gateway Site ID Error Code N.A.  INMUN1  138363  2017-11-07 00:00:00.0  INMUN1  S </v>
      </c>
      <c r="Q366" t="s">
        <v>1160</v>
      </c>
    </row>
    <row r="367" spans="1:17" x14ac:dyDescent="0.35">
      <c r="A367" t="s">
        <v>8</v>
      </c>
      <c r="B367">
        <v>9725059</v>
      </c>
      <c r="C367" s="2" t="s">
        <v>1156</v>
      </c>
      <c r="D367" s="2" t="str">
        <f>LEFT(TRIM(MID(SUBSTITUTE(tblShipments2[[#This Row],[Details]],CHAR(10)," "), FIND(CHAR(10),tblShipments2[[#This Row],[Details]])+1, 50)), 10)</f>
        <v>0515933520</v>
      </c>
      <c r="E367" t="s">
        <v>1161</v>
      </c>
      <c r="F36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7" t="str">
        <f>IF(tblShipments2[[#This Row],[EGM no]]="", "Missing EGM", "EGM Submitted")</f>
        <v>EGM Submitted</v>
      </c>
      <c r="H367" t="str">
        <f>IF(OR(ISNUMBER(SEARCH("Released",tblShipments2[[#This Row],[ROSL]])),
      ISNUMBER(SEARCH("Scroll",tblShipments2[[#This Row],[ROSL]])),
      ISNUMBER(SEARCH("Y",tblShipments2[[#This Row],[ROSL]]))),
   "Released",
   "Not Released")</f>
        <v>Released</v>
      </c>
      <c r="I367" t="str">
        <f>IF(OR(tblShipments2[[#This Row],[EGM no]]="", tblShipments2[[#This Row],[EGM no]]="N.A."), "Not Submitted", "Submitted")</f>
        <v>Submitted</v>
      </c>
      <c r="J367" t="str">
        <f>IF(LEFT(tblShipments2[[#This Row],[Gateway_Extracted]],2)="IN","Valid","Invalid")</f>
        <v>Valid</v>
      </c>
      <c r="K367" t="s">
        <v>1099</v>
      </c>
      <c r="L367" t="s">
        <v>1109</v>
      </c>
      <c r="M367" t="s">
        <v>13</v>
      </c>
      <c r="N367" t="s">
        <v>1162</v>
      </c>
      <c r="O367" t="str">
        <f>IFERROR("IN" &amp; _xlfn.TEXTBEFORE(_xlfn.TEXTAFTER(UPPER(tblShipments2[[#This Row],[Gateway_clean]]),"IN")," ",1),"")</f>
        <v>INNSA1</v>
      </c>
      <c r="P367" t="str">
        <f>SUBSTITUTE(tblShipments2[[#This Row],[Gateway]], CHAR(10), " ")</f>
        <v xml:space="preserve">AWB No. Gateway Port Gateway EGM No. Gateway EGM Date Gateway Site ID Error Code N.A.  INNSA1  137353  2017-10-23 00:00:00.0  INNSA1  C </v>
      </c>
      <c r="Q367" t="s">
        <v>1163</v>
      </c>
    </row>
    <row r="368" spans="1:17" x14ac:dyDescent="0.35">
      <c r="A368" t="s">
        <v>8</v>
      </c>
      <c r="B368">
        <v>9731029</v>
      </c>
      <c r="C368" s="2" t="s">
        <v>1156</v>
      </c>
      <c r="D368" s="2" t="str">
        <f>LEFT(TRIM(MID(SUBSTITUTE(tblShipments2[[#This Row],[Details]],CHAR(10)," "), FIND(CHAR(10),tblShipments2[[#This Row],[Details]])+1, 50)), 10)</f>
        <v>0507062884</v>
      </c>
      <c r="E368" t="s">
        <v>1164</v>
      </c>
      <c r="F36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8" t="str">
        <f>IF(tblShipments2[[#This Row],[EGM no]]="", "Missing EGM", "EGM Submitted")</f>
        <v>EGM Submitted</v>
      </c>
      <c r="H368" t="str">
        <f>IF(OR(ISNUMBER(SEARCH("Released",tblShipments2[[#This Row],[ROSL]])),
      ISNUMBER(SEARCH("Scroll",tblShipments2[[#This Row],[ROSL]])),
      ISNUMBER(SEARCH("Y",tblShipments2[[#This Row],[ROSL]]))),
   "Released",
   "Not Released")</f>
        <v>Released</v>
      </c>
      <c r="I368" t="str">
        <f>IF(OR(tblShipments2[[#This Row],[EGM no]]="", tblShipments2[[#This Row],[EGM no]]="N.A."), "Not Submitted", "Submitted")</f>
        <v>Submitted</v>
      </c>
      <c r="J368" t="str">
        <f>IF(LEFT(tblShipments2[[#This Row],[Gateway_Extracted]],2)="IN","Valid","Invalid")</f>
        <v>Valid</v>
      </c>
      <c r="K368" t="s">
        <v>1099</v>
      </c>
      <c r="L368" t="s">
        <v>1165</v>
      </c>
      <c r="M368" t="s">
        <v>13</v>
      </c>
      <c r="N368" t="s">
        <v>1166</v>
      </c>
      <c r="O368" t="str">
        <f>IFERROR("IN" &amp; _xlfn.TEXTBEFORE(_xlfn.TEXTAFTER(UPPER(tblShipments2[[#This Row],[Gateway_clean]]),"IN")," ",1),"")</f>
        <v>INMUN1</v>
      </c>
      <c r="P368" t="str">
        <f>SUBSTITUTE(tblShipments2[[#This Row],[Gateway]], CHAR(10), " ")</f>
        <v xml:space="preserve">AWB No. Gateway Port Gateway EGM No. Gateway EGM Date Gateway Site ID Error Code N.A.  INMUN1  137950  2017-11-01 00:00:00.0  INMUN1  S </v>
      </c>
      <c r="Q368" t="s">
        <v>1167</v>
      </c>
    </row>
    <row r="369" spans="1:17" x14ac:dyDescent="0.35">
      <c r="A369" t="s">
        <v>8</v>
      </c>
      <c r="B369">
        <v>9736929</v>
      </c>
      <c r="C369" s="2" t="s">
        <v>1168</v>
      </c>
      <c r="D369" s="2" t="str">
        <f>LEFT(TRIM(MID(SUBSTITUTE(tblShipments2[[#This Row],[Details]],CHAR(10)," "), FIND(CHAR(10),tblShipments2[[#This Row],[Details]])+1, 50)), 10)</f>
        <v>0515019933</v>
      </c>
      <c r="E369" t="s">
        <v>1169</v>
      </c>
      <c r="F36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69" t="str">
        <f>IF(tblShipments2[[#This Row],[EGM no]]="", "Missing EGM", "EGM Submitted")</f>
        <v>EGM Submitted</v>
      </c>
      <c r="H369" t="str">
        <f>IF(OR(ISNUMBER(SEARCH("Released",tblShipments2[[#This Row],[ROSL]])),
      ISNUMBER(SEARCH("Scroll",tblShipments2[[#This Row],[ROSL]])),
      ISNUMBER(SEARCH("Y",tblShipments2[[#This Row],[ROSL]]))),
   "Released",
   "Not Released")</f>
        <v>Released</v>
      </c>
      <c r="I369" t="str">
        <f>IF(OR(tblShipments2[[#This Row],[EGM no]]="", tblShipments2[[#This Row],[EGM no]]="N.A."), "Not Submitted", "Submitted")</f>
        <v>Submitted</v>
      </c>
      <c r="J369" t="str">
        <f>IF(LEFT(tblShipments2[[#This Row],[Gateway_Extracted]],2)="IN","Valid","Invalid")</f>
        <v>Valid</v>
      </c>
      <c r="K369" t="s">
        <v>1123</v>
      </c>
      <c r="L369" t="s">
        <v>1170</v>
      </c>
      <c r="M369" t="s">
        <v>13</v>
      </c>
      <c r="N369" t="s">
        <v>1171</v>
      </c>
      <c r="O369" t="str">
        <f>IFERROR("IN" &amp; _xlfn.TEXTBEFORE(_xlfn.TEXTAFTER(UPPER(tblShipments2[[#This Row],[Gateway_clean]]),"IN")," ",1),"")</f>
        <v>INMUN1</v>
      </c>
      <c r="P369" t="str">
        <f>SUBSTITUTE(tblShipments2[[#This Row],[Gateway]], CHAR(10), " ")</f>
        <v xml:space="preserve">AWB No. Gateway Port Gateway EGM No. Gateway EGM Date Gateway Site ID Error Code N.A.  INMUN1  141255  2017-12-23 00:00:00.0  INMUN1  S </v>
      </c>
      <c r="Q369" t="s">
        <v>1172</v>
      </c>
    </row>
    <row r="370" spans="1:17" x14ac:dyDescent="0.35">
      <c r="A370" t="s">
        <v>8</v>
      </c>
      <c r="B370">
        <v>9738912</v>
      </c>
      <c r="C370" s="2" t="s">
        <v>1168</v>
      </c>
      <c r="D370" s="2" t="str">
        <f>LEFT(TRIM(MID(SUBSTITUTE(tblShipments2[[#This Row],[Details]],CHAR(10)," "), FIND(CHAR(10),tblShipments2[[#This Row],[Details]])+1, 50)), 10)</f>
        <v>0615002285</v>
      </c>
      <c r="E370" t="s">
        <v>1173</v>
      </c>
      <c r="F37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0" t="str">
        <f>IF(tblShipments2[[#This Row],[EGM no]]="", "Missing EGM", "EGM Submitted")</f>
        <v>EGM Submitted</v>
      </c>
      <c r="H370" t="str">
        <f>IF(OR(ISNUMBER(SEARCH("Released",tblShipments2[[#This Row],[ROSL]])),
      ISNUMBER(SEARCH("Scroll",tblShipments2[[#This Row],[ROSL]])),
      ISNUMBER(SEARCH("Y",tblShipments2[[#This Row],[ROSL]]))),
   "Released",
   "Not Released")</f>
        <v>Released</v>
      </c>
      <c r="I370" t="str">
        <f>IF(OR(tblShipments2[[#This Row],[EGM no]]="", tblShipments2[[#This Row],[EGM no]]="N.A."), "Not Submitted", "Submitted")</f>
        <v>Submitted</v>
      </c>
      <c r="J370" t="str">
        <f>IF(LEFT(tblShipments2[[#This Row],[Gateway_Extracted]],2)="IN","Valid","Invalid")</f>
        <v>Valid</v>
      </c>
      <c r="K370" t="s">
        <v>1174</v>
      </c>
      <c r="L370" t="s">
        <v>1175</v>
      </c>
      <c r="M370" t="s">
        <v>13</v>
      </c>
      <c r="N370" t="s">
        <v>1176</v>
      </c>
      <c r="O370" t="str">
        <f>IFERROR("IN" &amp; _xlfn.TEXTBEFORE(_xlfn.TEXTAFTER(UPPER(tblShipments2[[#This Row],[Gateway_clean]]),"IN")," ",1),"")</f>
        <v>INMUN1</v>
      </c>
      <c r="P370" t="str">
        <f>SUBSTITUTE(tblShipments2[[#This Row],[Gateway]], CHAR(10), " ")</f>
        <v xml:space="preserve">AWB No. Gateway Port Gateway EGM No. Gateway EGM Date Gateway Site ID Error Code N.A.  INMUN1  151099  2018-05-28 00:00:00.0  INMUN1  S </v>
      </c>
      <c r="Q370" t="s">
        <v>1177</v>
      </c>
    </row>
    <row r="371" spans="1:17" x14ac:dyDescent="0.35">
      <c r="A371" t="s">
        <v>8</v>
      </c>
      <c r="B371">
        <v>9741196</v>
      </c>
      <c r="C371" s="2" t="s">
        <v>1168</v>
      </c>
      <c r="D371" s="2" t="str">
        <f>LEFT(TRIM(MID(SUBSTITUTE(tblShipments2[[#This Row],[Details]],CHAR(10)," "), FIND(CHAR(10),tblShipments2[[#This Row],[Details]])+1, 50)), 10)</f>
        <v>0504008455</v>
      </c>
      <c r="E371" t="s">
        <v>1178</v>
      </c>
      <c r="F371"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1" t="str">
        <f>IF(tblShipments2[[#This Row],[EGM no]]="", "Missing EGM", "EGM Submitted")</f>
        <v>EGM Submitted</v>
      </c>
      <c r="H371" t="str">
        <f>IF(OR(ISNUMBER(SEARCH("Released",tblShipments2[[#This Row],[ROSL]])),
      ISNUMBER(SEARCH("Scroll",tblShipments2[[#This Row],[ROSL]])),
      ISNUMBER(SEARCH("Y",tblShipments2[[#This Row],[ROSL]]))),
   "Released",
   "Not Released")</f>
        <v>Released</v>
      </c>
      <c r="I371" t="str">
        <f>IF(OR(tblShipments2[[#This Row],[EGM no]]="", tblShipments2[[#This Row],[EGM no]]="N.A."), "Not Submitted", "Submitted")</f>
        <v>Submitted</v>
      </c>
      <c r="J371" t="str">
        <f>IF(LEFT(tblShipments2[[#This Row],[Gateway_Extracted]],2)="IN","Valid","Invalid")</f>
        <v>Valid</v>
      </c>
      <c r="K371" t="s">
        <v>1099</v>
      </c>
      <c r="L371" t="s">
        <v>1179</v>
      </c>
      <c r="M371" t="s">
        <v>13</v>
      </c>
      <c r="N371" t="s">
        <v>1180</v>
      </c>
      <c r="O371" t="str">
        <f>IFERROR("IN" &amp; _xlfn.TEXTBEFORE(_xlfn.TEXTAFTER(UPPER(tblShipments2[[#This Row],[Gateway_clean]]),"IN")," ",1),"")</f>
        <v>INNSA1</v>
      </c>
      <c r="P371" t="str">
        <f>SUBSTITUTE(tblShipments2[[#This Row],[Gateway]], CHAR(10), " ")</f>
        <v xml:space="preserve">AWB No. Gateway Port Gateway EGM No. Gateway EGM Date Gateway Site ID Error Code N.A.  INNSA1  137370  2017-10-23 00:00:00.0  INNSA1  C </v>
      </c>
      <c r="Q371" t="s">
        <v>1181</v>
      </c>
    </row>
    <row r="372" spans="1:17" x14ac:dyDescent="0.35">
      <c r="A372" t="s">
        <v>8</v>
      </c>
      <c r="B372">
        <v>9776960</v>
      </c>
      <c r="C372" s="2" t="s">
        <v>1182</v>
      </c>
      <c r="D372" s="2" t="str">
        <f>LEFT(TRIM(MID(SUBSTITUTE(tblShipments2[[#This Row],[Details]],CHAR(10)," "), FIND(CHAR(10),tblShipments2[[#This Row],[Details]])+1, 50)), 10)</f>
        <v>0597017891</v>
      </c>
      <c r="E372" t="s">
        <v>1183</v>
      </c>
      <c r="F372"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2" t="str">
        <f>IF(tblShipments2[[#This Row],[EGM no]]="", "Missing EGM", "EGM Submitted")</f>
        <v>EGM Submitted</v>
      </c>
      <c r="H372" t="str">
        <f>IF(OR(ISNUMBER(SEARCH("Released",tblShipments2[[#This Row],[ROSL]])),
      ISNUMBER(SEARCH("Scroll",tblShipments2[[#This Row],[ROSL]])),
      ISNUMBER(SEARCH("Y",tblShipments2[[#This Row],[ROSL]]))),
   "Released",
   "Not Released")</f>
        <v>Released</v>
      </c>
      <c r="I372" t="str">
        <f>IF(OR(tblShipments2[[#This Row],[EGM no]]="", tblShipments2[[#This Row],[EGM no]]="N.A."), "Not Submitted", "Submitted")</f>
        <v>Submitted</v>
      </c>
      <c r="J372" t="str">
        <f>IF(LEFT(tblShipments2[[#This Row],[Gateway_Extracted]],2)="IN","Valid","Invalid")</f>
        <v>Valid</v>
      </c>
      <c r="K372" t="s">
        <v>1184</v>
      </c>
      <c r="L372" t="s">
        <v>1185</v>
      </c>
      <c r="M372" t="s">
        <v>13</v>
      </c>
      <c r="N372" t="s">
        <v>1186</v>
      </c>
      <c r="O372" t="str">
        <f>IFERROR("IN" &amp; _xlfn.TEXTBEFORE(_xlfn.TEXTAFTER(UPPER(tblShipments2[[#This Row],[Gateway_clean]]),"IN")," ",1),"")</f>
        <v>INNSA1</v>
      </c>
      <c r="P372" t="str">
        <f>SUBSTITUTE(tblShipments2[[#This Row],[Gateway]], CHAR(10), " ")</f>
        <v xml:space="preserve">AWB No. Gateway Port Gateway EGM No. Gateway EGM Date Gateway Site ID Error Code N.A.  INNSA1  138710  2017-11-13 00:00:00.0  INNSA1  S </v>
      </c>
      <c r="Q372" t="s">
        <v>1187</v>
      </c>
    </row>
    <row r="373" spans="1:17" x14ac:dyDescent="0.35">
      <c r="A373" t="s">
        <v>8</v>
      </c>
      <c r="B373">
        <v>9786910</v>
      </c>
      <c r="C373" s="2" t="s">
        <v>1188</v>
      </c>
      <c r="D373" s="2" t="str">
        <f>LEFT(TRIM(MID(SUBSTITUTE(tblShipments2[[#This Row],[Details]],CHAR(10)," "), FIND(CHAR(10),tblShipments2[[#This Row],[Details]])+1, 50)), 10)</f>
        <v>0515019372</v>
      </c>
      <c r="E373" t="s">
        <v>1189</v>
      </c>
      <c r="F373"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3" t="str">
        <f>IF(tblShipments2[[#This Row],[EGM no]]="", "Missing EGM", "EGM Submitted")</f>
        <v>EGM Submitted</v>
      </c>
      <c r="H373" t="str">
        <f>IF(OR(ISNUMBER(SEARCH("Released",tblShipments2[[#This Row],[ROSL]])),
      ISNUMBER(SEARCH("Scroll",tblShipments2[[#This Row],[ROSL]])),
      ISNUMBER(SEARCH("Y",tblShipments2[[#This Row],[ROSL]]))),
   "Released",
   "Not Released")</f>
        <v>Released</v>
      </c>
      <c r="I373" t="str">
        <f>IF(OR(tblShipments2[[#This Row],[EGM no]]="", tblShipments2[[#This Row],[EGM no]]="N.A."), "Not Submitted", "Submitted")</f>
        <v>Submitted</v>
      </c>
      <c r="J373" t="str">
        <f>IF(LEFT(tblShipments2[[#This Row],[Gateway_Extracted]],2)="IN","Valid","Invalid")</f>
        <v>Valid</v>
      </c>
      <c r="K373" t="s">
        <v>1108</v>
      </c>
      <c r="L373" t="s">
        <v>1190</v>
      </c>
      <c r="M373" t="s">
        <v>13</v>
      </c>
      <c r="N373" t="s">
        <v>1191</v>
      </c>
      <c r="O373" t="str">
        <f>IFERROR("IN" &amp; _xlfn.TEXTBEFORE(_xlfn.TEXTAFTER(UPPER(tblShipments2[[#This Row],[Gateway_clean]]),"IN")," ",1),"")</f>
        <v>INMUN1</v>
      </c>
      <c r="P373" t="str">
        <f>SUBSTITUTE(tblShipments2[[#This Row],[Gateway]], CHAR(10), " ")</f>
        <v xml:space="preserve">AWB No. Gateway Port Gateway EGM No. Gateway EGM Date Gateway Site ID Error Code N.A.  INMUN1  139000  2017-11-17 00:00:00.0  INMUN1  S </v>
      </c>
      <c r="Q373" t="s">
        <v>1192</v>
      </c>
    </row>
    <row r="374" spans="1:17" x14ac:dyDescent="0.35">
      <c r="A374" t="s">
        <v>8</v>
      </c>
      <c r="B374">
        <v>9791045</v>
      </c>
      <c r="C374" s="2" t="s">
        <v>1188</v>
      </c>
      <c r="D374" s="2" t="str">
        <f>LEFT(TRIM(MID(SUBSTITUTE(tblShipments2[[#This Row],[Details]],CHAR(10)," "), FIND(CHAR(10),tblShipments2[[#This Row],[Details]])+1, 50)), 10)</f>
        <v>0500075158</v>
      </c>
      <c r="E374" t="s">
        <v>1193</v>
      </c>
      <c r="F374"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4" t="str">
        <f>IF(tblShipments2[[#This Row],[EGM no]]="", "Missing EGM", "EGM Submitted")</f>
        <v>EGM Submitted</v>
      </c>
      <c r="H374" t="str">
        <f>IF(OR(ISNUMBER(SEARCH("Released",tblShipments2[[#This Row],[ROSL]])),
      ISNUMBER(SEARCH("Scroll",tblShipments2[[#This Row],[ROSL]])),
      ISNUMBER(SEARCH("Y",tblShipments2[[#This Row],[ROSL]]))),
   "Released",
   "Not Released")</f>
        <v>Released</v>
      </c>
      <c r="I374" t="str">
        <f>IF(OR(tblShipments2[[#This Row],[EGM no]]="", tblShipments2[[#This Row],[EGM no]]="N.A."), "Not Submitted", "Submitted")</f>
        <v>Submitted</v>
      </c>
      <c r="J374" t="str">
        <f>IF(LEFT(tblShipments2[[#This Row],[Gateway_Extracted]],2)="IN","Valid","Invalid")</f>
        <v>Valid</v>
      </c>
      <c r="K374" t="s">
        <v>1108</v>
      </c>
      <c r="L374" t="s">
        <v>1194</v>
      </c>
      <c r="M374" t="s">
        <v>1195</v>
      </c>
      <c r="N374" t="s">
        <v>1196</v>
      </c>
      <c r="O374" t="str">
        <f>IFERROR("IN" &amp; _xlfn.TEXTBEFORE(_xlfn.TEXTAFTER(UPPER(tblShipments2[[#This Row],[Gateway_clean]]),"IN")," ",1),"")</f>
        <v>INMUN1</v>
      </c>
      <c r="P374" t="str">
        <f>SUBSTITUTE(tblShipments2[[#This Row],[Gateway]], CHAR(10), " ")</f>
        <v xml:space="preserve">AWB No. Gateway Port Gateway EGM No. Gateway EGM Date Gateway Site ID Error Code N.A.  INMUN1  138685  2017-11-13 00:00:00.0  INMUN1  S </v>
      </c>
      <c r="Q374" t="s">
        <v>1197</v>
      </c>
    </row>
    <row r="375" spans="1:17" x14ac:dyDescent="0.35">
      <c r="A375" t="s">
        <v>8</v>
      </c>
      <c r="B375">
        <v>9802291</v>
      </c>
      <c r="C375" s="2" t="s">
        <v>1188</v>
      </c>
      <c r="D375" s="2" t="str">
        <f>LEFT(TRIM(MID(SUBSTITUTE(tblShipments2[[#This Row],[Details]],CHAR(10)," "), FIND(CHAR(10),tblShipments2[[#This Row],[Details]])+1, 50)), 10)</f>
        <v>0512057273</v>
      </c>
      <c r="E375" t="s">
        <v>1198</v>
      </c>
      <c r="F375"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5" t="str">
        <f>IF(tblShipments2[[#This Row],[EGM no]]="", "Missing EGM", "EGM Submitted")</f>
        <v>EGM Submitted</v>
      </c>
      <c r="H375" t="str">
        <f>IF(OR(ISNUMBER(SEARCH("Released",tblShipments2[[#This Row],[ROSL]])),
      ISNUMBER(SEARCH("Scroll",tblShipments2[[#This Row],[ROSL]])),
      ISNUMBER(SEARCH("Y",tblShipments2[[#This Row],[ROSL]]))),
   "Released",
   "Not Released")</f>
        <v>Released</v>
      </c>
      <c r="I375" t="str">
        <f>IF(OR(tblShipments2[[#This Row],[EGM no]]="", tblShipments2[[#This Row],[EGM no]]="N.A."), "Not Submitted", "Submitted")</f>
        <v>Submitted</v>
      </c>
      <c r="J375" t="str">
        <f>IF(LEFT(tblShipments2[[#This Row],[Gateway_Extracted]],2)="IN","Valid","Invalid")</f>
        <v>Valid</v>
      </c>
      <c r="K375" t="s">
        <v>1184</v>
      </c>
      <c r="L375" t="s">
        <v>1199</v>
      </c>
      <c r="M375" t="s">
        <v>13</v>
      </c>
      <c r="N375" t="s">
        <v>1200</v>
      </c>
      <c r="O375" t="str">
        <f>IFERROR("IN" &amp; _xlfn.TEXTBEFORE(_xlfn.TEXTAFTER(UPPER(tblShipments2[[#This Row],[Gateway_clean]]),"IN")," ",1),"")</f>
        <v>INPAV1</v>
      </c>
      <c r="P375" t="str">
        <f>SUBSTITUTE(tblShipments2[[#This Row],[Gateway]], CHAR(10), " ")</f>
        <v xml:space="preserve">AWB No. Gateway Port Gateway EGM No. Gateway EGM Date Gateway Site ID Error Code N.A.  INPAV1  137989  2017-11-01 00:00:00.0  INPAV1  S </v>
      </c>
      <c r="Q375" t="s">
        <v>1201</v>
      </c>
    </row>
    <row r="376" spans="1:17" x14ac:dyDescent="0.35">
      <c r="A376" t="s">
        <v>8</v>
      </c>
      <c r="B376">
        <v>9852487</v>
      </c>
      <c r="C376" s="2" t="s">
        <v>1202</v>
      </c>
      <c r="D376" s="2" t="str">
        <f>LEFT(TRIM(MID(SUBSTITUTE(tblShipments2[[#This Row],[Details]],CHAR(10)," "), FIND(CHAR(10),tblShipments2[[#This Row],[Details]])+1, 50)), 10)</f>
        <v>0504011057</v>
      </c>
      <c r="E376" t="s">
        <v>1203</v>
      </c>
      <c r="F376"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6" t="str">
        <f>IF(tblShipments2[[#This Row],[EGM no]]="", "Missing EGM", "EGM Submitted")</f>
        <v>EGM Submitted</v>
      </c>
      <c r="H376" t="str">
        <f>IF(OR(ISNUMBER(SEARCH("Released",tblShipments2[[#This Row],[ROSL]])),
      ISNUMBER(SEARCH("Scroll",tblShipments2[[#This Row],[ROSL]])),
      ISNUMBER(SEARCH("Y",tblShipments2[[#This Row],[ROSL]]))),
   "Released",
   "Not Released")</f>
        <v>Released</v>
      </c>
      <c r="I376" t="str">
        <f>IF(OR(tblShipments2[[#This Row],[EGM no]]="", tblShipments2[[#This Row],[EGM no]]="N.A."), "Not Submitted", "Submitted")</f>
        <v>Submitted</v>
      </c>
      <c r="J376" t="str">
        <f>IF(LEFT(tblShipments2[[#This Row],[Gateway_Extracted]],2)="IN","Valid","Invalid")</f>
        <v>Valid</v>
      </c>
      <c r="K376" t="s">
        <v>1204</v>
      </c>
      <c r="L376" t="s">
        <v>1205</v>
      </c>
      <c r="M376" t="s">
        <v>13</v>
      </c>
      <c r="N376" t="s">
        <v>1206</v>
      </c>
      <c r="O376" t="str">
        <f>IFERROR("IN" &amp; _xlfn.TEXTBEFORE(_xlfn.TEXTAFTER(UPPER(tblShipments2[[#This Row],[Gateway_clean]]),"IN")," ",1),"")</f>
        <v>INMUN1</v>
      </c>
      <c r="P376" t="str">
        <f>SUBSTITUTE(tblShipments2[[#This Row],[Gateway]], CHAR(10), " ")</f>
        <v xml:space="preserve">AWB No. Gateway Port Gateway EGM No. Gateway EGM Date Gateway Site ID Error Code N.A.  INMUN1  139245  2017-11-21 00:00:00.0  INMUN1  S </v>
      </c>
      <c r="Q376" t="s">
        <v>1207</v>
      </c>
    </row>
    <row r="377" spans="1:17" x14ac:dyDescent="0.35">
      <c r="A377" t="s">
        <v>8</v>
      </c>
      <c r="B377">
        <v>9929860</v>
      </c>
      <c r="C377" s="2" t="s">
        <v>1208</v>
      </c>
      <c r="D377" s="2" t="str">
        <f>LEFT(TRIM(MID(SUBSTITUTE(tblShipments2[[#This Row],[Details]],CHAR(10)," "), FIND(CHAR(10),tblShipments2[[#This Row],[Details]])+1, 50)), 10)</f>
        <v>5212012333</v>
      </c>
      <c r="E377" t="s">
        <v>1209</v>
      </c>
      <c r="F377"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7" t="str">
        <f>IF(tblShipments2[[#This Row],[EGM no]]="", "Missing EGM", "EGM Submitted")</f>
        <v>EGM Submitted</v>
      </c>
      <c r="H377" t="str">
        <f>IF(OR(ISNUMBER(SEARCH("Released",tblShipments2[[#This Row],[ROSL]])),
      ISNUMBER(SEARCH("Scroll",tblShipments2[[#This Row],[ROSL]])),
      ISNUMBER(SEARCH("Y",tblShipments2[[#This Row],[ROSL]]))),
   "Released",
   "Not Released")</f>
        <v>Released</v>
      </c>
      <c r="I377" t="str">
        <f>IF(OR(tblShipments2[[#This Row],[EGM no]]="", tblShipments2[[#This Row],[EGM no]]="N.A."), "Not Submitted", "Submitted")</f>
        <v>Submitted</v>
      </c>
      <c r="J377" t="str">
        <f>IF(LEFT(tblShipments2[[#This Row],[Gateway_Extracted]],2)="IN","Valid","Invalid")</f>
        <v>Valid</v>
      </c>
      <c r="K377" t="s">
        <v>1210</v>
      </c>
      <c r="L377" t="s">
        <v>1211</v>
      </c>
      <c r="M377" t="s">
        <v>1212</v>
      </c>
      <c r="N377" t="s">
        <v>1213</v>
      </c>
      <c r="O377" t="str">
        <f>IFERROR("IN" &amp; _xlfn.TEXTBEFORE(_xlfn.TEXTAFTER(UPPER(tblShipments2[[#This Row],[Gateway_clean]]),"IN")," ",1),"")</f>
        <v>INMUN1</v>
      </c>
      <c r="P377" t="str">
        <f>SUBSTITUTE(tblShipments2[[#This Row],[Gateway]], CHAR(10), " ")</f>
        <v xml:space="preserve">AWB No. Gateway Port Gateway EGM No. Gateway EGM Date Gateway Site ID Error Code N.A.  INMUN1  139240  2017-11-21 00:00:00.0  INMUN1  S </v>
      </c>
      <c r="Q377" t="s">
        <v>1214</v>
      </c>
    </row>
    <row r="378" spans="1:17" x14ac:dyDescent="0.35">
      <c r="A378" t="s">
        <v>8</v>
      </c>
      <c r="B378">
        <v>9949379</v>
      </c>
      <c r="C378" s="2" t="s">
        <v>1208</v>
      </c>
      <c r="D378" s="2" t="str">
        <f>LEFT(TRIM(MID(SUBSTITUTE(tblShipments2[[#This Row],[Details]],CHAR(10)," "), FIND(CHAR(10),tblShipments2[[#This Row],[Details]])+1, 50)), 10)</f>
        <v>0314004173</v>
      </c>
      <c r="E378" t="s">
        <v>1215</v>
      </c>
      <c r="F378"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8" t="str">
        <f>IF(tblShipments2[[#This Row],[EGM no]]="", "Missing EGM", "EGM Submitted")</f>
        <v>EGM Submitted</v>
      </c>
      <c r="H378" t="str">
        <f>IF(OR(ISNUMBER(SEARCH("Released",tblShipments2[[#This Row],[ROSL]])),
      ISNUMBER(SEARCH("Scroll",tblShipments2[[#This Row],[ROSL]])),
      ISNUMBER(SEARCH("Y",tblShipments2[[#This Row],[ROSL]]))),
   "Released",
   "Not Released")</f>
        <v>Released</v>
      </c>
      <c r="I378" t="str">
        <f>IF(OR(tblShipments2[[#This Row],[EGM no]]="", tblShipments2[[#This Row],[EGM no]]="N.A."), "Not Submitted", "Submitted")</f>
        <v>Submitted</v>
      </c>
      <c r="J378" t="str">
        <f>IF(LEFT(tblShipments2[[#This Row],[Gateway_Extracted]],2)="IN","Valid","Invalid")</f>
        <v>Valid</v>
      </c>
      <c r="K378" t="s">
        <v>1216</v>
      </c>
      <c r="L378" t="s">
        <v>1217</v>
      </c>
      <c r="M378" t="s">
        <v>13</v>
      </c>
      <c r="N378" t="s">
        <v>1218</v>
      </c>
      <c r="O378" t="str">
        <f>IFERROR("IN" &amp; _xlfn.TEXTBEFORE(_xlfn.TEXTAFTER(UPPER(tblShipments2[[#This Row],[Gateway_clean]]),"IN")," ",1),"")</f>
        <v>INNSA1</v>
      </c>
      <c r="P378" t="str">
        <f>SUBSTITUTE(tblShipments2[[#This Row],[Gateway]], CHAR(10), " ")</f>
        <v xml:space="preserve">AWB No. Gateway Port Gateway EGM No. Gateway EGM Date Gateway Site ID Error Code N.A.  INNSA1  138732  2017-11-14 00:00:00.0  INNSA1  S </v>
      </c>
      <c r="Q378" t="s">
        <v>1126</v>
      </c>
    </row>
    <row r="379" spans="1:17" x14ac:dyDescent="0.35">
      <c r="A379" t="s">
        <v>8</v>
      </c>
      <c r="B379">
        <v>9962200</v>
      </c>
      <c r="C379" s="2" t="s">
        <v>1219</v>
      </c>
      <c r="D379" s="2" t="str">
        <f>LEFT(TRIM(MID(SUBSTITUTE(tblShipments2[[#This Row],[Details]],CHAR(10)," "), FIND(CHAR(10),tblShipments2[[#This Row],[Details]])+1, 50)), 10)</f>
        <v>0588044440</v>
      </c>
      <c r="E379" t="s">
        <v>1220</v>
      </c>
      <c r="F379"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79" t="str">
        <f>IF(tblShipments2[[#This Row],[EGM no]]="", "Missing EGM", "EGM Submitted")</f>
        <v>EGM Submitted</v>
      </c>
      <c r="H379" t="str">
        <f>IF(OR(ISNUMBER(SEARCH("Released",tblShipments2[[#This Row],[ROSL]])),
      ISNUMBER(SEARCH("Scroll",tblShipments2[[#This Row],[ROSL]])),
      ISNUMBER(SEARCH("Y",tblShipments2[[#This Row],[ROSL]]))),
   "Released",
   "Not Released")</f>
        <v>Released</v>
      </c>
      <c r="I379" t="str">
        <f>IF(OR(tblShipments2[[#This Row],[EGM no]]="", tblShipments2[[#This Row],[EGM no]]="N.A."), "Not Submitted", "Submitted")</f>
        <v>Submitted</v>
      </c>
      <c r="J379" t="str">
        <f>IF(LEFT(tblShipments2[[#This Row],[Gateway_Extracted]],2)="IN","Valid","Invalid")</f>
        <v>Valid</v>
      </c>
      <c r="K379" t="s">
        <v>1221</v>
      </c>
      <c r="L379" t="s">
        <v>1222</v>
      </c>
      <c r="M379" t="s">
        <v>13</v>
      </c>
      <c r="N379" t="s">
        <v>1223</v>
      </c>
      <c r="O379" t="str">
        <f>IFERROR("IN" &amp; _xlfn.TEXTBEFORE(_xlfn.TEXTAFTER(UPPER(tblShipments2[[#This Row],[Gateway_clean]]),"IN")," ",1),"")</f>
        <v>INNSA1</v>
      </c>
      <c r="P379" t="str">
        <f>SUBSTITUTE(tblShipments2[[#This Row],[Gateway]], CHAR(10), " ")</f>
        <v xml:space="preserve">AWB No. Gateway Port Gateway EGM No. Gateway EGM Date Gateway Site ID Error Code N.A.  INNSA1  N.A.  N.A.  N.A.  N.A. </v>
      </c>
      <c r="Q379" t="s">
        <v>26</v>
      </c>
    </row>
    <row r="380" spans="1:17" x14ac:dyDescent="0.35">
      <c r="A380" t="s">
        <v>8</v>
      </c>
      <c r="B380">
        <v>9962305</v>
      </c>
      <c r="C380" s="2" t="s">
        <v>1219</v>
      </c>
      <c r="D380" s="2" t="str">
        <f>LEFT(TRIM(MID(SUBSTITUTE(tblShipments2[[#This Row],[Details]],CHAR(10)," "), FIND(CHAR(10),tblShipments2[[#This Row],[Details]])+1, 50)), 10)</f>
        <v>0588044440</v>
      </c>
      <c r="E380" t="s">
        <v>1224</v>
      </c>
      <c r="F380" t="str">
        <f>IF(ISNUMBER(SEARCH("Error", tblShipments2[[#This Row],[Status]])), "Error",
 IF(ISNUMBER(SEARCH("SCR", tblShipments2[[#This Row],[Status]])), "Processed",
 IF(ISNUMBER(SEARCH("Scroll", tblShipments2[[#This Row],[Status]])), "Processed",
 IF(ISNUMBER(SEARCH("Y", tblShipments2[[#This Row],[Status]])), "Released",
 IF(ISNUMBER(SEARCH("N", tblShipments2[[#This Row],[Status]])), "Pending",
 "Other")))))</f>
        <v>Processed</v>
      </c>
      <c r="G380" t="str">
        <f>IF(tblShipments2[[#This Row],[EGM no]]="", "Missing EGM", "EGM Submitted")</f>
        <v>EGM Submitted</v>
      </c>
      <c r="H380" t="str">
        <f>IF(OR(ISNUMBER(SEARCH("Released",tblShipments2[[#This Row],[ROSL]])),
      ISNUMBER(SEARCH("Scroll",tblShipments2[[#This Row],[ROSL]])),
      ISNUMBER(SEARCH("Y",tblShipments2[[#This Row],[ROSL]]))),
   "Released",
   "Not Released")</f>
        <v>Released</v>
      </c>
      <c r="I380" t="str">
        <f>IF(OR(tblShipments2[[#This Row],[EGM no]]="", tblShipments2[[#This Row],[EGM no]]="N.A."), "Not Submitted", "Submitted")</f>
        <v>Submitted</v>
      </c>
      <c r="J380" t="str">
        <f>IF(LEFT(tblShipments2[[#This Row],[Gateway_Extracted]],2)="IN","Valid","Invalid")</f>
        <v>Valid</v>
      </c>
      <c r="K380" t="s">
        <v>1225</v>
      </c>
      <c r="L380" t="s">
        <v>1226</v>
      </c>
      <c r="M380" t="s">
        <v>13</v>
      </c>
      <c r="N380" t="s">
        <v>1227</v>
      </c>
      <c r="O380" t="str">
        <f>IFERROR("IN" &amp; _xlfn.TEXTBEFORE(_xlfn.TEXTAFTER(UPPER(tblShipments2[[#This Row],[Gateway_clean]]),"IN")," ",1),"")</f>
        <v>INNSA1</v>
      </c>
      <c r="P380" t="str">
        <f>SUBSTITUTE(tblShipments2[[#This Row],[Gateway]], CHAR(10), " ")</f>
        <v xml:space="preserve">AWB No. Gateway Port Gateway EGM No. Gateway EGM Date Gateway Site ID Error Code N.A.  INNSA1  N.A.  N.A.  N.A.  N.A. </v>
      </c>
      <c r="Q380" t="s">
        <v>26</v>
      </c>
    </row>
  </sheetData>
  <conditionalFormatting sqref="B1">
    <cfRule type="duplicateValues" dxfId="29"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2685-0A64-4364-9A06-CFD27EBA20BE}">
  <dimension ref="A1:A3"/>
  <sheetViews>
    <sheetView workbookViewId="0">
      <selection activeCell="A16" sqref="A16"/>
    </sheetView>
  </sheetViews>
  <sheetFormatPr defaultRowHeight="14.5" x14ac:dyDescent="0.35"/>
  <cols>
    <col min="1" max="1" width="255.6328125" bestFit="1" customWidth="1"/>
  </cols>
  <sheetData>
    <row r="1" spans="1:1" x14ac:dyDescent="0.35">
      <c r="A1" t="str" cm="1">
        <f t="array" ref="A1:A3">_xlfn.UNIQUE(Sheet1!G:G)</f>
        <v>Computed Field 2:EGM_Flag</v>
      </c>
    </row>
    <row r="2" spans="1:1" x14ac:dyDescent="0.35">
      <c r="A2" t="str">
        <v>EGM Submitted</v>
      </c>
    </row>
    <row r="3" spans="1:1" x14ac:dyDescent="0.35">
      <c r="A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3C49-74C0-46D8-A5D5-4D9C4221B32A}">
  <dimension ref="A1:F7"/>
  <sheetViews>
    <sheetView zoomScale="54" workbookViewId="0">
      <selection activeCell="G17" sqref="G17"/>
    </sheetView>
  </sheetViews>
  <sheetFormatPr defaultRowHeight="14.5" x14ac:dyDescent="0.35"/>
  <cols>
    <col min="1" max="1" width="23.6328125" bestFit="1" customWidth="1"/>
    <col min="2" max="5" width="21.453125" bestFit="1" customWidth="1"/>
    <col min="6" max="6" width="10.54296875" bestFit="1" customWidth="1"/>
    <col min="7" max="254" width="127" bestFit="1" customWidth="1"/>
    <col min="255" max="255" width="10.54296875" bestFit="1" customWidth="1"/>
  </cols>
  <sheetData>
    <row r="1" spans="1:6" x14ac:dyDescent="0.35">
      <c r="A1" s="3" t="s">
        <v>1722</v>
      </c>
      <c r="B1" t="s">
        <v>1726</v>
      </c>
    </row>
    <row r="2" spans="1:6" x14ac:dyDescent="0.35">
      <c r="A2" s="3" t="s">
        <v>1980</v>
      </c>
      <c r="B2" t="s">
        <v>1726</v>
      </c>
    </row>
    <row r="4" spans="1:6" x14ac:dyDescent="0.35">
      <c r="A4" s="3" t="s">
        <v>1724</v>
      </c>
      <c r="B4" s="3" t="s">
        <v>2435</v>
      </c>
    </row>
    <row r="5" spans="1:6" x14ac:dyDescent="0.35">
      <c r="A5" s="3" t="s">
        <v>0</v>
      </c>
      <c r="C5" t="s">
        <v>2436</v>
      </c>
      <c r="D5" t="s">
        <v>2437</v>
      </c>
      <c r="E5" t="s">
        <v>2438</v>
      </c>
      <c r="F5" t="s">
        <v>1723</v>
      </c>
    </row>
    <row r="6" spans="1:6" x14ac:dyDescent="0.35">
      <c r="A6" t="s">
        <v>8</v>
      </c>
      <c r="B6">
        <v>6</v>
      </c>
      <c r="C6">
        <v>141</v>
      </c>
      <c r="D6">
        <v>188</v>
      </c>
      <c r="E6">
        <v>44</v>
      </c>
      <c r="F6">
        <v>379</v>
      </c>
    </row>
    <row r="7" spans="1:6" x14ac:dyDescent="0.35">
      <c r="A7" t="s">
        <v>1723</v>
      </c>
      <c r="B7">
        <v>6</v>
      </c>
      <c r="C7">
        <v>141</v>
      </c>
      <c r="D7">
        <v>188</v>
      </c>
      <c r="E7">
        <v>44</v>
      </c>
      <c r="F7">
        <v>379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3945-5D1B-4BB3-9BD5-9A5EBC7E5F27}">
  <dimension ref="A1:C461"/>
  <sheetViews>
    <sheetView zoomScale="89" workbookViewId="0">
      <selection activeCell="A8" sqref="A8"/>
    </sheetView>
  </sheetViews>
  <sheetFormatPr defaultRowHeight="14.5" x14ac:dyDescent="0.35"/>
  <cols>
    <col min="1" max="1" width="25.08984375" bestFit="1" customWidth="1"/>
    <col min="2" max="2" width="23.81640625" bestFit="1" customWidth="1"/>
    <col min="3" max="4" width="13.453125" bestFit="1" customWidth="1"/>
  </cols>
  <sheetData>
    <row r="1" spans="1:3" x14ac:dyDescent="0.35">
      <c r="A1" s="4" t="s">
        <v>1979</v>
      </c>
      <c r="B1" s="4"/>
      <c r="C1" s="4"/>
    </row>
    <row r="4" spans="1:3" x14ac:dyDescent="0.35">
      <c r="A4" s="3" t="s">
        <v>1722</v>
      </c>
      <c r="B4" t="s">
        <v>1726</v>
      </c>
    </row>
    <row r="5" spans="1:3" x14ac:dyDescent="0.35">
      <c r="A5" s="3" t="s">
        <v>7</v>
      </c>
      <c r="B5" t="s">
        <v>1726</v>
      </c>
    </row>
    <row r="7" spans="1:3" x14ac:dyDescent="0.35">
      <c r="A7" s="3" t="s">
        <v>1980</v>
      </c>
      <c r="B7" s="3" t="s">
        <v>0</v>
      </c>
      <c r="C7" t="s">
        <v>1724</v>
      </c>
    </row>
    <row r="8" spans="1:3" x14ac:dyDescent="0.35">
      <c r="A8" t="s">
        <v>1981</v>
      </c>
      <c r="C8">
        <v>2</v>
      </c>
    </row>
    <row r="9" spans="1:3" x14ac:dyDescent="0.35">
      <c r="A9" t="s">
        <v>1982</v>
      </c>
      <c r="B9" t="s">
        <v>8</v>
      </c>
      <c r="C9">
        <v>1</v>
      </c>
    </row>
    <row r="10" spans="1:3" x14ac:dyDescent="0.35">
      <c r="A10" t="s">
        <v>2208</v>
      </c>
      <c r="C10">
        <v>1</v>
      </c>
    </row>
    <row r="11" spans="1:3" x14ac:dyDescent="0.35">
      <c r="A11" t="s">
        <v>1983</v>
      </c>
      <c r="B11" t="s">
        <v>8</v>
      </c>
      <c r="C11">
        <v>1</v>
      </c>
    </row>
    <row r="12" spans="1:3" x14ac:dyDescent="0.35">
      <c r="A12" t="s">
        <v>2209</v>
      </c>
      <c r="C12">
        <v>1</v>
      </c>
    </row>
    <row r="13" spans="1:3" x14ac:dyDescent="0.35">
      <c r="A13" t="s">
        <v>1984</v>
      </c>
      <c r="B13" t="s">
        <v>8</v>
      </c>
      <c r="C13">
        <v>1</v>
      </c>
    </row>
    <row r="14" spans="1:3" x14ac:dyDescent="0.35">
      <c r="A14" t="s">
        <v>2210</v>
      </c>
      <c r="C14">
        <v>1</v>
      </c>
    </row>
    <row r="15" spans="1:3" x14ac:dyDescent="0.35">
      <c r="A15" t="s">
        <v>1985</v>
      </c>
      <c r="B15" t="s">
        <v>8</v>
      </c>
      <c r="C15">
        <v>1</v>
      </c>
    </row>
    <row r="16" spans="1:3" x14ac:dyDescent="0.35">
      <c r="A16" t="s">
        <v>2211</v>
      </c>
      <c r="C16">
        <v>1</v>
      </c>
    </row>
    <row r="17" spans="1:3" x14ac:dyDescent="0.35">
      <c r="A17" t="s">
        <v>1986</v>
      </c>
      <c r="B17" t="s">
        <v>8</v>
      </c>
      <c r="C17">
        <v>2</v>
      </c>
    </row>
    <row r="18" spans="1:3" x14ac:dyDescent="0.35">
      <c r="A18" t="s">
        <v>2212</v>
      </c>
      <c r="C18">
        <v>2</v>
      </c>
    </row>
    <row r="19" spans="1:3" x14ac:dyDescent="0.35">
      <c r="A19" t="s">
        <v>1987</v>
      </c>
      <c r="B19" t="s">
        <v>8</v>
      </c>
      <c r="C19">
        <v>1</v>
      </c>
    </row>
    <row r="20" spans="1:3" x14ac:dyDescent="0.35">
      <c r="A20" t="s">
        <v>2213</v>
      </c>
      <c r="C20">
        <v>1</v>
      </c>
    </row>
    <row r="21" spans="1:3" x14ac:dyDescent="0.35">
      <c r="A21" t="s">
        <v>1988</v>
      </c>
      <c r="B21" t="s">
        <v>8</v>
      </c>
      <c r="C21">
        <v>1</v>
      </c>
    </row>
    <row r="22" spans="1:3" x14ac:dyDescent="0.35">
      <c r="A22" t="s">
        <v>2214</v>
      </c>
      <c r="C22">
        <v>1</v>
      </c>
    </row>
    <row r="23" spans="1:3" x14ac:dyDescent="0.35">
      <c r="A23" t="s">
        <v>1989</v>
      </c>
      <c r="B23" t="s">
        <v>8</v>
      </c>
      <c r="C23">
        <v>1</v>
      </c>
    </row>
    <row r="24" spans="1:3" x14ac:dyDescent="0.35">
      <c r="A24" t="s">
        <v>2215</v>
      </c>
      <c r="C24">
        <v>1</v>
      </c>
    </row>
    <row r="25" spans="1:3" x14ac:dyDescent="0.35">
      <c r="A25" t="s">
        <v>1990</v>
      </c>
      <c r="B25" t="s">
        <v>8</v>
      </c>
      <c r="C25">
        <v>1</v>
      </c>
    </row>
    <row r="26" spans="1:3" x14ac:dyDescent="0.35">
      <c r="A26" t="s">
        <v>2216</v>
      </c>
      <c r="C26">
        <v>1</v>
      </c>
    </row>
    <row r="27" spans="1:3" x14ac:dyDescent="0.35">
      <c r="A27" t="s">
        <v>1991</v>
      </c>
      <c r="B27" t="s">
        <v>8</v>
      </c>
      <c r="C27">
        <v>1</v>
      </c>
    </row>
    <row r="28" spans="1:3" x14ac:dyDescent="0.35">
      <c r="A28" t="s">
        <v>2217</v>
      </c>
      <c r="C28">
        <v>1</v>
      </c>
    </row>
    <row r="29" spans="1:3" x14ac:dyDescent="0.35">
      <c r="A29" t="s">
        <v>1992</v>
      </c>
      <c r="B29" t="s">
        <v>8</v>
      </c>
      <c r="C29">
        <v>1</v>
      </c>
    </row>
    <row r="30" spans="1:3" x14ac:dyDescent="0.35">
      <c r="A30" t="s">
        <v>2218</v>
      </c>
      <c r="C30">
        <v>1</v>
      </c>
    </row>
    <row r="31" spans="1:3" x14ac:dyDescent="0.35">
      <c r="A31" t="s">
        <v>1993</v>
      </c>
      <c r="B31" t="s">
        <v>8</v>
      </c>
      <c r="C31">
        <v>1</v>
      </c>
    </row>
    <row r="32" spans="1:3" x14ac:dyDescent="0.35">
      <c r="A32" t="s">
        <v>2219</v>
      </c>
      <c r="C32">
        <v>1</v>
      </c>
    </row>
    <row r="33" spans="1:3" x14ac:dyDescent="0.35">
      <c r="A33" t="s">
        <v>1994</v>
      </c>
      <c r="B33" t="s">
        <v>8</v>
      </c>
      <c r="C33">
        <v>5</v>
      </c>
    </row>
    <row r="34" spans="1:3" x14ac:dyDescent="0.35">
      <c r="A34" t="s">
        <v>2220</v>
      </c>
      <c r="C34">
        <v>5</v>
      </c>
    </row>
    <row r="35" spans="1:3" x14ac:dyDescent="0.35">
      <c r="A35" t="s">
        <v>1995</v>
      </c>
      <c r="B35" t="s">
        <v>8</v>
      </c>
      <c r="C35">
        <v>1</v>
      </c>
    </row>
    <row r="36" spans="1:3" x14ac:dyDescent="0.35">
      <c r="A36" t="s">
        <v>2221</v>
      </c>
      <c r="C36">
        <v>1</v>
      </c>
    </row>
    <row r="37" spans="1:3" x14ac:dyDescent="0.35">
      <c r="A37" t="s">
        <v>1996</v>
      </c>
      <c r="B37" t="s">
        <v>8</v>
      </c>
      <c r="C37">
        <v>1</v>
      </c>
    </row>
    <row r="38" spans="1:3" x14ac:dyDescent="0.35">
      <c r="A38" t="s">
        <v>2222</v>
      </c>
      <c r="C38">
        <v>1</v>
      </c>
    </row>
    <row r="39" spans="1:3" x14ac:dyDescent="0.35">
      <c r="A39" t="s">
        <v>1997</v>
      </c>
      <c r="B39" t="s">
        <v>8</v>
      </c>
      <c r="C39">
        <v>1</v>
      </c>
    </row>
    <row r="40" spans="1:3" x14ac:dyDescent="0.35">
      <c r="A40" t="s">
        <v>2223</v>
      </c>
      <c r="C40">
        <v>1</v>
      </c>
    </row>
    <row r="41" spans="1:3" x14ac:dyDescent="0.35">
      <c r="A41" t="s">
        <v>1998</v>
      </c>
      <c r="B41" t="s">
        <v>8</v>
      </c>
      <c r="C41">
        <v>7</v>
      </c>
    </row>
    <row r="42" spans="1:3" x14ac:dyDescent="0.35">
      <c r="A42" t="s">
        <v>2224</v>
      </c>
      <c r="C42">
        <v>7</v>
      </c>
    </row>
    <row r="43" spans="1:3" x14ac:dyDescent="0.35">
      <c r="A43" t="s">
        <v>1999</v>
      </c>
      <c r="B43" t="s">
        <v>8</v>
      </c>
      <c r="C43">
        <v>1</v>
      </c>
    </row>
    <row r="44" spans="1:3" x14ac:dyDescent="0.35">
      <c r="A44" t="s">
        <v>2225</v>
      </c>
      <c r="C44">
        <v>1</v>
      </c>
    </row>
    <row r="45" spans="1:3" x14ac:dyDescent="0.35">
      <c r="A45" t="s">
        <v>2000</v>
      </c>
      <c r="B45" t="s">
        <v>8</v>
      </c>
      <c r="C45">
        <v>2</v>
      </c>
    </row>
    <row r="46" spans="1:3" x14ac:dyDescent="0.35">
      <c r="A46" t="s">
        <v>2226</v>
      </c>
      <c r="C46">
        <v>2</v>
      </c>
    </row>
    <row r="47" spans="1:3" x14ac:dyDescent="0.35">
      <c r="A47" t="s">
        <v>2001</v>
      </c>
      <c r="B47" t="s">
        <v>8</v>
      </c>
      <c r="C47">
        <v>1</v>
      </c>
    </row>
    <row r="48" spans="1:3" x14ac:dyDescent="0.35">
      <c r="A48" t="s">
        <v>2227</v>
      </c>
      <c r="C48">
        <v>1</v>
      </c>
    </row>
    <row r="49" spans="1:3" x14ac:dyDescent="0.35">
      <c r="A49" t="s">
        <v>2002</v>
      </c>
      <c r="B49" t="s">
        <v>8</v>
      </c>
      <c r="C49">
        <v>1</v>
      </c>
    </row>
    <row r="50" spans="1:3" x14ac:dyDescent="0.35">
      <c r="A50" t="s">
        <v>2228</v>
      </c>
      <c r="C50">
        <v>1</v>
      </c>
    </row>
    <row r="51" spans="1:3" x14ac:dyDescent="0.35">
      <c r="A51" t="s">
        <v>2003</v>
      </c>
      <c r="B51" t="s">
        <v>8</v>
      </c>
      <c r="C51">
        <v>1</v>
      </c>
    </row>
    <row r="52" spans="1:3" x14ac:dyDescent="0.35">
      <c r="A52" t="s">
        <v>2229</v>
      </c>
      <c r="C52">
        <v>1</v>
      </c>
    </row>
    <row r="53" spans="1:3" x14ac:dyDescent="0.35">
      <c r="A53" t="s">
        <v>2004</v>
      </c>
      <c r="B53" t="s">
        <v>8</v>
      </c>
      <c r="C53">
        <v>1</v>
      </c>
    </row>
    <row r="54" spans="1:3" x14ac:dyDescent="0.35">
      <c r="A54" t="s">
        <v>2230</v>
      </c>
      <c r="C54">
        <v>1</v>
      </c>
    </row>
    <row r="55" spans="1:3" x14ac:dyDescent="0.35">
      <c r="A55" t="s">
        <v>2005</v>
      </c>
      <c r="B55" t="s">
        <v>8</v>
      </c>
      <c r="C55">
        <v>1</v>
      </c>
    </row>
    <row r="56" spans="1:3" x14ac:dyDescent="0.35">
      <c r="A56" t="s">
        <v>2231</v>
      </c>
      <c r="C56">
        <v>1</v>
      </c>
    </row>
    <row r="57" spans="1:3" x14ac:dyDescent="0.35">
      <c r="A57" t="s">
        <v>2006</v>
      </c>
      <c r="B57" t="s">
        <v>8</v>
      </c>
      <c r="C57">
        <v>1</v>
      </c>
    </row>
    <row r="58" spans="1:3" x14ac:dyDescent="0.35">
      <c r="A58" t="s">
        <v>2232</v>
      </c>
      <c r="C58">
        <v>1</v>
      </c>
    </row>
    <row r="59" spans="1:3" x14ac:dyDescent="0.35">
      <c r="A59" t="s">
        <v>2007</v>
      </c>
      <c r="B59" t="s">
        <v>8</v>
      </c>
      <c r="C59">
        <v>1</v>
      </c>
    </row>
    <row r="60" spans="1:3" x14ac:dyDescent="0.35">
      <c r="A60" t="s">
        <v>2233</v>
      </c>
      <c r="C60">
        <v>1</v>
      </c>
    </row>
    <row r="61" spans="1:3" x14ac:dyDescent="0.35">
      <c r="A61" t="s">
        <v>2008</v>
      </c>
      <c r="B61" t="s">
        <v>8</v>
      </c>
      <c r="C61">
        <v>1</v>
      </c>
    </row>
    <row r="62" spans="1:3" x14ac:dyDescent="0.35">
      <c r="A62" t="s">
        <v>2234</v>
      </c>
      <c r="C62">
        <v>1</v>
      </c>
    </row>
    <row r="63" spans="1:3" x14ac:dyDescent="0.35">
      <c r="A63" t="s">
        <v>2009</v>
      </c>
      <c r="B63" t="s">
        <v>8</v>
      </c>
      <c r="C63">
        <v>1</v>
      </c>
    </row>
    <row r="64" spans="1:3" x14ac:dyDescent="0.35">
      <c r="A64" t="s">
        <v>2235</v>
      </c>
      <c r="C64">
        <v>1</v>
      </c>
    </row>
    <row r="65" spans="1:3" x14ac:dyDescent="0.35">
      <c r="A65" t="s">
        <v>2010</v>
      </c>
      <c r="B65" t="s">
        <v>8</v>
      </c>
      <c r="C65">
        <v>1</v>
      </c>
    </row>
    <row r="66" spans="1:3" x14ac:dyDescent="0.35">
      <c r="A66" t="s">
        <v>2236</v>
      </c>
      <c r="C66">
        <v>1</v>
      </c>
    </row>
    <row r="67" spans="1:3" x14ac:dyDescent="0.35">
      <c r="A67" t="s">
        <v>2011</v>
      </c>
      <c r="B67" t="s">
        <v>8</v>
      </c>
      <c r="C67">
        <v>1</v>
      </c>
    </row>
    <row r="68" spans="1:3" x14ac:dyDescent="0.35">
      <c r="A68" t="s">
        <v>2237</v>
      </c>
      <c r="C68">
        <v>1</v>
      </c>
    </row>
    <row r="69" spans="1:3" x14ac:dyDescent="0.35">
      <c r="A69" t="s">
        <v>2012</v>
      </c>
      <c r="B69" t="s">
        <v>8</v>
      </c>
      <c r="C69">
        <v>3</v>
      </c>
    </row>
    <row r="70" spans="1:3" x14ac:dyDescent="0.35">
      <c r="A70" t="s">
        <v>2238</v>
      </c>
      <c r="C70">
        <v>3</v>
      </c>
    </row>
    <row r="71" spans="1:3" x14ac:dyDescent="0.35">
      <c r="A71" t="s">
        <v>2013</v>
      </c>
      <c r="B71" t="s">
        <v>8</v>
      </c>
      <c r="C71">
        <v>1</v>
      </c>
    </row>
    <row r="72" spans="1:3" x14ac:dyDescent="0.35">
      <c r="A72" t="s">
        <v>2239</v>
      </c>
      <c r="C72">
        <v>1</v>
      </c>
    </row>
    <row r="73" spans="1:3" x14ac:dyDescent="0.35">
      <c r="A73" t="s">
        <v>2014</v>
      </c>
      <c r="B73" t="s">
        <v>8</v>
      </c>
      <c r="C73">
        <v>1</v>
      </c>
    </row>
    <row r="74" spans="1:3" x14ac:dyDescent="0.35">
      <c r="A74" t="s">
        <v>2240</v>
      </c>
      <c r="C74">
        <v>1</v>
      </c>
    </row>
    <row r="75" spans="1:3" x14ac:dyDescent="0.35">
      <c r="A75" t="s">
        <v>2015</v>
      </c>
      <c r="B75" t="s">
        <v>8</v>
      </c>
      <c r="C75">
        <v>2</v>
      </c>
    </row>
    <row r="76" spans="1:3" x14ac:dyDescent="0.35">
      <c r="A76" t="s">
        <v>2241</v>
      </c>
      <c r="C76">
        <v>2</v>
      </c>
    </row>
    <row r="77" spans="1:3" x14ac:dyDescent="0.35">
      <c r="A77" t="s">
        <v>2016</v>
      </c>
      <c r="B77" t="s">
        <v>8</v>
      </c>
      <c r="C77">
        <v>1</v>
      </c>
    </row>
    <row r="78" spans="1:3" x14ac:dyDescent="0.35">
      <c r="A78" t="s">
        <v>2242</v>
      </c>
      <c r="C78">
        <v>1</v>
      </c>
    </row>
    <row r="79" spans="1:3" x14ac:dyDescent="0.35">
      <c r="A79" t="s">
        <v>2017</v>
      </c>
      <c r="B79" t="s">
        <v>8</v>
      </c>
      <c r="C79">
        <v>1</v>
      </c>
    </row>
    <row r="80" spans="1:3" x14ac:dyDescent="0.35">
      <c r="A80" t="s">
        <v>2243</v>
      </c>
      <c r="C80">
        <v>1</v>
      </c>
    </row>
    <row r="81" spans="1:3" x14ac:dyDescent="0.35">
      <c r="A81" t="s">
        <v>2018</v>
      </c>
      <c r="B81" t="s">
        <v>8</v>
      </c>
      <c r="C81">
        <v>4</v>
      </c>
    </row>
    <row r="82" spans="1:3" x14ac:dyDescent="0.35">
      <c r="A82" t="s">
        <v>2244</v>
      </c>
      <c r="C82">
        <v>4</v>
      </c>
    </row>
    <row r="83" spans="1:3" x14ac:dyDescent="0.35">
      <c r="A83" t="s">
        <v>2019</v>
      </c>
      <c r="B83" t="s">
        <v>8</v>
      </c>
      <c r="C83">
        <v>1</v>
      </c>
    </row>
    <row r="84" spans="1:3" x14ac:dyDescent="0.35">
      <c r="A84" t="s">
        <v>2245</v>
      </c>
      <c r="C84">
        <v>1</v>
      </c>
    </row>
    <row r="85" spans="1:3" x14ac:dyDescent="0.35">
      <c r="A85" t="s">
        <v>2020</v>
      </c>
      <c r="B85" t="s">
        <v>8</v>
      </c>
      <c r="C85">
        <v>12</v>
      </c>
    </row>
    <row r="86" spans="1:3" x14ac:dyDescent="0.35">
      <c r="A86" t="s">
        <v>2246</v>
      </c>
      <c r="C86">
        <v>12</v>
      </c>
    </row>
    <row r="87" spans="1:3" x14ac:dyDescent="0.35">
      <c r="A87" t="s">
        <v>2021</v>
      </c>
      <c r="B87" t="s">
        <v>8</v>
      </c>
      <c r="C87">
        <v>7</v>
      </c>
    </row>
    <row r="88" spans="1:3" x14ac:dyDescent="0.35">
      <c r="A88" t="s">
        <v>2247</v>
      </c>
      <c r="C88">
        <v>7</v>
      </c>
    </row>
    <row r="89" spans="1:3" x14ac:dyDescent="0.35">
      <c r="A89" t="s">
        <v>2022</v>
      </c>
      <c r="B89" t="s">
        <v>8</v>
      </c>
      <c r="C89">
        <v>1</v>
      </c>
    </row>
    <row r="90" spans="1:3" x14ac:dyDescent="0.35">
      <c r="A90" t="s">
        <v>2248</v>
      </c>
      <c r="C90">
        <v>1</v>
      </c>
    </row>
    <row r="91" spans="1:3" x14ac:dyDescent="0.35">
      <c r="A91" t="s">
        <v>2023</v>
      </c>
      <c r="B91" t="s">
        <v>8</v>
      </c>
      <c r="C91">
        <v>2</v>
      </c>
    </row>
    <row r="92" spans="1:3" x14ac:dyDescent="0.35">
      <c r="A92" t="s">
        <v>2249</v>
      </c>
      <c r="C92">
        <v>2</v>
      </c>
    </row>
    <row r="93" spans="1:3" x14ac:dyDescent="0.35">
      <c r="A93" t="s">
        <v>2024</v>
      </c>
      <c r="B93" t="s">
        <v>8</v>
      </c>
      <c r="C93">
        <v>1</v>
      </c>
    </row>
    <row r="94" spans="1:3" x14ac:dyDescent="0.35">
      <c r="A94" t="s">
        <v>2250</v>
      </c>
      <c r="C94">
        <v>1</v>
      </c>
    </row>
    <row r="95" spans="1:3" x14ac:dyDescent="0.35">
      <c r="A95" t="s">
        <v>2025</v>
      </c>
      <c r="B95" t="s">
        <v>8</v>
      </c>
      <c r="C95">
        <v>1</v>
      </c>
    </row>
    <row r="96" spans="1:3" x14ac:dyDescent="0.35">
      <c r="A96" t="s">
        <v>2251</v>
      </c>
      <c r="C96">
        <v>1</v>
      </c>
    </row>
    <row r="97" spans="1:3" x14ac:dyDescent="0.35">
      <c r="A97" t="s">
        <v>2026</v>
      </c>
      <c r="B97" t="s">
        <v>8</v>
      </c>
      <c r="C97">
        <v>1</v>
      </c>
    </row>
    <row r="98" spans="1:3" x14ac:dyDescent="0.35">
      <c r="A98" t="s">
        <v>2252</v>
      </c>
      <c r="C98">
        <v>1</v>
      </c>
    </row>
    <row r="99" spans="1:3" x14ac:dyDescent="0.35">
      <c r="A99" t="s">
        <v>2027</v>
      </c>
      <c r="B99" t="s">
        <v>8</v>
      </c>
      <c r="C99">
        <v>1</v>
      </c>
    </row>
    <row r="100" spans="1:3" x14ac:dyDescent="0.35">
      <c r="A100" t="s">
        <v>2253</v>
      </c>
      <c r="C100">
        <v>1</v>
      </c>
    </row>
    <row r="101" spans="1:3" x14ac:dyDescent="0.35">
      <c r="A101" t="s">
        <v>2028</v>
      </c>
      <c r="B101" t="s">
        <v>8</v>
      </c>
      <c r="C101">
        <v>2</v>
      </c>
    </row>
    <row r="102" spans="1:3" x14ac:dyDescent="0.35">
      <c r="A102" t="s">
        <v>2254</v>
      </c>
      <c r="C102">
        <v>2</v>
      </c>
    </row>
    <row r="103" spans="1:3" x14ac:dyDescent="0.35">
      <c r="A103" t="s">
        <v>2029</v>
      </c>
      <c r="B103" t="s">
        <v>8</v>
      </c>
      <c r="C103">
        <v>1</v>
      </c>
    </row>
    <row r="104" spans="1:3" x14ac:dyDescent="0.35">
      <c r="A104" t="s">
        <v>2255</v>
      </c>
      <c r="C104">
        <v>1</v>
      </c>
    </row>
    <row r="105" spans="1:3" x14ac:dyDescent="0.35">
      <c r="A105" t="s">
        <v>2030</v>
      </c>
      <c r="B105" t="s">
        <v>8</v>
      </c>
      <c r="C105">
        <v>1</v>
      </c>
    </row>
    <row r="106" spans="1:3" x14ac:dyDescent="0.35">
      <c r="A106" t="s">
        <v>2256</v>
      </c>
      <c r="C106">
        <v>1</v>
      </c>
    </row>
    <row r="107" spans="1:3" x14ac:dyDescent="0.35">
      <c r="A107" t="s">
        <v>2031</v>
      </c>
      <c r="B107" t="s">
        <v>8</v>
      </c>
      <c r="C107">
        <v>1</v>
      </c>
    </row>
    <row r="108" spans="1:3" x14ac:dyDescent="0.35">
      <c r="A108" t="s">
        <v>2257</v>
      </c>
      <c r="C108">
        <v>1</v>
      </c>
    </row>
    <row r="109" spans="1:3" x14ac:dyDescent="0.35">
      <c r="A109" t="s">
        <v>2032</v>
      </c>
      <c r="B109" t="s">
        <v>8</v>
      </c>
      <c r="C109">
        <v>1</v>
      </c>
    </row>
    <row r="110" spans="1:3" x14ac:dyDescent="0.35">
      <c r="A110" t="s">
        <v>2258</v>
      </c>
      <c r="C110">
        <v>1</v>
      </c>
    </row>
    <row r="111" spans="1:3" x14ac:dyDescent="0.35">
      <c r="A111" t="s">
        <v>2033</v>
      </c>
      <c r="B111" t="s">
        <v>8</v>
      </c>
      <c r="C111">
        <v>1</v>
      </c>
    </row>
    <row r="112" spans="1:3" x14ac:dyDescent="0.35">
      <c r="A112" t="s">
        <v>2259</v>
      </c>
      <c r="C112">
        <v>1</v>
      </c>
    </row>
    <row r="113" spans="1:3" x14ac:dyDescent="0.35">
      <c r="A113" t="s">
        <v>2034</v>
      </c>
      <c r="B113" t="s">
        <v>8</v>
      </c>
      <c r="C113">
        <v>1</v>
      </c>
    </row>
    <row r="114" spans="1:3" x14ac:dyDescent="0.35">
      <c r="A114" t="s">
        <v>2260</v>
      </c>
      <c r="C114">
        <v>1</v>
      </c>
    </row>
    <row r="115" spans="1:3" x14ac:dyDescent="0.35">
      <c r="A115" t="s">
        <v>2035</v>
      </c>
      <c r="B115" t="s">
        <v>8</v>
      </c>
      <c r="C115">
        <v>1</v>
      </c>
    </row>
    <row r="116" spans="1:3" x14ac:dyDescent="0.35">
      <c r="A116" t="s">
        <v>2261</v>
      </c>
      <c r="C116">
        <v>1</v>
      </c>
    </row>
    <row r="117" spans="1:3" x14ac:dyDescent="0.35">
      <c r="A117" t="s">
        <v>2036</v>
      </c>
      <c r="B117" t="s">
        <v>8</v>
      </c>
      <c r="C117">
        <v>1</v>
      </c>
    </row>
    <row r="118" spans="1:3" x14ac:dyDescent="0.35">
      <c r="A118" t="s">
        <v>2262</v>
      </c>
      <c r="C118">
        <v>1</v>
      </c>
    </row>
    <row r="119" spans="1:3" x14ac:dyDescent="0.35">
      <c r="A119" t="s">
        <v>2037</v>
      </c>
      <c r="B119" t="s">
        <v>8</v>
      </c>
      <c r="C119">
        <v>1</v>
      </c>
    </row>
    <row r="120" spans="1:3" x14ac:dyDescent="0.35">
      <c r="A120" t="s">
        <v>2263</v>
      </c>
      <c r="C120">
        <v>1</v>
      </c>
    </row>
    <row r="121" spans="1:3" x14ac:dyDescent="0.35">
      <c r="A121" t="s">
        <v>2038</v>
      </c>
      <c r="B121" t="s">
        <v>8</v>
      </c>
      <c r="C121">
        <v>1</v>
      </c>
    </row>
    <row r="122" spans="1:3" x14ac:dyDescent="0.35">
      <c r="A122" t="s">
        <v>2264</v>
      </c>
      <c r="C122">
        <v>1</v>
      </c>
    </row>
    <row r="123" spans="1:3" x14ac:dyDescent="0.35">
      <c r="A123" t="s">
        <v>2039</v>
      </c>
      <c r="B123" t="s">
        <v>8</v>
      </c>
      <c r="C123">
        <v>1</v>
      </c>
    </row>
    <row r="124" spans="1:3" x14ac:dyDescent="0.35">
      <c r="A124" t="s">
        <v>2265</v>
      </c>
      <c r="C124">
        <v>1</v>
      </c>
    </row>
    <row r="125" spans="1:3" x14ac:dyDescent="0.35">
      <c r="A125" t="s">
        <v>2040</v>
      </c>
      <c r="B125" t="s">
        <v>8</v>
      </c>
      <c r="C125">
        <v>3</v>
      </c>
    </row>
    <row r="126" spans="1:3" x14ac:dyDescent="0.35">
      <c r="A126" t="s">
        <v>2266</v>
      </c>
      <c r="C126">
        <v>3</v>
      </c>
    </row>
    <row r="127" spans="1:3" x14ac:dyDescent="0.35">
      <c r="A127" t="s">
        <v>2041</v>
      </c>
      <c r="B127" t="s">
        <v>8</v>
      </c>
      <c r="C127">
        <v>1</v>
      </c>
    </row>
    <row r="128" spans="1:3" x14ac:dyDescent="0.35">
      <c r="A128" t="s">
        <v>2267</v>
      </c>
      <c r="C128">
        <v>1</v>
      </c>
    </row>
    <row r="129" spans="1:3" x14ac:dyDescent="0.35">
      <c r="A129" t="s">
        <v>2042</v>
      </c>
      <c r="B129" t="s">
        <v>8</v>
      </c>
      <c r="C129">
        <v>6</v>
      </c>
    </row>
    <row r="130" spans="1:3" x14ac:dyDescent="0.35">
      <c r="A130" t="s">
        <v>2268</v>
      </c>
      <c r="C130">
        <v>6</v>
      </c>
    </row>
    <row r="131" spans="1:3" x14ac:dyDescent="0.35">
      <c r="A131" t="s">
        <v>2043</v>
      </c>
      <c r="B131" t="s">
        <v>8</v>
      </c>
      <c r="C131">
        <v>4</v>
      </c>
    </row>
    <row r="132" spans="1:3" x14ac:dyDescent="0.35">
      <c r="A132" t="s">
        <v>2269</v>
      </c>
      <c r="C132">
        <v>4</v>
      </c>
    </row>
    <row r="133" spans="1:3" x14ac:dyDescent="0.35">
      <c r="A133" t="s">
        <v>2044</v>
      </c>
      <c r="B133" t="s">
        <v>8</v>
      </c>
      <c r="C133">
        <v>1</v>
      </c>
    </row>
    <row r="134" spans="1:3" x14ac:dyDescent="0.35">
      <c r="A134" t="s">
        <v>2270</v>
      </c>
      <c r="C134">
        <v>1</v>
      </c>
    </row>
    <row r="135" spans="1:3" x14ac:dyDescent="0.35">
      <c r="A135" t="s">
        <v>2045</v>
      </c>
      <c r="B135" t="s">
        <v>8</v>
      </c>
      <c r="C135">
        <v>1</v>
      </c>
    </row>
    <row r="136" spans="1:3" x14ac:dyDescent="0.35">
      <c r="A136" t="s">
        <v>2271</v>
      </c>
      <c r="C136">
        <v>1</v>
      </c>
    </row>
    <row r="137" spans="1:3" x14ac:dyDescent="0.35">
      <c r="A137" t="s">
        <v>2046</v>
      </c>
      <c r="B137" t="s">
        <v>8</v>
      </c>
      <c r="C137">
        <v>5</v>
      </c>
    </row>
    <row r="138" spans="1:3" x14ac:dyDescent="0.35">
      <c r="A138" t="s">
        <v>2272</v>
      </c>
      <c r="C138">
        <v>5</v>
      </c>
    </row>
    <row r="139" spans="1:3" x14ac:dyDescent="0.35">
      <c r="A139" t="s">
        <v>2047</v>
      </c>
      <c r="B139" t="s">
        <v>8</v>
      </c>
      <c r="C139">
        <v>2</v>
      </c>
    </row>
    <row r="140" spans="1:3" x14ac:dyDescent="0.35">
      <c r="A140" t="s">
        <v>2273</v>
      </c>
      <c r="C140">
        <v>2</v>
      </c>
    </row>
    <row r="141" spans="1:3" x14ac:dyDescent="0.35">
      <c r="A141" t="s">
        <v>2048</v>
      </c>
      <c r="B141" t="s">
        <v>8</v>
      </c>
      <c r="C141">
        <v>1</v>
      </c>
    </row>
    <row r="142" spans="1:3" x14ac:dyDescent="0.35">
      <c r="A142" t="s">
        <v>2274</v>
      </c>
      <c r="C142">
        <v>1</v>
      </c>
    </row>
    <row r="143" spans="1:3" x14ac:dyDescent="0.35">
      <c r="A143" t="s">
        <v>2049</v>
      </c>
      <c r="B143" t="s">
        <v>8</v>
      </c>
      <c r="C143">
        <v>1</v>
      </c>
    </row>
    <row r="144" spans="1:3" x14ac:dyDescent="0.35">
      <c r="A144" t="s">
        <v>2275</v>
      </c>
      <c r="C144">
        <v>1</v>
      </c>
    </row>
    <row r="145" spans="1:3" x14ac:dyDescent="0.35">
      <c r="A145" t="s">
        <v>2050</v>
      </c>
      <c r="B145" t="s">
        <v>8</v>
      </c>
      <c r="C145">
        <v>1</v>
      </c>
    </row>
    <row r="146" spans="1:3" x14ac:dyDescent="0.35">
      <c r="A146" t="s">
        <v>2276</v>
      </c>
      <c r="C146">
        <v>1</v>
      </c>
    </row>
    <row r="147" spans="1:3" x14ac:dyDescent="0.35">
      <c r="A147" t="s">
        <v>2051</v>
      </c>
      <c r="B147" t="s">
        <v>8</v>
      </c>
      <c r="C147">
        <v>3</v>
      </c>
    </row>
    <row r="148" spans="1:3" x14ac:dyDescent="0.35">
      <c r="A148" t="s">
        <v>2277</v>
      </c>
      <c r="C148">
        <v>3</v>
      </c>
    </row>
    <row r="149" spans="1:3" x14ac:dyDescent="0.35">
      <c r="A149" t="s">
        <v>2052</v>
      </c>
      <c r="B149" t="s">
        <v>8</v>
      </c>
      <c r="C149">
        <v>1</v>
      </c>
    </row>
    <row r="150" spans="1:3" x14ac:dyDescent="0.35">
      <c r="A150" t="s">
        <v>2278</v>
      </c>
      <c r="C150">
        <v>1</v>
      </c>
    </row>
    <row r="151" spans="1:3" x14ac:dyDescent="0.35">
      <c r="A151" t="s">
        <v>2053</v>
      </c>
      <c r="B151" t="s">
        <v>8</v>
      </c>
      <c r="C151">
        <v>1</v>
      </c>
    </row>
    <row r="152" spans="1:3" x14ac:dyDescent="0.35">
      <c r="A152" t="s">
        <v>2279</v>
      </c>
      <c r="C152">
        <v>1</v>
      </c>
    </row>
    <row r="153" spans="1:3" x14ac:dyDescent="0.35">
      <c r="A153" t="s">
        <v>2054</v>
      </c>
      <c r="B153" t="s">
        <v>8</v>
      </c>
      <c r="C153">
        <v>3</v>
      </c>
    </row>
    <row r="154" spans="1:3" x14ac:dyDescent="0.35">
      <c r="A154" t="s">
        <v>2280</v>
      </c>
      <c r="C154">
        <v>3</v>
      </c>
    </row>
    <row r="155" spans="1:3" x14ac:dyDescent="0.35">
      <c r="A155" t="s">
        <v>2055</v>
      </c>
      <c r="B155" t="s">
        <v>8</v>
      </c>
      <c r="C155">
        <v>1</v>
      </c>
    </row>
    <row r="156" spans="1:3" x14ac:dyDescent="0.35">
      <c r="A156" t="s">
        <v>2281</v>
      </c>
      <c r="C156">
        <v>1</v>
      </c>
    </row>
    <row r="157" spans="1:3" x14ac:dyDescent="0.35">
      <c r="A157" t="s">
        <v>2056</v>
      </c>
      <c r="B157" t="s">
        <v>8</v>
      </c>
      <c r="C157">
        <v>1</v>
      </c>
    </row>
    <row r="158" spans="1:3" x14ac:dyDescent="0.35">
      <c r="A158" t="s">
        <v>2282</v>
      </c>
      <c r="C158">
        <v>1</v>
      </c>
    </row>
    <row r="159" spans="1:3" x14ac:dyDescent="0.35">
      <c r="A159" t="s">
        <v>2057</v>
      </c>
      <c r="B159" t="s">
        <v>8</v>
      </c>
      <c r="C159">
        <v>1</v>
      </c>
    </row>
    <row r="160" spans="1:3" x14ac:dyDescent="0.35">
      <c r="A160" t="s">
        <v>2283</v>
      </c>
      <c r="C160">
        <v>1</v>
      </c>
    </row>
    <row r="161" spans="1:3" x14ac:dyDescent="0.35">
      <c r="A161" t="s">
        <v>2058</v>
      </c>
      <c r="B161" t="s">
        <v>8</v>
      </c>
      <c r="C161">
        <v>1</v>
      </c>
    </row>
    <row r="162" spans="1:3" x14ac:dyDescent="0.35">
      <c r="A162" t="s">
        <v>2284</v>
      </c>
      <c r="C162">
        <v>1</v>
      </c>
    </row>
    <row r="163" spans="1:3" x14ac:dyDescent="0.35">
      <c r="A163" t="s">
        <v>2059</v>
      </c>
      <c r="B163" t="s">
        <v>8</v>
      </c>
      <c r="C163">
        <v>1</v>
      </c>
    </row>
    <row r="164" spans="1:3" x14ac:dyDescent="0.35">
      <c r="A164" t="s">
        <v>2285</v>
      </c>
      <c r="C164">
        <v>1</v>
      </c>
    </row>
    <row r="165" spans="1:3" x14ac:dyDescent="0.35">
      <c r="A165" t="s">
        <v>2060</v>
      </c>
      <c r="B165" t="s">
        <v>8</v>
      </c>
      <c r="C165">
        <v>1</v>
      </c>
    </row>
    <row r="166" spans="1:3" x14ac:dyDescent="0.35">
      <c r="A166" t="s">
        <v>2286</v>
      </c>
      <c r="C166">
        <v>1</v>
      </c>
    </row>
    <row r="167" spans="1:3" x14ac:dyDescent="0.35">
      <c r="A167" t="s">
        <v>2061</v>
      </c>
      <c r="B167" t="s">
        <v>8</v>
      </c>
      <c r="C167">
        <v>1</v>
      </c>
    </row>
    <row r="168" spans="1:3" x14ac:dyDescent="0.35">
      <c r="A168" t="s">
        <v>2287</v>
      </c>
      <c r="C168">
        <v>1</v>
      </c>
    </row>
    <row r="169" spans="1:3" x14ac:dyDescent="0.35">
      <c r="A169" t="s">
        <v>2062</v>
      </c>
      <c r="B169" t="s">
        <v>8</v>
      </c>
      <c r="C169">
        <v>1</v>
      </c>
    </row>
    <row r="170" spans="1:3" x14ac:dyDescent="0.35">
      <c r="A170" t="s">
        <v>2288</v>
      </c>
      <c r="C170">
        <v>1</v>
      </c>
    </row>
    <row r="171" spans="1:3" x14ac:dyDescent="0.35">
      <c r="A171" t="s">
        <v>2063</v>
      </c>
      <c r="B171" t="s">
        <v>8</v>
      </c>
      <c r="C171">
        <v>1</v>
      </c>
    </row>
    <row r="172" spans="1:3" x14ac:dyDescent="0.35">
      <c r="A172" t="s">
        <v>2289</v>
      </c>
      <c r="C172">
        <v>1</v>
      </c>
    </row>
    <row r="173" spans="1:3" x14ac:dyDescent="0.35">
      <c r="A173" t="s">
        <v>2064</v>
      </c>
      <c r="B173" t="s">
        <v>8</v>
      </c>
      <c r="C173">
        <v>1</v>
      </c>
    </row>
    <row r="174" spans="1:3" x14ac:dyDescent="0.35">
      <c r="A174" t="s">
        <v>2290</v>
      </c>
      <c r="C174">
        <v>1</v>
      </c>
    </row>
    <row r="175" spans="1:3" x14ac:dyDescent="0.35">
      <c r="A175" t="s">
        <v>2065</v>
      </c>
      <c r="B175" t="s">
        <v>8</v>
      </c>
      <c r="C175">
        <v>1</v>
      </c>
    </row>
    <row r="176" spans="1:3" x14ac:dyDescent="0.35">
      <c r="A176" t="s">
        <v>2291</v>
      </c>
      <c r="C176">
        <v>1</v>
      </c>
    </row>
    <row r="177" spans="1:3" x14ac:dyDescent="0.35">
      <c r="A177" t="s">
        <v>2066</v>
      </c>
      <c r="B177" t="s">
        <v>8</v>
      </c>
      <c r="C177">
        <v>2</v>
      </c>
    </row>
    <row r="178" spans="1:3" x14ac:dyDescent="0.35">
      <c r="A178" t="s">
        <v>2292</v>
      </c>
      <c r="C178">
        <v>2</v>
      </c>
    </row>
    <row r="179" spans="1:3" x14ac:dyDescent="0.35">
      <c r="A179" t="s">
        <v>2067</v>
      </c>
      <c r="B179" t="s">
        <v>8</v>
      </c>
      <c r="C179">
        <v>1</v>
      </c>
    </row>
    <row r="180" spans="1:3" x14ac:dyDescent="0.35">
      <c r="A180" t="s">
        <v>2293</v>
      </c>
      <c r="C180">
        <v>1</v>
      </c>
    </row>
    <row r="181" spans="1:3" x14ac:dyDescent="0.35">
      <c r="A181" t="s">
        <v>2068</v>
      </c>
      <c r="B181" t="s">
        <v>8</v>
      </c>
      <c r="C181">
        <v>1</v>
      </c>
    </row>
    <row r="182" spans="1:3" x14ac:dyDescent="0.35">
      <c r="A182" t="s">
        <v>2294</v>
      </c>
      <c r="C182">
        <v>1</v>
      </c>
    </row>
    <row r="183" spans="1:3" x14ac:dyDescent="0.35">
      <c r="A183" t="s">
        <v>2069</v>
      </c>
      <c r="B183" t="s">
        <v>8</v>
      </c>
      <c r="C183">
        <v>2</v>
      </c>
    </row>
    <row r="184" spans="1:3" x14ac:dyDescent="0.35">
      <c r="A184" t="s">
        <v>2295</v>
      </c>
      <c r="C184">
        <v>2</v>
      </c>
    </row>
    <row r="185" spans="1:3" x14ac:dyDescent="0.35">
      <c r="A185" t="s">
        <v>2070</v>
      </c>
      <c r="B185" t="s">
        <v>8</v>
      </c>
      <c r="C185">
        <v>2</v>
      </c>
    </row>
    <row r="186" spans="1:3" x14ac:dyDescent="0.35">
      <c r="A186" t="s">
        <v>2296</v>
      </c>
      <c r="C186">
        <v>2</v>
      </c>
    </row>
    <row r="187" spans="1:3" x14ac:dyDescent="0.35">
      <c r="A187" t="s">
        <v>2071</v>
      </c>
      <c r="B187" t="s">
        <v>8</v>
      </c>
      <c r="C187">
        <v>1</v>
      </c>
    </row>
    <row r="188" spans="1:3" x14ac:dyDescent="0.35">
      <c r="A188" t="s">
        <v>2297</v>
      </c>
      <c r="C188">
        <v>1</v>
      </c>
    </row>
    <row r="189" spans="1:3" x14ac:dyDescent="0.35">
      <c r="A189" t="s">
        <v>2072</v>
      </c>
      <c r="B189" t="s">
        <v>8</v>
      </c>
      <c r="C189">
        <v>2</v>
      </c>
    </row>
    <row r="190" spans="1:3" x14ac:dyDescent="0.35">
      <c r="A190" t="s">
        <v>2298</v>
      </c>
      <c r="C190">
        <v>2</v>
      </c>
    </row>
    <row r="191" spans="1:3" x14ac:dyDescent="0.35">
      <c r="A191" t="s">
        <v>2073</v>
      </c>
      <c r="B191" t="s">
        <v>8</v>
      </c>
      <c r="C191">
        <v>2</v>
      </c>
    </row>
    <row r="192" spans="1:3" x14ac:dyDescent="0.35">
      <c r="A192" t="s">
        <v>2299</v>
      </c>
      <c r="C192">
        <v>2</v>
      </c>
    </row>
    <row r="193" spans="1:3" x14ac:dyDescent="0.35">
      <c r="A193" t="s">
        <v>2074</v>
      </c>
      <c r="B193" t="s">
        <v>8</v>
      </c>
      <c r="C193">
        <v>1</v>
      </c>
    </row>
    <row r="194" spans="1:3" x14ac:dyDescent="0.35">
      <c r="A194" t="s">
        <v>2300</v>
      </c>
      <c r="C194">
        <v>1</v>
      </c>
    </row>
    <row r="195" spans="1:3" x14ac:dyDescent="0.35">
      <c r="A195" t="s">
        <v>2075</v>
      </c>
      <c r="B195" t="s">
        <v>8</v>
      </c>
      <c r="C195">
        <v>1</v>
      </c>
    </row>
    <row r="196" spans="1:3" x14ac:dyDescent="0.35">
      <c r="A196" t="s">
        <v>2301</v>
      </c>
      <c r="C196">
        <v>1</v>
      </c>
    </row>
    <row r="197" spans="1:3" x14ac:dyDescent="0.35">
      <c r="A197" t="s">
        <v>2076</v>
      </c>
      <c r="B197" t="s">
        <v>8</v>
      </c>
      <c r="C197">
        <v>1</v>
      </c>
    </row>
    <row r="198" spans="1:3" x14ac:dyDescent="0.35">
      <c r="A198" t="s">
        <v>2302</v>
      </c>
      <c r="C198">
        <v>1</v>
      </c>
    </row>
    <row r="199" spans="1:3" x14ac:dyDescent="0.35">
      <c r="A199" t="s">
        <v>2077</v>
      </c>
      <c r="B199" t="s">
        <v>8</v>
      </c>
      <c r="C199">
        <v>1</v>
      </c>
    </row>
    <row r="200" spans="1:3" x14ac:dyDescent="0.35">
      <c r="A200" t="s">
        <v>2303</v>
      </c>
      <c r="C200">
        <v>1</v>
      </c>
    </row>
    <row r="201" spans="1:3" x14ac:dyDescent="0.35">
      <c r="A201" t="s">
        <v>2078</v>
      </c>
      <c r="B201" t="s">
        <v>8</v>
      </c>
      <c r="C201">
        <v>1</v>
      </c>
    </row>
    <row r="202" spans="1:3" x14ac:dyDescent="0.35">
      <c r="A202" t="s">
        <v>2304</v>
      </c>
      <c r="C202">
        <v>1</v>
      </c>
    </row>
    <row r="203" spans="1:3" x14ac:dyDescent="0.35">
      <c r="A203" t="s">
        <v>2079</v>
      </c>
      <c r="B203" t="s">
        <v>8</v>
      </c>
      <c r="C203">
        <v>1</v>
      </c>
    </row>
    <row r="204" spans="1:3" x14ac:dyDescent="0.35">
      <c r="A204" t="s">
        <v>2305</v>
      </c>
      <c r="C204">
        <v>1</v>
      </c>
    </row>
    <row r="205" spans="1:3" x14ac:dyDescent="0.35">
      <c r="A205" t="s">
        <v>2080</v>
      </c>
      <c r="B205" t="s">
        <v>8</v>
      </c>
      <c r="C205">
        <v>1</v>
      </c>
    </row>
    <row r="206" spans="1:3" x14ac:dyDescent="0.35">
      <c r="A206" t="s">
        <v>2306</v>
      </c>
      <c r="C206">
        <v>1</v>
      </c>
    </row>
    <row r="207" spans="1:3" x14ac:dyDescent="0.35">
      <c r="A207" t="s">
        <v>2081</v>
      </c>
      <c r="B207" t="s">
        <v>8</v>
      </c>
      <c r="C207">
        <v>1</v>
      </c>
    </row>
    <row r="208" spans="1:3" x14ac:dyDescent="0.35">
      <c r="A208" t="s">
        <v>2307</v>
      </c>
      <c r="C208">
        <v>1</v>
      </c>
    </row>
    <row r="209" spans="1:3" x14ac:dyDescent="0.35">
      <c r="A209" t="s">
        <v>2082</v>
      </c>
      <c r="B209" t="s">
        <v>8</v>
      </c>
      <c r="C209">
        <v>1</v>
      </c>
    </row>
    <row r="210" spans="1:3" x14ac:dyDescent="0.35">
      <c r="A210" t="s">
        <v>2308</v>
      </c>
      <c r="C210">
        <v>1</v>
      </c>
    </row>
    <row r="211" spans="1:3" x14ac:dyDescent="0.35">
      <c r="A211" t="s">
        <v>2083</v>
      </c>
      <c r="B211" t="s">
        <v>8</v>
      </c>
      <c r="C211">
        <v>1</v>
      </c>
    </row>
    <row r="212" spans="1:3" x14ac:dyDescent="0.35">
      <c r="A212" t="s">
        <v>2309</v>
      </c>
      <c r="C212">
        <v>1</v>
      </c>
    </row>
    <row r="213" spans="1:3" x14ac:dyDescent="0.35">
      <c r="A213" t="s">
        <v>2084</v>
      </c>
      <c r="B213" t="s">
        <v>8</v>
      </c>
      <c r="C213">
        <v>2</v>
      </c>
    </row>
    <row r="214" spans="1:3" x14ac:dyDescent="0.35">
      <c r="A214" t="s">
        <v>2310</v>
      </c>
      <c r="C214">
        <v>2</v>
      </c>
    </row>
    <row r="215" spans="1:3" x14ac:dyDescent="0.35">
      <c r="A215" t="s">
        <v>2085</v>
      </c>
      <c r="B215" t="s">
        <v>8</v>
      </c>
      <c r="C215">
        <v>1</v>
      </c>
    </row>
    <row r="216" spans="1:3" x14ac:dyDescent="0.35">
      <c r="A216" t="s">
        <v>2311</v>
      </c>
      <c r="C216">
        <v>1</v>
      </c>
    </row>
    <row r="217" spans="1:3" x14ac:dyDescent="0.35">
      <c r="A217" t="s">
        <v>2086</v>
      </c>
      <c r="B217" t="s">
        <v>8</v>
      </c>
      <c r="C217">
        <v>1</v>
      </c>
    </row>
    <row r="218" spans="1:3" x14ac:dyDescent="0.35">
      <c r="A218" t="s">
        <v>2312</v>
      </c>
      <c r="C218">
        <v>1</v>
      </c>
    </row>
    <row r="219" spans="1:3" x14ac:dyDescent="0.35">
      <c r="A219" t="s">
        <v>2087</v>
      </c>
      <c r="B219" t="s">
        <v>8</v>
      </c>
      <c r="C219">
        <v>1</v>
      </c>
    </row>
    <row r="220" spans="1:3" x14ac:dyDescent="0.35">
      <c r="A220" t="s">
        <v>2313</v>
      </c>
      <c r="C220">
        <v>1</v>
      </c>
    </row>
    <row r="221" spans="1:3" x14ac:dyDescent="0.35">
      <c r="A221" t="s">
        <v>2088</v>
      </c>
      <c r="B221" t="s">
        <v>8</v>
      </c>
      <c r="C221">
        <v>1</v>
      </c>
    </row>
    <row r="222" spans="1:3" x14ac:dyDescent="0.35">
      <c r="A222" t="s">
        <v>2314</v>
      </c>
      <c r="C222">
        <v>1</v>
      </c>
    </row>
    <row r="223" spans="1:3" x14ac:dyDescent="0.35">
      <c r="A223" t="s">
        <v>2089</v>
      </c>
      <c r="B223" t="s">
        <v>8</v>
      </c>
      <c r="C223">
        <v>1</v>
      </c>
    </row>
    <row r="224" spans="1:3" x14ac:dyDescent="0.35">
      <c r="A224" t="s">
        <v>2315</v>
      </c>
      <c r="C224">
        <v>1</v>
      </c>
    </row>
    <row r="225" spans="1:3" x14ac:dyDescent="0.35">
      <c r="A225" t="s">
        <v>2090</v>
      </c>
      <c r="B225" t="s">
        <v>8</v>
      </c>
      <c r="C225">
        <v>2</v>
      </c>
    </row>
    <row r="226" spans="1:3" x14ac:dyDescent="0.35">
      <c r="A226" t="s">
        <v>2316</v>
      </c>
      <c r="C226">
        <v>2</v>
      </c>
    </row>
    <row r="227" spans="1:3" x14ac:dyDescent="0.35">
      <c r="A227" t="s">
        <v>2091</v>
      </c>
      <c r="B227" t="s">
        <v>8</v>
      </c>
      <c r="C227">
        <v>1</v>
      </c>
    </row>
    <row r="228" spans="1:3" x14ac:dyDescent="0.35">
      <c r="A228" t="s">
        <v>2317</v>
      </c>
      <c r="C228">
        <v>1</v>
      </c>
    </row>
    <row r="229" spans="1:3" x14ac:dyDescent="0.35">
      <c r="A229" t="s">
        <v>2092</v>
      </c>
      <c r="B229" t="s">
        <v>8</v>
      </c>
      <c r="C229">
        <v>1</v>
      </c>
    </row>
    <row r="230" spans="1:3" x14ac:dyDescent="0.35">
      <c r="A230" t="s">
        <v>2318</v>
      </c>
      <c r="C230">
        <v>1</v>
      </c>
    </row>
    <row r="231" spans="1:3" x14ac:dyDescent="0.35">
      <c r="A231" t="s">
        <v>2093</v>
      </c>
      <c r="B231" t="s">
        <v>8</v>
      </c>
      <c r="C231">
        <v>1</v>
      </c>
    </row>
    <row r="232" spans="1:3" x14ac:dyDescent="0.35">
      <c r="A232" t="s">
        <v>2319</v>
      </c>
      <c r="C232">
        <v>1</v>
      </c>
    </row>
    <row r="233" spans="1:3" x14ac:dyDescent="0.35">
      <c r="A233" t="s">
        <v>2094</v>
      </c>
      <c r="B233" t="s">
        <v>8</v>
      </c>
      <c r="C233">
        <v>1</v>
      </c>
    </row>
    <row r="234" spans="1:3" x14ac:dyDescent="0.35">
      <c r="A234" t="s">
        <v>2320</v>
      </c>
      <c r="C234">
        <v>1</v>
      </c>
    </row>
    <row r="235" spans="1:3" x14ac:dyDescent="0.35">
      <c r="A235" t="s">
        <v>2095</v>
      </c>
      <c r="B235" t="s">
        <v>8</v>
      </c>
      <c r="C235">
        <v>2</v>
      </c>
    </row>
    <row r="236" spans="1:3" x14ac:dyDescent="0.35">
      <c r="A236" t="s">
        <v>2321</v>
      </c>
      <c r="C236">
        <v>2</v>
      </c>
    </row>
    <row r="237" spans="1:3" x14ac:dyDescent="0.35">
      <c r="A237" t="s">
        <v>2096</v>
      </c>
      <c r="B237" t="s">
        <v>8</v>
      </c>
      <c r="C237">
        <v>1</v>
      </c>
    </row>
    <row r="238" spans="1:3" x14ac:dyDescent="0.35">
      <c r="A238" t="s">
        <v>2322</v>
      </c>
      <c r="C238">
        <v>1</v>
      </c>
    </row>
    <row r="239" spans="1:3" x14ac:dyDescent="0.35">
      <c r="A239" t="s">
        <v>2097</v>
      </c>
      <c r="B239" t="s">
        <v>8</v>
      </c>
      <c r="C239">
        <v>1</v>
      </c>
    </row>
    <row r="240" spans="1:3" x14ac:dyDescent="0.35">
      <c r="A240" t="s">
        <v>2323</v>
      </c>
      <c r="C240">
        <v>1</v>
      </c>
    </row>
    <row r="241" spans="1:3" x14ac:dyDescent="0.35">
      <c r="A241" t="s">
        <v>2098</v>
      </c>
      <c r="B241" t="s">
        <v>8</v>
      </c>
      <c r="C241">
        <v>2</v>
      </c>
    </row>
    <row r="242" spans="1:3" x14ac:dyDescent="0.35">
      <c r="A242" t="s">
        <v>2324</v>
      </c>
      <c r="C242">
        <v>2</v>
      </c>
    </row>
    <row r="243" spans="1:3" x14ac:dyDescent="0.35">
      <c r="A243" t="s">
        <v>2099</v>
      </c>
      <c r="B243" t="s">
        <v>8</v>
      </c>
      <c r="C243">
        <v>2</v>
      </c>
    </row>
    <row r="244" spans="1:3" x14ac:dyDescent="0.35">
      <c r="A244" t="s">
        <v>2325</v>
      </c>
      <c r="C244">
        <v>2</v>
      </c>
    </row>
    <row r="245" spans="1:3" x14ac:dyDescent="0.35">
      <c r="A245" t="s">
        <v>2100</v>
      </c>
      <c r="B245" t="s">
        <v>8</v>
      </c>
      <c r="C245">
        <v>1</v>
      </c>
    </row>
    <row r="246" spans="1:3" x14ac:dyDescent="0.35">
      <c r="A246" t="s">
        <v>2326</v>
      </c>
      <c r="C246">
        <v>1</v>
      </c>
    </row>
    <row r="247" spans="1:3" x14ac:dyDescent="0.35">
      <c r="A247" t="s">
        <v>2101</v>
      </c>
      <c r="B247" t="s">
        <v>8</v>
      </c>
      <c r="C247">
        <v>1</v>
      </c>
    </row>
    <row r="248" spans="1:3" x14ac:dyDescent="0.35">
      <c r="A248" t="s">
        <v>2327</v>
      </c>
      <c r="C248">
        <v>1</v>
      </c>
    </row>
    <row r="249" spans="1:3" x14ac:dyDescent="0.35">
      <c r="A249" t="s">
        <v>2102</v>
      </c>
      <c r="B249" t="s">
        <v>8</v>
      </c>
      <c r="C249">
        <v>1</v>
      </c>
    </row>
    <row r="250" spans="1:3" x14ac:dyDescent="0.35">
      <c r="A250" t="s">
        <v>2328</v>
      </c>
      <c r="C250">
        <v>1</v>
      </c>
    </row>
    <row r="251" spans="1:3" x14ac:dyDescent="0.35">
      <c r="A251" t="s">
        <v>2103</v>
      </c>
      <c r="B251" t="s">
        <v>8</v>
      </c>
      <c r="C251">
        <v>1</v>
      </c>
    </row>
    <row r="252" spans="1:3" x14ac:dyDescent="0.35">
      <c r="A252" t="s">
        <v>2329</v>
      </c>
      <c r="C252">
        <v>1</v>
      </c>
    </row>
    <row r="253" spans="1:3" x14ac:dyDescent="0.35">
      <c r="A253" t="s">
        <v>2104</v>
      </c>
      <c r="B253" t="s">
        <v>8</v>
      </c>
      <c r="C253">
        <v>1</v>
      </c>
    </row>
    <row r="254" spans="1:3" x14ac:dyDescent="0.35">
      <c r="A254" t="s">
        <v>2330</v>
      </c>
      <c r="C254">
        <v>1</v>
      </c>
    </row>
    <row r="255" spans="1:3" x14ac:dyDescent="0.35">
      <c r="A255" t="s">
        <v>2105</v>
      </c>
      <c r="B255" t="s">
        <v>8</v>
      </c>
      <c r="C255">
        <v>1</v>
      </c>
    </row>
    <row r="256" spans="1:3" x14ac:dyDescent="0.35">
      <c r="A256" t="s">
        <v>2331</v>
      </c>
      <c r="C256">
        <v>1</v>
      </c>
    </row>
    <row r="257" spans="1:3" x14ac:dyDescent="0.35">
      <c r="A257" t="s">
        <v>2106</v>
      </c>
      <c r="B257" t="s">
        <v>8</v>
      </c>
      <c r="C257">
        <v>1</v>
      </c>
    </row>
    <row r="258" spans="1:3" x14ac:dyDescent="0.35">
      <c r="A258" t="s">
        <v>2332</v>
      </c>
      <c r="C258">
        <v>1</v>
      </c>
    </row>
    <row r="259" spans="1:3" x14ac:dyDescent="0.35">
      <c r="A259" t="s">
        <v>2107</v>
      </c>
      <c r="B259" t="s">
        <v>8</v>
      </c>
      <c r="C259">
        <v>3</v>
      </c>
    </row>
    <row r="260" spans="1:3" x14ac:dyDescent="0.35">
      <c r="A260" t="s">
        <v>2333</v>
      </c>
      <c r="C260">
        <v>3</v>
      </c>
    </row>
    <row r="261" spans="1:3" x14ac:dyDescent="0.35">
      <c r="A261" t="s">
        <v>2108</v>
      </c>
      <c r="B261" t="s">
        <v>8</v>
      </c>
      <c r="C261">
        <v>1</v>
      </c>
    </row>
    <row r="262" spans="1:3" x14ac:dyDescent="0.35">
      <c r="A262" t="s">
        <v>2334</v>
      </c>
      <c r="C262">
        <v>1</v>
      </c>
    </row>
    <row r="263" spans="1:3" x14ac:dyDescent="0.35">
      <c r="A263" t="s">
        <v>2109</v>
      </c>
      <c r="B263" t="s">
        <v>8</v>
      </c>
      <c r="C263">
        <v>1</v>
      </c>
    </row>
    <row r="264" spans="1:3" x14ac:dyDescent="0.35">
      <c r="A264" t="s">
        <v>2335</v>
      </c>
      <c r="C264">
        <v>1</v>
      </c>
    </row>
    <row r="265" spans="1:3" x14ac:dyDescent="0.35">
      <c r="A265" t="s">
        <v>2110</v>
      </c>
      <c r="B265" t="s">
        <v>8</v>
      </c>
      <c r="C265">
        <v>1</v>
      </c>
    </row>
    <row r="266" spans="1:3" x14ac:dyDescent="0.35">
      <c r="A266" t="s">
        <v>2336</v>
      </c>
      <c r="C266">
        <v>1</v>
      </c>
    </row>
    <row r="267" spans="1:3" x14ac:dyDescent="0.35">
      <c r="A267" t="s">
        <v>2111</v>
      </c>
      <c r="B267" t="s">
        <v>8</v>
      </c>
      <c r="C267">
        <v>1</v>
      </c>
    </row>
    <row r="268" spans="1:3" x14ac:dyDescent="0.35">
      <c r="A268" t="s">
        <v>2337</v>
      </c>
      <c r="C268">
        <v>1</v>
      </c>
    </row>
    <row r="269" spans="1:3" x14ac:dyDescent="0.35">
      <c r="A269" t="s">
        <v>2112</v>
      </c>
      <c r="B269" t="s">
        <v>8</v>
      </c>
      <c r="C269">
        <v>1</v>
      </c>
    </row>
    <row r="270" spans="1:3" x14ac:dyDescent="0.35">
      <c r="A270" t="s">
        <v>2338</v>
      </c>
      <c r="C270">
        <v>1</v>
      </c>
    </row>
    <row r="271" spans="1:3" x14ac:dyDescent="0.35">
      <c r="A271" t="s">
        <v>2113</v>
      </c>
      <c r="B271" t="s">
        <v>8</v>
      </c>
      <c r="C271">
        <v>2</v>
      </c>
    </row>
    <row r="272" spans="1:3" x14ac:dyDescent="0.35">
      <c r="A272" t="s">
        <v>2339</v>
      </c>
      <c r="C272">
        <v>2</v>
      </c>
    </row>
    <row r="273" spans="1:3" x14ac:dyDescent="0.35">
      <c r="A273" t="s">
        <v>2114</v>
      </c>
      <c r="B273" t="s">
        <v>8</v>
      </c>
      <c r="C273">
        <v>1</v>
      </c>
    </row>
    <row r="274" spans="1:3" x14ac:dyDescent="0.35">
      <c r="A274" t="s">
        <v>2340</v>
      </c>
      <c r="C274">
        <v>1</v>
      </c>
    </row>
    <row r="275" spans="1:3" x14ac:dyDescent="0.35">
      <c r="A275" t="s">
        <v>2115</v>
      </c>
      <c r="B275" t="s">
        <v>8</v>
      </c>
      <c r="C275">
        <v>1</v>
      </c>
    </row>
    <row r="276" spans="1:3" x14ac:dyDescent="0.35">
      <c r="A276" t="s">
        <v>2341</v>
      </c>
      <c r="C276">
        <v>1</v>
      </c>
    </row>
    <row r="277" spans="1:3" x14ac:dyDescent="0.35">
      <c r="A277" t="s">
        <v>2116</v>
      </c>
      <c r="B277" t="s">
        <v>8</v>
      </c>
      <c r="C277">
        <v>1</v>
      </c>
    </row>
    <row r="278" spans="1:3" x14ac:dyDescent="0.35">
      <c r="A278" t="s">
        <v>2342</v>
      </c>
      <c r="C278">
        <v>1</v>
      </c>
    </row>
    <row r="279" spans="1:3" x14ac:dyDescent="0.35">
      <c r="A279" t="s">
        <v>2117</v>
      </c>
      <c r="B279" t="s">
        <v>8</v>
      </c>
      <c r="C279">
        <v>1</v>
      </c>
    </row>
    <row r="280" spans="1:3" x14ac:dyDescent="0.35">
      <c r="A280" t="s">
        <v>2343</v>
      </c>
      <c r="C280">
        <v>1</v>
      </c>
    </row>
    <row r="281" spans="1:3" x14ac:dyDescent="0.35">
      <c r="A281" t="s">
        <v>2118</v>
      </c>
      <c r="B281" t="s">
        <v>8</v>
      </c>
      <c r="C281">
        <v>1</v>
      </c>
    </row>
    <row r="282" spans="1:3" x14ac:dyDescent="0.35">
      <c r="A282" t="s">
        <v>2344</v>
      </c>
      <c r="C282">
        <v>1</v>
      </c>
    </row>
    <row r="283" spans="1:3" x14ac:dyDescent="0.35">
      <c r="A283" t="s">
        <v>2119</v>
      </c>
      <c r="B283" t="s">
        <v>8</v>
      </c>
      <c r="C283">
        <v>2</v>
      </c>
    </row>
    <row r="284" spans="1:3" x14ac:dyDescent="0.35">
      <c r="A284" t="s">
        <v>2345</v>
      </c>
      <c r="C284">
        <v>2</v>
      </c>
    </row>
    <row r="285" spans="1:3" x14ac:dyDescent="0.35">
      <c r="A285" t="s">
        <v>2120</v>
      </c>
      <c r="B285" t="s">
        <v>8</v>
      </c>
      <c r="C285">
        <v>1</v>
      </c>
    </row>
    <row r="286" spans="1:3" x14ac:dyDescent="0.35">
      <c r="A286" t="s">
        <v>2346</v>
      </c>
      <c r="C286">
        <v>1</v>
      </c>
    </row>
    <row r="287" spans="1:3" x14ac:dyDescent="0.35">
      <c r="A287" t="s">
        <v>2121</v>
      </c>
      <c r="B287" t="s">
        <v>8</v>
      </c>
      <c r="C287">
        <v>1</v>
      </c>
    </row>
    <row r="288" spans="1:3" x14ac:dyDescent="0.35">
      <c r="A288" t="s">
        <v>2347</v>
      </c>
      <c r="C288">
        <v>1</v>
      </c>
    </row>
    <row r="289" spans="1:3" x14ac:dyDescent="0.35">
      <c r="A289" t="s">
        <v>2122</v>
      </c>
      <c r="B289" t="s">
        <v>8</v>
      </c>
      <c r="C289">
        <v>2</v>
      </c>
    </row>
    <row r="290" spans="1:3" x14ac:dyDescent="0.35">
      <c r="A290" t="s">
        <v>2348</v>
      </c>
      <c r="C290">
        <v>2</v>
      </c>
    </row>
    <row r="291" spans="1:3" x14ac:dyDescent="0.35">
      <c r="A291" t="s">
        <v>2123</v>
      </c>
      <c r="B291" t="s">
        <v>8</v>
      </c>
      <c r="C291">
        <v>1</v>
      </c>
    </row>
    <row r="292" spans="1:3" x14ac:dyDescent="0.35">
      <c r="A292" t="s">
        <v>2349</v>
      </c>
      <c r="C292">
        <v>1</v>
      </c>
    </row>
    <row r="293" spans="1:3" x14ac:dyDescent="0.35">
      <c r="A293" t="s">
        <v>2124</v>
      </c>
      <c r="B293" t="s">
        <v>8</v>
      </c>
      <c r="C293">
        <v>2</v>
      </c>
    </row>
    <row r="294" spans="1:3" x14ac:dyDescent="0.35">
      <c r="A294" t="s">
        <v>2350</v>
      </c>
      <c r="C294">
        <v>2</v>
      </c>
    </row>
    <row r="295" spans="1:3" x14ac:dyDescent="0.35">
      <c r="A295" t="s">
        <v>2125</v>
      </c>
      <c r="B295" t="s">
        <v>8</v>
      </c>
      <c r="C295">
        <v>1</v>
      </c>
    </row>
    <row r="296" spans="1:3" x14ac:dyDescent="0.35">
      <c r="A296" t="s">
        <v>2351</v>
      </c>
      <c r="C296">
        <v>1</v>
      </c>
    </row>
    <row r="297" spans="1:3" x14ac:dyDescent="0.35">
      <c r="A297" t="s">
        <v>2126</v>
      </c>
      <c r="B297" t="s">
        <v>8</v>
      </c>
      <c r="C297">
        <v>2</v>
      </c>
    </row>
    <row r="298" spans="1:3" x14ac:dyDescent="0.35">
      <c r="A298" t="s">
        <v>2352</v>
      </c>
      <c r="C298">
        <v>2</v>
      </c>
    </row>
    <row r="299" spans="1:3" x14ac:dyDescent="0.35">
      <c r="A299" t="s">
        <v>2127</v>
      </c>
      <c r="B299" t="s">
        <v>8</v>
      </c>
      <c r="C299">
        <v>1</v>
      </c>
    </row>
    <row r="300" spans="1:3" x14ac:dyDescent="0.35">
      <c r="A300" t="s">
        <v>2353</v>
      </c>
      <c r="C300">
        <v>1</v>
      </c>
    </row>
    <row r="301" spans="1:3" x14ac:dyDescent="0.35">
      <c r="A301" t="s">
        <v>2128</v>
      </c>
      <c r="B301" t="s">
        <v>8</v>
      </c>
      <c r="C301">
        <v>1</v>
      </c>
    </row>
    <row r="302" spans="1:3" x14ac:dyDescent="0.35">
      <c r="A302" t="s">
        <v>2354</v>
      </c>
      <c r="C302">
        <v>1</v>
      </c>
    </row>
    <row r="303" spans="1:3" x14ac:dyDescent="0.35">
      <c r="A303" t="s">
        <v>2129</v>
      </c>
      <c r="B303" t="s">
        <v>8</v>
      </c>
      <c r="C303">
        <v>2</v>
      </c>
    </row>
    <row r="304" spans="1:3" x14ac:dyDescent="0.35">
      <c r="A304" t="s">
        <v>2355</v>
      </c>
      <c r="C304">
        <v>2</v>
      </c>
    </row>
    <row r="305" spans="1:3" x14ac:dyDescent="0.35">
      <c r="A305" t="s">
        <v>2130</v>
      </c>
      <c r="B305" t="s">
        <v>8</v>
      </c>
      <c r="C305">
        <v>1</v>
      </c>
    </row>
    <row r="306" spans="1:3" x14ac:dyDescent="0.35">
      <c r="A306" t="s">
        <v>2356</v>
      </c>
      <c r="C306">
        <v>1</v>
      </c>
    </row>
    <row r="307" spans="1:3" x14ac:dyDescent="0.35">
      <c r="A307" t="s">
        <v>2131</v>
      </c>
      <c r="B307" t="s">
        <v>8</v>
      </c>
      <c r="C307">
        <v>1</v>
      </c>
    </row>
    <row r="308" spans="1:3" x14ac:dyDescent="0.35">
      <c r="A308" t="s">
        <v>2357</v>
      </c>
      <c r="C308">
        <v>1</v>
      </c>
    </row>
    <row r="309" spans="1:3" x14ac:dyDescent="0.35">
      <c r="A309" t="s">
        <v>2132</v>
      </c>
      <c r="B309" t="s">
        <v>8</v>
      </c>
      <c r="C309">
        <v>5</v>
      </c>
    </row>
    <row r="310" spans="1:3" x14ac:dyDescent="0.35">
      <c r="A310" t="s">
        <v>2358</v>
      </c>
      <c r="C310">
        <v>5</v>
      </c>
    </row>
    <row r="311" spans="1:3" x14ac:dyDescent="0.35">
      <c r="A311" t="s">
        <v>2133</v>
      </c>
      <c r="B311" t="s">
        <v>8</v>
      </c>
      <c r="C311">
        <v>1</v>
      </c>
    </row>
    <row r="312" spans="1:3" x14ac:dyDescent="0.35">
      <c r="A312" t="s">
        <v>2359</v>
      </c>
      <c r="C312">
        <v>1</v>
      </c>
    </row>
    <row r="313" spans="1:3" x14ac:dyDescent="0.35">
      <c r="A313" t="s">
        <v>2134</v>
      </c>
      <c r="B313" t="s">
        <v>8</v>
      </c>
      <c r="C313">
        <v>3</v>
      </c>
    </row>
    <row r="314" spans="1:3" x14ac:dyDescent="0.35">
      <c r="A314" t="s">
        <v>2360</v>
      </c>
      <c r="C314">
        <v>3</v>
      </c>
    </row>
    <row r="315" spans="1:3" x14ac:dyDescent="0.35">
      <c r="A315" t="s">
        <v>2135</v>
      </c>
      <c r="B315" t="s">
        <v>8</v>
      </c>
      <c r="C315">
        <v>4</v>
      </c>
    </row>
    <row r="316" spans="1:3" x14ac:dyDescent="0.35">
      <c r="A316" t="s">
        <v>2361</v>
      </c>
      <c r="C316">
        <v>4</v>
      </c>
    </row>
    <row r="317" spans="1:3" x14ac:dyDescent="0.35">
      <c r="A317" t="s">
        <v>2136</v>
      </c>
      <c r="B317" t="s">
        <v>8</v>
      </c>
      <c r="C317">
        <v>1</v>
      </c>
    </row>
    <row r="318" spans="1:3" x14ac:dyDescent="0.35">
      <c r="A318" t="s">
        <v>2362</v>
      </c>
      <c r="C318">
        <v>1</v>
      </c>
    </row>
    <row r="319" spans="1:3" x14ac:dyDescent="0.35">
      <c r="A319" t="s">
        <v>2137</v>
      </c>
      <c r="B319" t="s">
        <v>8</v>
      </c>
      <c r="C319">
        <v>4</v>
      </c>
    </row>
    <row r="320" spans="1:3" x14ac:dyDescent="0.35">
      <c r="A320" t="s">
        <v>2363</v>
      </c>
      <c r="C320">
        <v>4</v>
      </c>
    </row>
    <row r="321" spans="1:3" x14ac:dyDescent="0.35">
      <c r="A321" t="s">
        <v>2138</v>
      </c>
      <c r="B321" t="s">
        <v>8</v>
      </c>
      <c r="C321">
        <v>1</v>
      </c>
    </row>
    <row r="322" spans="1:3" x14ac:dyDescent="0.35">
      <c r="A322" t="s">
        <v>2364</v>
      </c>
      <c r="C322">
        <v>1</v>
      </c>
    </row>
    <row r="323" spans="1:3" x14ac:dyDescent="0.35">
      <c r="A323" t="s">
        <v>2139</v>
      </c>
      <c r="B323" t="s">
        <v>8</v>
      </c>
      <c r="C323">
        <v>1</v>
      </c>
    </row>
    <row r="324" spans="1:3" x14ac:dyDescent="0.35">
      <c r="A324" t="s">
        <v>2365</v>
      </c>
      <c r="C324">
        <v>1</v>
      </c>
    </row>
    <row r="325" spans="1:3" x14ac:dyDescent="0.35">
      <c r="A325" t="s">
        <v>2140</v>
      </c>
      <c r="B325" t="s">
        <v>8</v>
      </c>
      <c r="C325">
        <v>2</v>
      </c>
    </row>
    <row r="326" spans="1:3" x14ac:dyDescent="0.35">
      <c r="A326" t="s">
        <v>2366</v>
      </c>
      <c r="C326">
        <v>2</v>
      </c>
    </row>
    <row r="327" spans="1:3" x14ac:dyDescent="0.35">
      <c r="A327" t="s">
        <v>2141</v>
      </c>
      <c r="B327" t="s">
        <v>8</v>
      </c>
      <c r="C327">
        <v>1</v>
      </c>
    </row>
    <row r="328" spans="1:3" x14ac:dyDescent="0.35">
      <c r="A328" t="s">
        <v>2367</v>
      </c>
      <c r="C328">
        <v>1</v>
      </c>
    </row>
    <row r="329" spans="1:3" x14ac:dyDescent="0.35">
      <c r="A329" t="s">
        <v>2142</v>
      </c>
      <c r="B329" t="s">
        <v>8</v>
      </c>
      <c r="C329">
        <v>1</v>
      </c>
    </row>
    <row r="330" spans="1:3" x14ac:dyDescent="0.35">
      <c r="A330" t="s">
        <v>2368</v>
      </c>
      <c r="C330">
        <v>1</v>
      </c>
    </row>
    <row r="331" spans="1:3" x14ac:dyDescent="0.35">
      <c r="A331" t="s">
        <v>2143</v>
      </c>
      <c r="B331" t="s">
        <v>8</v>
      </c>
      <c r="C331">
        <v>1</v>
      </c>
    </row>
    <row r="332" spans="1:3" x14ac:dyDescent="0.35">
      <c r="A332" t="s">
        <v>2369</v>
      </c>
      <c r="C332">
        <v>1</v>
      </c>
    </row>
    <row r="333" spans="1:3" x14ac:dyDescent="0.35">
      <c r="A333" t="s">
        <v>2144</v>
      </c>
      <c r="B333" t="s">
        <v>8</v>
      </c>
      <c r="C333">
        <v>9</v>
      </c>
    </row>
    <row r="334" spans="1:3" x14ac:dyDescent="0.35">
      <c r="A334" t="s">
        <v>2370</v>
      </c>
      <c r="C334">
        <v>9</v>
      </c>
    </row>
    <row r="335" spans="1:3" x14ac:dyDescent="0.35">
      <c r="A335" t="s">
        <v>2145</v>
      </c>
      <c r="B335" t="s">
        <v>8</v>
      </c>
      <c r="C335">
        <v>1</v>
      </c>
    </row>
    <row r="336" spans="1:3" x14ac:dyDescent="0.35">
      <c r="A336" t="s">
        <v>2371</v>
      </c>
      <c r="C336">
        <v>1</v>
      </c>
    </row>
    <row r="337" spans="1:3" x14ac:dyDescent="0.35">
      <c r="A337" t="s">
        <v>2146</v>
      </c>
      <c r="B337" t="s">
        <v>8</v>
      </c>
      <c r="C337">
        <v>1</v>
      </c>
    </row>
    <row r="338" spans="1:3" x14ac:dyDescent="0.35">
      <c r="A338" t="s">
        <v>2372</v>
      </c>
      <c r="C338">
        <v>1</v>
      </c>
    </row>
    <row r="339" spans="1:3" x14ac:dyDescent="0.35">
      <c r="A339" t="s">
        <v>2147</v>
      </c>
      <c r="B339" t="s">
        <v>8</v>
      </c>
      <c r="C339">
        <v>1</v>
      </c>
    </row>
    <row r="340" spans="1:3" x14ac:dyDescent="0.35">
      <c r="A340" t="s">
        <v>2373</v>
      </c>
      <c r="C340">
        <v>1</v>
      </c>
    </row>
    <row r="341" spans="1:3" x14ac:dyDescent="0.35">
      <c r="A341" t="s">
        <v>2148</v>
      </c>
      <c r="B341" t="s">
        <v>8</v>
      </c>
      <c r="C341">
        <v>2</v>
      </c>
    </row>
    <row r="342" spans="1:3" x14ac:dyDescent="0.35">
      <c r="A342" t="s">
        <v>2374</v>
      </c>
      <c r="C342">
        <v>2</v>
      </c>
    </row>
    <row r="343" spans="1:3" x14ac:dyDescent="0.35">
      <c r="A343" t="s">
        <v>2149</v>
      </c>
      <c r="B343" t="s">
        <v>8</v>
      </c>
      <c r="C343">
        <v>1</v>
      </c>
    </row>
    <row r="344" spans="1:3" x14ac:dyDescent="0.35">
      <c r="A344" t="s">
        <v>2375</v>
      </c>
      <c r="C344">
        <v>1</v>
      </c>
    </row>
    <row r="345" spans="1:3" x14ac:dyDescent="0.35">
      <c r="A345" t="s">
        <v>2150</v>
      </c>
      <c r="B345" t="s">
        <v>8</v>
      </c>
      <c r="C345">
        <v>1</v>
      </c>
    </row>
    <row r="346" spans="1:3" x14ac:dyDescent="0.35">
      <c r="A346" t="s">
        <v>2376</v>
      </c>
      <c r="C346">
        <v>1</v>
      </c>
    </row>
    <row r="347" spans="1:3" x14ac:dyDescent="0.35">
      <c r="A347" t="s">
        <v>2151</v>
      </c>
      <c r="B347" t="s">
        <v>8</v>
      </c>
      <c r="C347">
        <v>1</v>
      </c>
    </row>
    <row r="348" spans="1:3" x14ac:dyDescent="0.35">
      <c r="A348" t="s">
        <v>2377</v>
      </c>
      <c r="C348">
        <v>1</v>
      </c>
    </row>
    <row r="349" spans="1:3" x14ac:dyDescent="0.35">
      <c r="A349" t="s">
        <v>2152</v>
      </c>
      <c r="B349" t="s">
        <v>8</v>
      </c>
      <c r="C349">
        <v>1</v>
      </c>
    </row>
    <row r="350" spans="1:3" x14ac:dyDescent="0.35">
      <c r="A350" t="s">
        <v>2378</v>
      </c>
      <c r="C350">
        <v>1</v>
      </c>
    </row>
    <row r="351" spans="1:3" x14ac:dyDescent="0.35">
      <c r="A351" t="s">
        <v>2153</v>
      </c>
      <c r="B351" t="s">
        <v>8</v>
      </c>
      <c r="C351">
        <v>1</v>
      </c>
    </row>
    <row r="352" spans="1:3" x14ac:dyDescent="0.35">
      <c r="A352" t="s">
        <v>2379</v>
      </c>
      <c r="C352">
        <v>1</v>
      </c>
    </row>
    <row r="353" spans="1:3" x14ac:dyDescent="0.35">
      <c r="A353" t="s">
        <v>2154</v>
      </c>
      <c r="B353" t="s">
        <v>8</v>
      </c>
      <c r="C353">
        <v>14</v>
      </c>
    </row>
    <row r="354" spans="1:3" x14ac:dyDescent="0.35">
      <c r="A354" t="s">
        <v>2380</v>
      </c>
      <c r="C354">
        <v>14</v>
      </c>
    </row>
    <row r="355" spans="1:3" x14ac:dyDescent="0.35">
      <c r="A355" t="s">
        <v>2155</v>
      </c>
      <c r="B355" t="s">
        <v>8</v>
      </c>
      <c r="C355">
        <v>1</v>
      </c>
    </row>
    <row r="356" spans="1:3" x14ac:dyDescent="0.35">
      <c r="A356" t="s">
        <v>2381</v>
      </c>
      <c r="C356">
        <v>1</v>
      </c>
    </row>
    <row r="357" spans="1:3" x14ac:dyDescent="0.35">
      <c r="A357" t="s">
        <v>2156</v>
      </c>
      <c r="B357" t="s">
        <v>8</v>
      </c>
      <c r="C357">
        <v>1</v>
      </c>
    </row>
    <row r="358" spans="1:3" x14ac:dyDescent="0.35">
      <c r="A358" t="s">
        <v>2382</v>
      </c>
      <c r="C358">
        <v>1</v>
      </c>
    </row>
    <row r="359" spans="1:3" x14ac:dyDescent="0.35">
      <c r="A359" t="s">
        <v>2157</v>
      </c>
      <c r="B359" t="s">
        <v>8</v>
      </c>
      <c r="C359">
        <v>1</v>
      </c>
    </row>
    <row r="360" spans="1:3" x14ac:dyDescent="0.35">
      <c r="A360" t="s">
        <v>2383</v>
      </c>
      <c r="C360">
        <v>1</v>
      </c>
    </row>
    <row r="361" spans="1:3" x14ac:dyDescent="0.35">
      <c r="A361" t="s">
        <v>2158</v>
      </c>
      <c r="B361" t="s">
        <v>8</v>
      </c>
      <c r="C361">
        <v>3</v>
      </c>
    </row>
    <row r="362" spans="1:3" x14ac:dyDescent="0.35">
      <c r="A362" t="s">
        <v>2384</v>
      </c>
      <c r="C362">
        <v>3</v>
      </c>
    </row>
    <row r="363" spans="1:3" x14ac:dyDescent="0.35">
      <c r="A363" t="s">
        <v>2159</v>
      </c>
      <c r="B363" t="s">
        <v>8</v>
      </c>
      <c r="C363">
        <v>1</v>
      </c>
    </row>
    <row r="364" spans="1:3" x14ac:dyDescent="0.35">
      <c r="A364" t="s">
        <v>2385</v>
      </c>
      <c r="C364">
        <v>1</v>
      </c>
    </row>
    <row r="365" spans="1:3" x14ac:dyDescent="0.35">
      <c r="A365" t="s">
        <v>2160</v>
      </c>
      <c r="B365" t="s">
        <v>8</v>
      </c>
      <c r="C365">
        <v>3</v>
      </c>
    </row>
    <row r="366" spans="1:3" x14ac:dyDescent="0.35">
      <c r="A366" t="s">
        <v>2386</v>
      </c>
      <c r="C366">
        <v>3</v>
      </c>
    </row>
    <row r="367" spans="1:3" x14ac:dyDescent="0.35">
      <c r="A367" t="s">
        <v>2161</v>
      </c>
      <c r="B367" t="s">
        <v>8</v>
      </c>
      <c r="C367">
        <v>2</v>
      </c>
    </row>
    <row r="368" spans="1:3" x14ac:dyDescent="0.35">
      <c r="A368" t="s">
        <v>2387</v>
      </c>
      <c r="C368">
        <v>2</v>
      </c>
    </row>
    <row r="369" spans="1:3" x14ac:dyDescent="0.35">
      <c r="A369" t="s">
        <v>2162</v>
      </c>
      <c r="B369" t="s">
        <v>8</v>
      </c>
      <c r="C369">
        <v>1</v>
      </c>
    </row>
    <row r="370" spans="1:3" x14ac:dyDescent="0.35">
      <c r="A370" t="s">
        <v>2388</v>
      </c>
      <c r="C370">
        <v>1</v>
      </c>
    </row>
    <row r="371" spans="1:3" x14ac:dyDescent="0.35">
      <c r="A371" t="s">
        <v>2163</v>
      </c>
      <c r="B371" t="s">
        <v>8</v>
      </c>
      <c r="C371">
        <v>1</v>
      </c>
    </row>
    <row r="372" spans="1:3" x14ac:dyDescent="0.35">
      <c r="A372" t="s">
        <v>2389</v>
      </c>
      <c r="C372">
        <v>1</v>
      </c>
    </row>
    <row r="373" spans="1:3" x14ac:dyDescent="0.35">
      <c r="A373" t="s">
        <v>2164</v>
      </c>
      <c r="B373" t="s">
        <v>8</v>
      </c>
      <c r="C373">
        <v>1</v>
      </c>
    </row>
    <row r="374" spans="1:3" x14ac:dyDescent="0.35">
      <c r="A374" t="s">
        <v>2390</v>
      </c>
      <c r="C374">
        <v>1</v>
      </c>
    </row>
    <row r="375" spans="1:3" x14ac:dyDescent="0.35">
      <c r="A375" t="s">
        <v>2165</v>
      </c>
      <c r="B375" t="s">
        <v>8</v>
      </c>
      <c r="C375">
        <v>1</v>
      </c>
    </row>
    <row r="376" spans="1:3" x14ac:dyDescent="0.35">
      <c r="A376" t="s">
        <v>2391</v>
      </c>
      <c r="C376">
        <v>1</v>
      </c>
    </row>
    <row r="377" spans="1:3" x14ac:dyDescent="0.35">
      <c r="A377" t="s">
        <v>2166</v>
      </c>
      <c r="B377" t="s">
        <v>8</v>
      </c>
      <c r="C377">
        <v>2</v>
      </c>
    </row>
    <row r="378" spans="1:3" x14ac:dyDescent="0.35">
      <c r="A378" t="s">
        <v>2392</v>
      </c>
      <c r="C378">
        <v>2</v>
      </c>
    </row>
    <row r="379" spans="1:3" x14ac:dyDescent="0.35">
      <c r="A379" t="s">
        <v>2167</v>
      </c>
      <c r="B379" t="s">
        <v>8</v>
      </c>
      <c r="C379">
        <v>1</v>
      </c>
    </row>
    <row r="380" spans="1:3" x14ac:dyDescent="0.35">
      <c r="A380" t="s">
        <v>2393</v>
      </c>
      <c r="C380">
        <v>1</v>
      </c>
    </row>
    <row r="381" spans="1:3" x14ac:dyDescent="0.35">
      <c r="A381" t="s">
        <v>2168</v>
      </c>
      <c r="B381" t="s">
        <v>8</v>
      </c>
      <c r="C381">
        <v>3</v>
      </c>
    </row>
    <row r="382" spans="1:3" x14ac:dyDescent="0.35">
      <c r="A382" t="s">
        <v>2394</v>
      </c>
      <c r="C382">
        <v>3</v>
      </c>
    </row>
    <row r="383" spans="1:3" x14ac:dyDescent="0.35">
      <c r="A383" t="s">
        <v>2169</v>
      </c>
      <c r="B383" t="s">
        <v>8</v>
      </c>
      <c r="C383">
        <v>1</v>
      </c>
    </row>
    <row r="384" spans="1:3" x14ac:dyDescent="0.35">
      <c r="A384" t="s">
        <v>2395</v>
      </c>
      <c r="C384">
        <v>1</v>
      </c>
    </row>
    <row r="385" spans="1:3" x14ac:dyDescent="0.35">
      <c r="A385" t="s">
        <v>2170</v>
      </c>
      <c r="B385" t="s">
        <v>8</v>
      </c>
      <c r="C385">
        <v>2</v>
      </c>
    </row>
    <row r="386" spans="1:3" x14ac:dyDescent="0.35">
      <c r="A386" t="s">
        <v>2396</v>
      </c>
      <c r="C386">
        <v>2</v>
      </c>
    </row>
    <row r="387" spans="1:3" x14ac:dyDescent="0.35">
      <c r="A387" t="s">
        <v>2171</v>
      </c>
      <c r="B387" t="s">
        <v>8</v>
      </c>
      <c r="C387">
        <v>1</v>
      </c>
    </row>
    <row r="388" spans="1:3" x14ac:dyDescent="0.35">
      <c r="A388" t="s">
        <v>2397</v>
      </c>
      <c r="C388">
        <v>1</v>
      </c>
    </row>
    <row r="389" spans="1:3" x14ac:dyDescent="0.35">
      <c r="A389" t="s">
        <v>2172</v>
      </c>
      <c r="B389" t="s">
        <v>8</v>
      </c>
      <c r="C389">
        <v>1</v>
      </c>
    </row>
    <row r="390" spans="1:3" x14ac:dyDescent="0.35">
      <c r="A390" t="s">
        <v>2398</v>
      </c>
      <c r="C390">
        <v>1</v>
      </c>
    </row>
    <row r="391" spans="1:3" x14ac:dyDescent="0.35">
      <c r="A391" t="s">
        <v>2173</v>
      </c>
      <c r="B391" t="s">
        <v>8</v>
      </c>
      <c r="C391">
        <v>1</v>
      </c>
    </row>
    <row r="392" spans="1:3" x14ac:dyDescent="0.35">
      <c r="A392" t="s">
        <v>2399</v>
      </c>
      <c r="C392">
        <v>1</v>
      </c>
    </row>
    <row r="393" spans="1:3" x14ac:dyDescent="0.35">
      <c r="A393" t="s">
        <v>2174</v>
      </c>
      <c r="B393" t="s">
        <v>8</v>
      </c>
      <c r="C393">
        <v>2</v>
      </c>
    </row>
    <row r="394" spans="1:3" x14ac:dyDescent="0.35">
      <c r="A394" t="s">
        <v>2400</v>
      </c>
      <c r="C394">
        <v>2</v>
      </c>
    </row>
    <row r="395" spans="1:3" x14ac:dyDescent="0.35">
      <c r="A395" t="s">
        <v>2175</v>
      </c>
      <c r="B395" t="s">
        <v>8</v>
      </c>
      <c r="C395">
        <v>1</v>
      </c>
    </row>
    <row r="396" spans="1:3" x14ac:dyDescent="0.35">
      <c r="A396" t="s">
        <v>2401</v>
      </c>
      <c r="C396">
        <v>1</v>
      </c>
    </row>
    <row r="397" spans="1:3" x14ac:dyDescent="0.35">
      <c r="A397" t="s">
        <v>2176</v>
      </c>
      <c r="B397" t="s">
        <v>8</v>
      </c>
      <c r="C397">
        <v>1</v>
      </c>
    </row>
    <row r="398" spans="1:3" x14ac:dyDescent="0.35">
      <c r="A398" t="s">
        <v>2402</v>
      </c>
      <c r="C398">
        <v>1</v>
      </c>
    </row>
    <row r="399" spans="1:3" x14ac:dyDescent="0.35">
      <c r="A399" t="s">
        <v>2177</v>
      </c>
      <c r="B399" t="s">
        <v>8</v>
      </c>
      <c r="C399">
        <v>1</v>
      </c>
    </row>
    <row r="400" spans="1:3" x14ac:dyDescent="0.35">
      <c r="A400" t="s">
        <v>2403</v>
      </c>
      <c r="C400">
        <v>1</v>
      </c>
    </row>
    <row r="401" spans="1:3" x14ac:dyDescent="0.35">
      <c r="A401" t="s">
        <v>2178</v>
      </c>
      <c r="B401" t="s">
        <v>8</v>
      </c>
      <c r="C401">
        <v>1</v>
      </c>
    </row>
    <row r="402" spans="1:3" x14ac:dyDescent="0.35">
      <c r="A402" t="s">
        <v>2404</v>
      </c>
      <c r="C402">
        <v>1</v>
      </c>
    </row>
    <row r="403" spans="1:3" x14ac:dyDescent="0.35">
      <c r="A403" t="s">
        <v>2179</v>
      </c>
      <c r="B403" t="s">
        <v>8</v>
      </c>
      <c r="C403">
        <v>3</v>
      </c>
    </row>
    <row r="404" spans="1:3" x14ac:dyDescent="0.35">
      <c r="A404" t="s">
        <v>2405</v>
      </c>
      <c r="C404">
        <v>3</v>
      </c>
    </row>
    <row r="405" spans="1:3" x14ac:dyDescent="0.35">
      <c r="A405" t="s">
        <v>2180</v>
      </c>
      <c r="B405" t="s">
        <v>8</v>
      </c>
      <c r="C405">
        <v>1</v>
      </c>
    </row>
    <row r="406" spans="1:3" x14ac:dyDescent="0.35">
      <c r="A406" t="s">
        <v>2406</v>
      </c>
      <c r="C406">
        <v>1</v>
      </c>
    </row>
    <row r="407" spans="1:3" x14ac:dyDescent="0.35">
      <c r="A407" t="s">
        <v>2181</v>
      </c>
      <c r="B407" t="s">
        <v>8</v>
      </c>
      <c r="C407">
        <v>1</v>
      </c>
    </row>
    <row r="408" spans="1:3" x14ac:dyDescent="0.35">
      <c r="A408" t="s">
        <v>2407</v>
      </c>
      <c r="C408">
        <v>1</v>
      </c>
    </row>
    <row r="409" spans="1:3" x14ac:dyDescent="0.35">
      <c r="A409" t="s">
        <v>2182</v>
      </c>
      <c r="B409" t="s">
        <v>8</v>
      </c>
      <c r="C409">
        <v>1</v>
      </c>
    </row>
    <row r="410" spans="1:3" x14ac:dyDescent="0.35">
      <c r="A410" t="s">
        <v>2408</v>
      </c>
      <c r="C410">
        <v>1</v>
      </c>
    </row>
    <row r="411" spans="1:3" x14ac:dyDescent="0.35">
      <c r="A411" t="s">
        <v>2183</v>
      </c>
      <c r="B411" t="s">
        <v>8</v>
      </c>
      <c r="C411">
        <v>1</v>
      </c>
    </row>
    <row r="412" spans="1:3" x14ac:dyDescent="0.35">
      <c r="A412" t="s">
        <v>2409</v>
      </c>
      <c r="C412">
        <v>1</v>
      </c>
    </row>
    <row r="413" spans="1:3" x14ac:dyDescent="0.35">
      <c r="A413" t="s">
        <v>2184</v>
      </c>
      <c r="B413" t="s">
        <v>8</v>
      </c>
      <c r="C413">
        <v>1</v>
      </c>
    </row>
    <row r="414" spans="1:3" x14ac:dyDescent="0.35">
      <c r="A414" t="s">
        <v>2410</v>
      </c>
      <c r="C414">
        <v>1</v>
      </c>
    </row>
    <row r="415" spans="1:3" x14ac:dyDescent="0.35">
      <c r="A415" t="s">
        <v>2185</v>
      </c>
      <c r="B415" t="s">
        <v>8</v>
      </c>
      <c r="C415">
        <v>1</v>
      </c>
    </row>
    <row r="416" spans="1:3" x14ac:dyDescent="0.35">
      <c r="A416" t="s">
        <v>2411</v>
      </c>
      <c r="C416">
        <v>1</v>
      </c>
    </row>
    <row r="417" spans="1:3" x14ac:dyDescent="0.35">
      <c r="A417" t="s">
        <v>2186</v>
      </c>
      <c r="B417" t="s">
        <v>8</v>
      </c>
      <c r="C417">
        <v>1</v>
      </c>
    </row>
    <row r="418" spans="1:3" x14ac:dyDescent="0.35">
      <c r="A418" t="s">
        <v>2412</v>
      </c>
      <c r="C418">
        <v>1</v>
      </c>
    </row>
    <row r="419" spans="1:3" x14ac:dyDescent="0.35">
      <c r="A419" t="s">
        <v>2187</v>
      </c>
      <c r="B419" t="s">
        <v>8</v>
      </c>
      <c r="C419">
        <v>1</v>
      </c>
    </row>
    <row r="420" spans="1:3" x14ac:dyDescent="0.35">
      <c r="A420" t="s">
        <v>2413</v>
      </c>
      <c r="C420">
        <v>1</v>
      </c>
    </row>
    <row r="421" spans="1:3" x14ac:dyDescent="0.35">
      <c r="A421" t="s">
        <v>2188</v>
      </c>
      <c r="B421" t="s">
        <v>8</v>
      </c>
      <c r="C421">
        <v>1</v>
      </c>
    </row>
    <row r="422" spans="1:3" x14ac:dyDescent="0.35">
      <c r="A422" t="s">
        <v>2414</v>
      </c>
      <c r="C422">
        <v>1</v>
      </c>
    </row>
    <row r="423" spans="1:3" x14ac:dyDescent="0.35">
      <c r="A423" t="s">
        <v>2189</v>
      </c>
      <c r="B423" t="s">
        <v>8</v>
      </c>
      <c r="C423">
        <v>1</v>
      </c>
    </row>
    <row r="424" spans="1:3" x14ac:dyDescent="0.35">
      <c r="A424" t="s">
        <v>2415</v>
      </c>
      <c r="C424">
        <v>1</v>
      </c>
    </row>
    <row r="425" spans="1:3" x14ac:dyDescent="0.35">
      <c r="A425" t="s">
        <v>2190</v>
      </c>
      <c r="B425" t="s">
        <v>8</v>
      </c>
      <c r="C425">
        <v>1</v>
      </c>
    </row>
    <row r="426" spans="1:3" x14ac:dyDescent="0.35">
      <c r="A426" t="s">
        <v>2416</v>
      </c>
      <c r="C426">
        <v>1</v>
      </c>
    </row>
    <row r="427" spans="1:3" x14ac:dyDescent="0.35">
      <c r="A427" t="s">
        <v>2191</v>
      </c>
      <c r="B427" t="s">
        <v>8</v>
      </c>
      <c r="C427">
        <v>1</v>
      </c>
    </row>
    <row r="428" spans="1:3" x14ac:dyDescent="0.35">
      <c r="A428" t="s">
        <v>2417</v>
      </c>
      <c r="C428">
        <v>1</v>
      </c>
    </row>
    <row r="429" spans="1:3" x14ac:dyDescent="0.35">
      <c r="A429" t="s">
        <v>2192</v>
      </c>
      <c r="B429" t="s">
        <v>8</v>
      </c>
      <c r="C429">
        <v>9</v>
      </c>
    </row>
    <row r="430" spans="1:3" x14ac:dyDescent="0.35">
      <c r="A430" t="s">
        <v>2418</v>
      </c>
      <c r="C430">
        <v>9</v>
      </c>
    </row>
    <row r="431" spans="1:3" x14ac:dyDescent="0.35">
      <c r="A431" t="s">
        <v>2193</v>
      </c>
      <c r="B431" t="s">
        <v>8</v>
      </c>
      <c r="C431">
        <v>1</v>
      </c>
    </row>
    <row r="432" spans="1:3" x14ac:dyDescent="0.35">
      <c r="A432" t="s">
        <v>2419</v>
      </c>
      <c r="C432">
        <v>1</v>
      </c>
    </row>
    <row r="433" spans="1:3" x14ac:dyDescent="0.35">
      <c r="A433" t="s">
        <v>2194</v>
      </c>
      <c r="B433" t="s">
        <v>8</v>
      </c>
      <c r="C433">
        <v>1</v>
      </c>
    </row>
    <row r="434" spans="1:3" x14ac:dyDescent="0.35">
      <c r="A434" t="s">
        <v>2420</v>
      </c>
      <c r="C434">
        <v>1</v>
      </c>
    </row>
    <row r="435" spans="1:3" x14ac:dyDescent="0.35">
      <c r="A435" t="s">
        <v>2195</v>
      </c>
      <c r="B435" t="s">
        <v>8</v>
      </c>
      <c r="C435">
        <v>1</v>
      </c>
    </row>
    <row r="436" spans="1:3" x14ac:dyDescent="0.35">
      <c r="A436" t="s">
        <v>2421</v>
      </c>
      <c r="C436">
        <v>1</v>
      </c>
    </row>
    <row r="437" spans="1:3" x14ac:dyDescent="0.35">
      <c r="A437" t="s">
        <v>2196</v>
      </c>
      <c r="B437" t="s">
        <v>8</v>
      </c>
      <c r="C437">
        <v>1</v>
      </c>
    </row>
    <row r="438" spans="1:3" x14ac:dyDescent="0.35">
      <c r="A438" t="s">
        <v>2422</v>
      </c>
      <c r="C438">
        <v>1</v>
      </c>
    </row>
    <row r="439" spans="1:3" x14ac:dyDescent="0.35">
      <c r="A439" t="s">
        <v>2197</v>
      </c>
      <c r="B439" t="s">
        <v>8</v>
      </c>
      <c r="C439">
        <v>2</v>
      </c>
    </row>
    <row r="440" spans="1:3" x14ac:dyDescent="0.35">
      <c r="A440" t="s">
        <v>2423</v>
      </c>
      <c r="C440">
        <v>2</v>
      </c>
    </row>
    <row r="441" spans="1:3" x14ac:dyDescent="0.35">
      <c r="A441" t="s">
        <v>2198</v>
      </c>
      <c r="B441" t="s">
        <v>8</v>
      </c>
      <c r="C441">
        <v>2</v>
      </c>
    </row>
    <row r="442" spans="1:3" x14ac:dyDescent="0.35">
      <c r="A442" t="s">
        <v>2424</v>
      </c>
      <c r="C442">
        <v>2</v>
      </c>
    </row>
    <row r="443" spans="1:3" x14ac:dyDescent="0.35">
      <c r="A443" t="s">
        <v>2199</v>
      </c>
      <c r="B443" t="s">
        <v>8</v>
      </c>
      <c r="C443">
        <v>1</v>
      </c>
    </row>
    <row r="444" spans="1:3" x14ac:dyDescent="0.35">
      <c r="A444" t="s">
        <v>2425</v>
      </c>
      <c r="C444">
        <v>1</v>
      </c>
    </row>
    <row r="445" spans="1:3" x14ac:dyDescent="0.35">
      <c r="A445" t="s">
        <v>2200</v>
      </c>
      <c r="B445" t="s">
        <v>8</v>
      </c>
      <c r="C445">
        <v>1</v>
      </c>
    </row>
    <row r="446" spans="1:3" x14ac:dyDescent="0.35">
      <c r="A446" t="s">
        <v>2426</v>
      </c>
      <c r="C446">
        <v>1</v>
      </c>
    </row>
    <row r="447" spans="1:3" x14ac:dyDescent="0.35">
      <c r="A447" t="s">
        <v>2201</v>
      </c>
      <c r="B447" t="s">
        <v>8</v>
      </c>
      <c r="C447">
        <v>5</v>
      </c>
    </row>
    <row r="448" spans="1:3" x14ac:dyDescent="0.35">
      <c r="A448" t="s">
        <v>2427</v>
      </c>
      <c r="C448">
        <v>5</v>
      </c>
    </row>
    <row r="449" spans="1:3" x14ac:dyDescent="0.35">
      <c r="A449" t="s">
        <v>2202</v>
      </c>
      <c r="B449" t="s">
        <v>8</v>
      </c>
      <c r="C449">
        <v>8</v>
      </c>
    </row>
    <row r="450" spans="1:3" x14ac:dyDescent="0.35">
      <c r="A450" t="s">
        <v>2428</v>
      </c>
      <c r="C450">
        <v>8</v>
      </c>
    </row>
    <row r="451" spans="1:3" x14ac:dyDescent="0.35">
      <c r="A451" t="s">
        <v>2203</v>
      </c>
      <c r="B451" t="s">
        <v>8</v>
      </c>
      <c r="C451">
        <v>1</v>
      </c>
    </row>
    <row r="452" spans="1:3" x14ac:dyDescent="0.35">
      <c r="A452" t="s">
        <v>2429</v>
      </c>
      <c r="C452">
        <v>1</v>
      </c>
    </row>
    <row r="453" spans="1:3" x14ac:dyDescent="0.35">
      <c r="A453" t="s">
        <v>2204</v>
      </c>
      <c r="B453" t="s">
        <v>8</v>
      </c>
      <c r="C453">
        <v>2</v>
      </c>
    </row>
    <row r="454" spans="1:3" x14ac:dyDescent="0.35">
      <c r="A454" t="s">
        <v>2430</v>
      </c>
      <c r="C454">
        <v>2</v>
      </c>
    </row>
    <row r="455" spans="1:3" x14ac:dyDescent="0.35">
      <c r="A455" t="s">
        <v>2205</v>
      </c>
      <c r="B455" t="s">
        <v>8</v>
      </c>
      <c r="C455">
        <v>1</v>
      </c>
    </row>
    <row r="456" spans="1:3" x14ac:dyDescent="0.35">
      <c r="A456" t="s">
        <v>2431</v>
      </c>
      <c r="C456">
        <v>1</v>
      </c>
    </row>
    <row r="457" spans="1:3" x14ac:dyDescent="0.35">
      <c r="A457" t="s">
        <v>2206</v>
      </c>
      <c r="B457" t="s">
        <v>8</v>
      </c>
      <c r="C457">
        <v>6</v>
      </c>
    </row>
    <row r="458" spans="1:3" x14ac:dyDescent="0.35">
      <c r="A458" t="s">
        <v>2432</v>
      </c>
      <c r="C458">
        <v>6</v>
      </c>
    </row>
    <row r="459" spans="1:3" x14ac:dyDescent="0.35">
      <c r="A459" t="s">
        <v>2207</v>
      </c>
      <c r="B459" t="s">
        <v>8</v>
      </c>
      <c r="C459">
        <v>4</v>
      </c>
    </row>
    <row r="460" spans="1:3" x14ac:dyDescent="0.35">
      <c r="A460" t="s">
        <v>2433</v>
      </c>
      <c r="C460">
        <v>4</v>
      </c>
    </row>
    <row r="461" spans="1:3" x14ac:dyDescent="0.35">
      <c r="A461" t="s">
        <v>1723</v>
      </c>
      <c r="C461">
        <v>379</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EE8E-1517-4505-8B38-D2B3B3A19029}">
  <dimension ref="A1:C622"/>
  <sheetViews>
    <sheetView workbookViewId="0">
      <selection activeCell="A4" sqref="A4"/>
    </sheetView>
  </sheetViews>
  <sheetFormatPr defaultRowHeight="14.5" x14ac:dyDescent="0.35"/>
  <cols>
    <col min="1" max="1" width="26.90625" customWidth="1"/>
    <col min="2" max="2" width="128.26953125" bestFit="1" customWidth="1"/>
    <col min="3" max="3" width="13" bestFit="1" customWidth="1"/>
  </cols>
  <sheetData>
    <row r="1" spans="1:3" ht="18.5" x14ac:dyDescent="0.45">
      <c r="A1" s="5" t="s">
        <v>1978</v>
      </c>
      <c r="B1" s="5"/>
      <c r="C1" s="5"/>
    </row>
    <row r="3" spans="1:3" x14ac:dyDescent="0.35">
      <c r="C3" t="s">
        <v>1724</v>
      </c>
    </row>
    <row r="4" spans="1:3" x14ac:dyDescent="0.35">
      <c r="A4" t="s">
        <v>20</v>
      </c>
      <c r="C4">
        <v>1</v>
      </c>
    </row>
    <row r="5" spans="1:3" x14ac:dyDescent="0.35">
      <c r="A5" t="s">
        <v>502</v>
      </c>
      <c r="B5" t="s">
        <v>501</v>
      </c>
      <c r="C5">
        <v>1</v>
      </c>
    </row>
    <row r="6" spans="1:3" x14ac:dyDescent="0.35">
      <c r="B6" t="s">
        <v>539</v>
      </c>
      <c r="C6">
        <v>1</v>
      </c>
    </row>
    <row r="7" spans="1:3" x14ac:dyDescent="0.35">
      <c r="A7" t="s">
        <v>1727</v>
      </c>
      <c r="C7">
        <v>2</v>
      </c>
    </row>
    <row r="8" spans="1:3" x14ac:dyDescent="0.35">
      <c r="A8" t="s">
        <v>43</v>
      </c>
      <c r="B8" t="s">
        <v>42</v>
      </c>
      <c r="C8">
        <v>1</v>
      </c>
    </row>
    <row r="9" spans="1:3" x14ac:dyDescent="0.35">
      <c r="A9" t="s">
        <v>1728</v>
      </c>
      <c r="C9">
        <v>1</v>
      </c>
    </row>
    <row r="10" spans="1:3" x14ac:dyDescent="0.35">
      <c r="A10" t="s">
        <v>552</v>
      </c>
      <c r="B10" t="s">
        <v>551</v>
      </c>
      <c r="C10">
        <v>1</v>
      </c>
    </row>
    <row r="11" spans="1:3" x14ac:dyDescent="0.35">
      <c r="A11" t="s">
        <v>1729</v>
      </c>
      <c r="C11">
        <v>1</v>
      </c>
    </row>
    <row r="12" spans="1:3" x14ac:dyDescent="0.35">
      <c r="A12" t="s">
        <v>199</v>
      </c>
      <c r="B12" t="s">
        <v>198</v>
      </c>
      <c r="C12">
        <v>1</v>
      </c>
    </row>
    <row r="13" spans="1:3" x14ac:dyDescent="0.35">
      <c r="A13" t="s">
        <v>1730</v>
      </c>
      <c r="C13">
        <v>1</v>
      </c>
    </row>
    <row r="14" spans="1:3" x14ac:dyDescent="0.35">
      <c r="A14" t="s">
        <v>220</v>
      </c>
      <c r="B14" t="s">
        <v>219</v>
      </c>
      <c r="C14">
        <v>1</v>
      </c>
    </row>
    <row r="15" spans="1:3" x14ac:dyDescent="0.35">
      <c r="A15" t="s">
        <v>1731</v>
      </c>
      <c r="C15">
        <v>1</v>
      </c>
    </row>
    <row r="16" spans="1:3" x14ac:dyDescent="0.35">
      <c r="A16" t="s">
        <v>203</v>
      </c>
      <c r="B16" t="s">
        <v>202</v>
      </c>
      <c r="C16">
        <v>1</v>
      </c>
    </row>
    <row r="17" spans="1:3" x14ac:dyDescent="0.35">
      <c r="A17" t="s">
        <v>1732</v>
      </c>
      <c r="C17">
        <v>1</v>
      </c>
    </row>
    <row r="18" spans="1:3" x14ac:dyDescent="0.35">
      <c r="A18" t="s">
        <v>413</v>
      </c>
      <c r="B18" t="s">
        <v>412</v>
      </c>
      <c r="C18">
        <v>1</v>
      </c>
    </row>
    <row r="19" spans="1:3" x14ac:dyDescent="0.35">
      <c r="A19" t="s">
        <v>1733</v>
      </c>
      <c r="C19">
        <v>1</v>
      </c>
    </row>
    <row r="20" spans="1:3" x14ac:dyDescent="0.35">
      <c r="A20" t="s">
        <v>333</v>
      </c>
      <c r="B20" t="s">
        <v>332</v>
      </c>
      <c r="C20">
        <v>1</v>
      </c>
    </row>
    <row r="21" spans="1:3" x14ac:dyDescent="0.35">
      <c r="A21" t="s">
        <v>1734</v>
      </c>
      <c r="C21">
        <v>1</v>
      </c>
    </row>
    <row r="22" spans="1:3" x14ac:dyDescent="0.35">
      <c r="A22" t="s">
        <v>144</v>
      </c>
      <c r="B22" t="s">
        <v>143</v>
      </c>
      <c r="C22">
        <v>1</v>
      </c>
    </row>
    <row r="23" spans="1:3" x14ac:dyDescent="0.35">
      <c r="A23" t="s">
        <v>1735</v>
      </c>
      <c r="C23">
        <v>1</v>
      </c>
    </row>
    <row r="24" spans="1:3" x14ac:dyDescent="0.35">
      <c r="A24" t="s">
        <v>315</v>
      </c>
      <c r="B24" t="s">
        <v>314</v>
      </c>
      <c r="C24">
        <v>1</v>
      </c>
    </row>
    <row r="25" spans="1:3" x14ac:dyDescent="0.35">
      <c r="A25" t="s">
        <v>1736</v>
      </c>
      <c r="C25">
        <v>1</v>
      </c>
    </row>
    <row r="26" spans="1:3" x14ac:dyDescent="0.35">
      <c r="A26" t="s">
        <v>231</v>
      </c>
      <c r="B26" t="s">
        <v>230</v>
      </c>
      <c r="C26">
        <v>1</v>
      </c>
    </row>
    <row r="27" spans="1:3" x14ac:dyDescent="0.35">
      <c r="A27" t="s">
        <v>1737</v>
      </c>
      <c r="C27">
        <v>1</v>
      </c>
    </row>
    <row r="28" spans="1:3" x14ac:dyDescent="0.35">
      <c r="A28" t="s">
        <v>52</v>
      </c>
      <c r="B28" t="s">
        <v>51</v>
      </c>
      <c r="C28">
        <v>1</v>
      </c>
    </row>
    <row r="29" spans="1:3" x14ac:dyDescent="0.35">
      <c r="A29" t="s">
        <v>1738</v>
      </c>
      <c r="C29">
        <v>1</v>
      </c>
    </row>
    <row r="30" spans="1:3" x14ac:dyDescent="0.35">
      <c r="A30" t="s">
        <v>377</v>
      </c>
      <c r="B30" t="s">
        <v>376</v>
      </c>
      <c r="C30">
        <v>1</v>
      </c>
    </row>
    <row r="31" spans="1:3" x14ac:dyDescent="0.35">
      <c r="B31" t="s">
        <v>379</v>
      </c>
      <c r="C31">
        <v>1</v>
      </c>
    </row>
    <row r="32" spans="1:3" x14ac:dyDescent="0.35">
      <c r="A32" t="s">
        <v>1739</v>
      </c>
      <c r="C32">
        <v>2</v>
      </c>
    </row>
    <row r="33" spans="1:3" x14ac:dyDescent="0.35">
      <c r="A33" t="s">
        <v>275</v>
      </c>
      <c r="B33" t="s">
        <v>274</v>
      </c>
      <c r="C33">
        <v>1</v>
      </c>
    </row>
    <row r="34" spans="1:3" x14ac:dyDescent="0.35">
      <c r="B34" t="s">
        <v>342</v>
      </c>
      <c r="C34">
        <v>1</v>
      </c>
    </row>
    <row r="35" spans="1:3" x14ac:dyDescent="0.35">
      <c r="A35" t="s">
        <v>1740</v>
      </c>
      <c r="C35">
        <v>2</v>
      </c>
    </row>
    <row r="36" spans="1:3" x14ac:dyDescent="0.35">
      <c r="A36" t="s">
        <v>251</v>
      </c>
      <c r="B36" t="s">
        <v>250</v>
      </c>
      <c r="C36">
        <v>1</v>
      </c>
    </row>
    <row r="37" spans="1:3" x14ac:dyDescent="0.35">
      <c r="A37" t="s">
        <v>1741</v>
      </c>
      <c r="C37">
        <v>1</v>
      </c>
    </row>
    <row r="38" spans="1:3" x14ac:dyDescent="0.35">
      <c r="A38" t="s">
        <v>385</v>
      </c>
      <c r="B38" t="s">
        <v>536</v>
      </c>
      <c r="C38">
        <v>1</v>
      </c>
    </row>
    <row r="39" spans="1:3" x14ac:dyDescent="0.35">
      <c r="B39" t="s">
        <v>384</v>
      </c>
      <c r="C39">
        <v>1</v>
      </c>
    </row>
    <row r="40" spans="1:3" x14ac:dyDescent="0.35">
      <c r="B40" t="s">
        <v>387</v>
      </c>
      <c r="C40">
        <v>1</v>
      </c>
    </row>
    <row r="41" spans="1:3" x14ac:dyDescent="0.35">
      <c r="A41" t="s">
        <v>1742</v>
      </c>
      <c r="C41">
        <v>3</v>
      </c>
    </row>
    <row r="42" spans="1:3" x14ac:dyDescent="0.35">
      <c r="A42" t="s">
        <v>718</v>
      </c>
      <c r="B42" t="s">
        <v>717</v>
      </c>
      <c r="C42">
        <v>1</v>
      </c>
    </row>
    <row r="43" spans="1:3" x14ac:dyDescent="0.35">
      <c r="A43" t="s">
        <v>1743</v>
      </c>
      <c r="C43">
        <v>1</v>
      </c>
    </row>
    <row r="44" spans="1:3" x14ac:dyDescent="0.35">
      <c r="A44" t="s">
        <v>825</v>
      </c>
      <c r="B44" t="s">
        <v>824</v>
      </c>
      <c r="C44">
        <v>1</v>
      </c>
    </row>
    <row r="45" spans="1:3" x14ac:dyDescent="0.35">
      <c r="A45" t="s">
        <v>1744</v>
      </c>
      <c r="C45">
        <v>1</v>
      </c>
    </row>
    <row r="46" spans="1:3" x14ac:dyDescent="0.35">
      <c r="A46" t="s">
        <v>493</v>
      </c>
      <c r="B46" t="s">
        <v>492</v>
      </c>
      <c r="C46">
        <v>1</v>
      </c>
    </row>
    <row r="47" spans="1:3" x14ac:dyDescent="0.35">
      <c r="A47" t="s">
        <v>1745</v>
      </c>
      <c r="C47">
        <v>1</v>
      </c>
    </row>
    <row r="48" spans="1:3" x14ac:dyDescent="0.35">
      <c r="A48" t="s">
        <v>400</v>
      </c>
      <c r="B48" t="s">
        <v>399</v>
      </c>
      <c r="C48">
        <v>1</v>
      </c>
    </row>
    <row r="49" spans="1:3" x14ac:dyDescent="0.35">
      <c r="B49" t="s">
        <v>446</v>
      </c>
      <c r="C49">
        <v>1</v>
      </c>
    </row>
    <row r="50" spans="1:3" x14ac:dyDescent="0.35">
      <c r="A50" t="s">
        <v>1746</v>
      </c>
      <c r="C50">
        <v>2</v>
      </c>
    </row>
    <row r="51" spans="1:3" x14ac:dyDescent="0.35">
      <c r="A51" t="s">
        <v>95</v>
      </c>
      <c r="B51" t="s">
        <v>94</v>
      </c>
      <c r="C51">
        <v>1</v>
      </c>
    </row>
    <row r="52" spans="1:3" x14ac:dyDescent="0.35">
      <c r="A52" t="s">
        <v>1747</v>
      </c>
      <c r="C52">
        <v>1</v>
      </c>
    </row>
    <row r="53" spans="1:3" x14ac:dyDescent="0.35">
      <c r="A53" t="s">
        <v>569</v>
      </c>
      <c r="B53" t="s">
        <v>568</v>
      </c>
      <c r="C53">
        <v>1</v>
      </c>
    </row>
    <row r="54" spans="1:3" x14ac:dyDescent="0.35">
      <c r="A54" t="s">
        <v>1748</v>
      </c>
      <c r="C54">
        <v>1</v>
      </c>
    </row>
    <row r="55" spans="1:3" x14ac:dyDescent="0.35">
      <c r="A55" t="s">
        <v>279</v>
      </c>
      <c r="B55" t="s">
        <v>278</v>
      </c>
      <c r="C55">
        <v>1</v>
      </c>
    </row>
    <row r="56" spans="1:3" x14ac:dyDescent="0.35">
      <c r="A56" t="s">
        <v>1749</v>
      </c>
      <c r="C56">
        <v>1</v>
      </c>
    </row>
    <row r="57" spans="1:3" x14ac:dyDescent="0.35">
      <c r="A57" t="s">
        <v>451</v>
      </c>
      <c r="B57" t="s">
        <v>450</v>
      </c>
      <c r="C57">
        <v>1</v>
      </c>
    </row>
    <row r="58" spans="1:3" x14ac:dyDescent="0.35">
      <c r="A58" t="s">
        <v>1750</v>
      </c>
      <c r="C58">
        <v>1</v>
      </c>
    </row>
    <row r="59" spans="1:3" x14ac:dyDescent="0.35">
      <c r="A59" t="s">
        <v>441</v>
      </c>
      <c r="B59" t="s">
        <v>440</v>
      </c>
      <c r="C59">
        <v>1</v>
      </c>
    </row>
    <row r="60" spans="1:3" x14ac:dyDescent="0.35">
      <c r="A60" t="s">
        <v>1751</v>
      </c>
      <c r="C60">
        <v>1</v>
      </c>
    </row>
    <row r="61" spans="1:3" x14ac:dyDescent="0.35">
      <c r="A61" t="s">
        <v>521</v>
      </c>
      <c r="B61" t="s">
        <v>520</v>
      </c>
      <c r="C61">
        <v>1</v>
      </c>
    </row>
    <row r="62" spans="1:3" x14ac:dyDescent="0.35">
      <c r="A62" t="s">
        <v>1752</v>
      </c>
      <c r="C62">
        <v>1</v>
      </c>
    </row>
    <row r="63" spans="1:3" x14ac:dyDescent="0.35">
      <c r="A63" t="s">
        <v>726</v>
      </c>
      <c r="B63" t="s">
        <v>725</v>
      </c>
      <c r="C63">
        <v>1</v>
      </c>
    </row>
    <row r="64" spans="1:3" x14ac:dyDescent="0.35">
      <c r="A64" t="s">
        <v>1753</v>
      </c>
      <c r="C64">
        <v>1</v>
      </c>
    </row>
    <row r="65" spans="1:3" x14ac:dyDescent="0.35">
      <c r="A65" t="s">
        <v>497</v>
      </c>
      <c r="B65" t="s">
        <v>496</v>
      </c>
      <c r="C65">
        <v>1</v>
      </c>
    </row>
    <row r="66" spans="1:3" x14ac:dyDescent="0.35">
      <c r="B66" t="s">
        <v>622</v>
      </c>
      <c r="C66">
        <v>1</v>
      </c>
    </row>
    <row r="67" spans="1:3" x14ac:dyDescent="0.35">
      <c r="A67" t="s">
        <v>1754</v>
      </c>
      <c r="C67">
        <v>2</v>
      </c>
    </row>
    <row r="68" spans="1:3" x14ac:dyDescent="0.35">
      <c r="A68" t="s">
        <v>840</v>
      </c>
      <c r="B68" t="s">
        <v>839</v>
      </c>
      <c r="C68">
        <v>1</v>
      </c>
    </row>
    <row r="69" spans="1:3" x14ac:dyDescent="0.35">
      <c r="A69" t="s">
        <v>1755</v>
      </c>
      <c r="C69">
        <v>1</v>
      </c>
    </row>
    <row r="70" spans="1:3" x14ac:dyDescent="0.35">
      <c r="A70" t="s">
        <v>899</v>
      </c>
      <c r="B70" t="s">
        <v>898</v>
      </c>
      <c r="C70">
        <v>1</v>
      </c>
    </row>
    <row r="71" spans="1:3" x14ac:dyDescent="0.35">
      <c r="A71" t="s">
        <v>1756</v>
      </c>
      <c r="C71">
        <v>1</v>
      </c>
    </row>
    <row r="72" spans="1:3" x14ac:dyDescent="0.35">
      <c r="A72" t="s">
        <v>425</v>
      </c>
      <c r="B72" t="s">
        <v>647</v>
      </c>
      <c r="C72">
        <v>1</v>
      </c>
    </row>
    <row r="73" spans="1:3" x14ac:dyDescent="0.35">
      <c r="B73" t="s">
        <v>614</v>
      </c>
      <c r="C73">
        <v>1</v>
      </c>
    </row>
    <row r="74" spans="1:3" x14ac:dyDescent="0.35">
      <c r="B74" t="s">
        <v>424</v>
      </c>
      <c r="C74">
        <v>1</v>
      </c>
    </row>
    <row r="75" spans="1:3" x14ac:dyDescent="0.35">
      <c r="A75" t="s">
        <v>1757</v>
      </c>
      <c r="C75">
        <v>3</v>
      </c>
    </row>
    <row r="76" spans="1:3" x14ac:dyDescent="0.35">
      <c r="A76" t="s">
        <v>610</v>
      </c>
      <c r="B76" t="s">
        <v>609</v>
      </c>
      <c r="C76">
        <v>1</v>
      </c>
    </row>
    <row r="77" spans="1:3" x14ac:dyDescent="0.35">
      <c r="A77" t="s">
        <v>1758</v>
      </c>
      <c r="C77">
        <v>1</v>
      </c>
    </row>
    <row r="78" spans="1:3" x14ac:dyDescent="0.35">
      <c r="A78" t="s">
        <v>578</v>
      </c>
      <c r="B78" t="s">
        <v>577</v>
      </c>
      <c r="C78">
        <v>1</v>
      </c>
    </row>
    <row r="79" spans="1:3" x14ac:dyDescent="0.35">
      <c r="A79" t="s">
        <v>1759</v>
      </c>
      <c r="C79">
        <v>1</v>
      </c>
    </row>
    <row r="80" spans="1:3" x14ac:dyDescent="0.35">
      <c r="A80" t="s">
        <v>662</v>
      </c>
      <c r="B80" t="s">
        <v>661</v>
      </c>
      <c r="C80">
        <v>1</v>
      </c>
    </row>
    <row r="81" spans="1:3" x14ac:dyDescent="0.35">
      <c r="A81" t="s">
        <v>1760</v>
      </c>
      <c r="C81">
        <v>1</v>
      </c>
    </row>
    <row r="82" spans="1:3" x14ac:dyDescent="0.35">
      <c r="A82" t="s">
        <v>642</v>
      </c>
      <c r="B82" t="s">
        <v>641</v>
      </c>
      <c r="C82">
        <v>1</v>
      </c>
    </row>
    <row r="83" spans="1:3" x14ac:dyDescent="0.35">
      <c r="A83" t="s">
        <v>1761</v>
      </c>
      <c r="C83">
        <v>1</v>
      </c>
    </row>
    <row r="84" spans="1:3" x14ac:dyDescent="0.35">
      <c r="A84" t="s">
        <v>761</v>
      </c>
      <c r="B84" t="s">
        <v>760</v>
      </c>
      <c r="C84">
        <v>1</v>
      </c>
    </row>
    <row r="85" spans="1:3" x14ac:dyDescent="0.35">
      <c r="A85" t="s">
        <v>1762</v>
      </c>
      <c r="C85">
        <v>1</v>
      </c>
    </row>
    <row r="86" spans="1:3" x14ac:dyDescent="0.35">
      <c r="A86" t="s">
        <v>697</v>
      </c>
      <c r="B86" t="s">
        <v>696</v>
      </c>
      <c r="C86">
        <v>1</v>
      </c>
    </row>
    <row r="87" spans="1:3" x14ac:dyDescent="0.35">
      <c r="A87" t="s">
        <v>1763</v>
      </c>
      <c r="C87">
        <v>1</v>
      </c>
    </row>
    <row r="88" spans="1:3" x14ac:dyDescent="0.35">
      <c r="A88" t="s">
        <v>814</v>
      </c>
      <c r="B88" t="s">
        <v>813</v>
      </c>
      <c r="C88">
        <v>1</v>
      </c>
    </row>
    <row r="89" spans="1:3" x14ac:dyDescent="0.35">
      <c r="A89" t="s">
        <v>1764</v>
      </c>
      <c r="C89">
        <v>1</v>
      </c>
    </row>
    <row r="90" spans="1:3" x14ac:dyDescent="0.35">
      <c r="A90" t="s">
        <v>910</v>
      </c>
      <c r="B90" t="s">
        <v>909</v>
      </c>
      <c r="C90">
        <v>1</v>
      </c>
    </row>
    <row r="91" spans="1:3" x14ac:dyDescent="0.35">
      <c r="B91" t="s">
        <v>912</v>
      </c>
      <c r="C91">
        <v>1</v>
      </c>
    </row>
    <row r="92" spans="1:3" x14ac:dyDescent="0.35">
      <c r="A92" t="s">
        <v>1765</v>
      </c>
      <c r="C92">
        <v>2</v>
      </c>
    </row>
    <row r="93" spans="1:3" x14ac:dyDescent="0.35">
      <c r="A93" t="s">
        <v>767</v>
      </c>
      <c r="B93" t="s">
        <v>766</v>
      </c>
      <c r="C93">
        <v>1</v>
      </c>
    </row>
    <row r="94" spans="1:3" x14ac:dyDescent="0.35">
      <c r="A94" t="s">
        <v>1766</v>
      </c>
      <c r="C94">
        <v>1</v>
      </c>
    </row>
    <row r="95" spans="1:3" x14ac:dyDescent="0.35">
      <c r="A95" t="s">
        <v>783</v>
      </c>
      <c r="B95" t="s">
        <v>782</v>
      </c>
      <c r="C95">
        <v>1</v>
      </c>
    </row>
    <row r="96" spans="1:3" x14ac:dyDescent="0.35">
      <c r="A96" t="s">
        <v>1767</v>
      </c>
      <c r="C96">
        <v>1</v>
      </c>
    </row>
    <row r="97" spans="1:3" x14ac:dyDescent="0.35">
      <c r="A97" t="s">
        <v>922</v>
      </c>
      <c r="B97" t="s">
        <v>921</v>
      </c>
      <c r="C97">
        <v>1</v>
      </c>
    </row>
    <row r="98" spans="1:3" x14ac:dyDescent="0.35">
      <c r="A98" t="s">
        <v>1768</v>
      </c>
      <c r="C98">
        <v>1</v>
      </c>
    </row>
    <row r="99" spans="1:3" x14ac:dyDescent="0.35">
      <c r="A99" t="s">
        <v>870</v>
      </c>
      <c r="B99" t="s">
        <v>869</v>
      </c>
      <c r="C99">
        <v>1</v>
      </c>
    </row>
    <row r="100" spans="1:3" x14ac:dyDescent="0.35">
      <c r="B100" t="s">
        <v>873</v>
      </c>
      <c r="C100">
        <v>1</v>
      </c>
    </row>
    <row r="101" spans="1:3" x14ac:dyDescent="0.35">
      <c r="A101" t="s">
        <v>1769</v>
      </c>
      <c r="C101">
        <v>2</v>
      </c>
    </row>
    <row r="102" spans="1:3" x14ac:dyDescent="0.35">
      <c r="A102" t="s">
        <v>956</v>
      </c>
      <c r="B102" t="s">
        <v>955</v>
      </c>
      <c r="C102">
        <v>1</v>
      </c>
    </row>
    <row r="103" spans="1:3" x14ac:dyDescent="0.35">
      <c r="A103" t="s">
        <v>1770</v>
      </c>
      <c r="C103">
        <v>1</v>
      </c>
    </row>
    <row r="104" spans="1:3" x14ac:dyDescent="0.35">
      <c r="A104" t="s">
        <v>1027</v>
      </c>
      <c r="B104" t="s">
        <v>1026</v>
      </c>
      <c r="C104">
        <v>1</v>
      </c>
    </row>
    <row r="105" spans="1:3" x14ac:dyDescent="0.35">
      <c r="A105" t="s">
        <v>1771</v>
      </c>
      <c r="C105">
        <v>1</v>
      </c>
    </row>
    <row r="106" spans="1:3" x14ac:dyDescent="0.35">
      <c r="A106" t="s">
        <v>556</v>
      </c>
      <c r="B106" t="s">
        <v>555</v>
      </c>
      <c r="C106">
        <v>1</v>
      </c>
    </row>
    <row r="107" spans="1:3" x14ac:dyDescent="0.35">
      <c r="A107" t="s">
        <v>1772</v>
      </c>
      <c r="C107">
        <v>1</v>
      </c>
    </row>
    <row r="108" spans="1:3" x14ac:dyDescent="0.35">
      <c r="A108" t="s">
        <v>212</v>
      </c>
      <c r="B108" t="s">
        <v>349</v>
      </c>
      <c r="C108">
        <v>1</v>
      </c>
    </row>
    <row r="109" spans="1:3" x14ac:dyDescent="0.35">
      <c r="B109" t="s">
        <v>238</v>
      </c>
      <c r="C109">
        <v>1</v>
      </c>
    </row>
    <row r="110" spans="1:3" x14ac:dyDescent="0.35">
      <c r="B110" t="s">
        <v>323</v>
      </c>
      <c r="C110">
        <v>1</v>
      </c>
    </row>
    <row r="111" spans="1:3" x14ac:dyDescent="0.35">
      <c r="B111" t="s">
        <v>211</v>
      </c>
      <c r="C111">
        <v>1</v>
      </c>
    </row>
    <row r="112" spans="1:3" x14ac:dyDescent="0.35">
      <c r="B112" t="s">
        <v>270</v>
      </c>
      <c r="C112">
        <v>1</v>
      </c>
    </row>
    <row r="113" spans="1:3" x14ac:dyDescent="0.35">
      <c r="A113" t="s">
        <v>1773</v>
      </c>
      <c r="C113">
        <v>5</v>
      </c>
    </row>
    <row r="114" spans="1:3" x14ac:dyDescent="0.35">
      <c r="A114" t="s">
        <v>1045</v>
      </c>
      <c r="B114" t="s">
        <v>1044</v>
      </c>
      <c r="C114">
        <v>1</v>
      </c>
    </row>
    <row r="115" spans="1:3" x14ac:dyDescent="0.35">
      <c r="A115" t="s">
        <v>1774</v>
      </c>
      <c r="C115">
        <v>1</v>
      </c>
    </row>
    <row r="116" spans="1:3" x14ac:dyDescent="0.35">
      <c r="A116" t="s">
        <v>860</v>
      </c>
      <c r="B116" t="s">
        <v>859</v>
      </c>
      <c r="C116">
        <v>1</v>
      </c>
    </row>
    <row r="117" spans="1:3" x14ac:dyDescent="0.35">
      <c r="A117" t="s">
        <v>1775</v>
      </c>
      <c r="C117">
        <v>1</v>
      </c>
    </row>
    <row r="118" spans="1:3" x14ac:dyDescent="0.35">
      <c r="A118" t="s">
        <v>1036</v>
      </c>
      <c r="B118" t="s">
        <v>1035</v>
      </c>
      <c r="C118">
        <v>1</v>
      </c>
    </row>
    <row r="119" spans="1:3" x14ac:dyDescent="0.35">
      <c r="A119" t="s">
        <v>1776</v>
      </c>
      <c r="C119">
        <v>1</v>
      </c>
    </row>
    <row r="120" spans="1:3" x14ac:dyDescent="0.35">
      <c r="A120" t="s">
        <v>1167</v>
      </c>
      <c r="B120" t="s">
        <v>1166</v>
      </c>
      <c r="C120">
        <v>1</v>
      </c>
    </row>
    <row r="121" spans="1:3" x14ac:dyDescent="0.35">
      <c r="A121" t="s">
        <v>1777</v>
      </c>
      <c r="C121">
        <v>1</v>
      </c>
    </row>
    <row r="122" spans="1:3" x14ac:dyDescent="0.35">
      <c r="A122" t="s">
        <v>1060</v>
      </c>
      <c r="B122" t="s">
        <v>1059</v>
      </c>
      <c r="C122">
        <v>1</v>
      </c>
    </row>
    <row r="123" spans="1:3" x14ac:dyDescent="0.35">
      <c r="A123" t="s">
        <v>1778</v>
      </c>
      <c r="C123">
        <v>1</v>
      </c>
    </row>
    <row r="124" spans="1:3" x14ac:dyDescent="0.35">
      <c r="A124" t="s">
        <v>15</v>
      </c>
      <c r="B124" t="s">
        <v>14</v>
      </c>
      <c r="C124">
        <v>1</v>
      </c>
    </row>
    <row r="125" spans="1:3" x14ac:dyDescent="0.35">
      <c r="A125" t="s">
        <v>1779</v>
      </c>
      <c r="C125">
        <v>1</v>
      </c>
    </row>
    <row r="126" spans="1:3" x14ac:dyDescent="0.35">
      <c r="A126" t="s">
        <v>1341</v>
      </c>
      <c r="B126" t="s">
        <v>1340</v>
      </c>
      <c r="C126">
        <v>1</v>
      </c>
    </row>
    <row r="127" spans="1:3" x14ac:dyDescent="0.35">
      <c r="B127" t="s">
        <v>1350</v>
      </c>
      <c r="C127">
        <v>1</v>
      </c>
    </row>
    <row r="128" spans="1:3" x14ac:dyDescent="0.35">
      <c r="B128" t="s">
        <v>1353</v>
      </c>
      <c r="C128">
        <v>1</v>
      </c>
    </row>
    <row r="129" spans="1:3" x14ac:dyDescent="0.35">
      <c r="A129" t="s">
        <v>1780</v>
      </c>
      <c r="C129">
        <v>3</v>
      </c>
    </row>
    <row r="130" spans="1:3" x14ac:dyDescent="0.35">
      <c r="A130" t="s">
        <v>1160</v>
      </c>
      <c r="B130" t="s">
        <v>1159</v>
      </c>
      <c r="C130">
        <v>1</v>
      </c>
    </row>
    <row r="131" spans="1:3" x14ac:dyDescent="0.35">
      <c r="A131" t="s">
        <v>1781</v>
      </c>
      <c r="C131">
        <v>1</v>
      </c>
    </row>
    <row r="132" spans="1:3" x14ac:dyDescent="0.35">
      <c r="A132" t="s">
        <v>1358</v>
      </c>
      <c r="B132" t="s">
        <v>1357</v>
      </c>
      <c r="C132">
        <v>1</v>
      </c>
    </row>
    <row r="133" spans="1:3" x14ac:dyDescent="0.35">
      <c r="A133" t="s">
        <v>1782</v>
      </c>
      <c r="C133">
        <v>1</v>
      </c>
    </row>
    <row r="134" spans="1:3" x14ac:dyDescent="0.35">
      <c r="A134" t="s">
        <v>1197</v>
      </c>
      <c r="B134" t="s">
        <v>1196</v>
      </c>
      <c r="C134">
        <v>1</v>
      </c>
    </row>
    <row r="135" spans="1:3" x14ac:dyDescent="0.35">
      <c r="A135" t="s">
        <v>1783</v>
      </c>
      <c r="C135">
        <v>1</v>
      </c>
    </row>
    <row r="136" spans="1:3" x14ac:dyDescent="0.35">
      <c r="A136" t="s">
        <v>967</v>
      </c>
      <c r="B136" t="s">
        <v>966</v>
      </c>
      <c r="C136">
        <v>1</v>
      </c>
    </row>
    <row r="137" spans="1:3" x14ac:dyDescent="0.35">
      <c r="A137" t="s">
        <v>1784</v>
      </c>
      <c r="C137">
        <v>1</v>
      </c>
    </row>
    <row r="138" spans="1:3" x14ac:dyDescent="0.35">
      <c r="A138" t="s">
        <v>1362</v>
      </c>
      <c r="B138" t="s">
        <v>1361</v>
      </c>
      <c r="C138">
        <v>1</v>
      </c>
    </row>
    <row r="139" spans="1:3" x14ac:dyDescent="0.35">
      <c r="A139" t="s">
        <v>1785</v>
      </c>
      <c r="C139">
        <v>1</v>
      </c>
    </row>
    <row r="140" spans="1:3" x14ac:dyDescent="0.35">
      <c r="A140" t="s">
        <v>1192</v>
      </c>
      <c r="B140" t="s">
        <v>1191</v>
      </c>
      <c r="C140">
        <v>1</v>
      </c>
    </row>
    <row r="141" spans="1:3" x14ac:dyDescent="0.35">
      <c r="A141" t="s">
        <v>1786</v>
      </c>
      <c r="C141">
        <v>1</v>
      </c>
    </row>
    <row r="142" spans="1:3" x14ac:dyDescent="0.35">
      <c r="A142" t="s">
        <v>1409</v>
      </c>
      <c r="B142" t="s">
        <v>1408</v>
      </c>
      <c r="C142">
        <v>1</v>
      </c>
    </row>
    <row r="143" spans="1:3" x14ac:dyDescent="0.35">
      <c r="A143" t="s">
        <v>1787</v>
      </c>
      <c r="C143">
        <v>1</v>
      </c>
    </row>
    <row r="144" spans="1:3" x14ac:dyDescent="0.35">
      <c r="A144" t="s">
        <v>1214</v>
      </c>
      <c r="B144" t="s">
        <v>1213</v>
      </c>
      <c r="C144">
        <v>1</v>
      </c>
    </row>
    <row r="145" spans="1:3" x14ac:dyDescent="0.35">
      <c r="A145" t="s">
        <v>1788</v>
      </c>
      <c r="C145">
        <v>1</v>
      </c>
    </row>
    <row r="146" spans="1:3" x14ac:dyDescent="0.35">
      <c r="A146" t="s">
        <v>1102</v>
      </c>
      <c r="B146" t="s">
        <v>1101</v>
      </c>
      <c r="C146">
        <v>1</v>
      </c>
    </row>
    <row r="147" spans="1:3" x14ac:dyDescent="0.35">
      <c r="A147" t="s">
        <v>1789</v>
      </c>
      <c r="C147">
        <v>1</v>
      </c>
    </row>
    <row r="148" spans="1:3" x14ac:dyDescent="0.35">
      <c r="A148" t="s">
        <v>1207</v>
      </c>
      <c r="B148" t="s">
        <v>1206</v>
      </c>
      <c r="C148">
        <v>1</v>
      </c>
    </row>
    <row r="149" spans="1:3" x14ac:dyDescent="0.35">
      <c r="A149" t="s">
        <v>1790</v>
      </c>
      <c r="C149">
        <v>1</v>
      </c>
    </row>
    <row r="150" spans="1:3" x14ac:dyDescent="0.35">
      <c r="A150" t="s">
        <v>1261</v>
      </c>
      <c r="B150" t="s">
        <v>1260</v>
      </c>
      <c r="C150">
        <v>1</v>
      </c>
    </row>
    <row r="151" spans="1:3" x14ac:dyDescent="0.35">
      <c r="A151" t="s">
        <v>1791</v>
      </c>
      <c r="C151">
        <v>1</v>
      </c>
    </row>
    <row r="152" spans="1:3" x14ac:dyDescent="0.35">
      <c r="A152" t="s">
        <v>1278</v>
      </c>
      <c r="B152" t="s">
        <v>1277</v>
      </c>
      <c r="C152">
        <v>1</v>
      </c>
    </row>
    <row r="153" spans="1:3" x14ac:dyDescent="0.35">
      <c r="A153" t="s">
        <v>1792</v>
      </c>
      <c r="C153">
        <v>1</v>
      </c>
    </row>
    <row r="154" spans="1:3" x14ac:dyDescent="0.35">
      <c r="A154" t="s">
        <v>846</v>
      </c>
      <c r="B154" t="s">
        <v>845</v>
      </c>
      <c r="C154">
        <v>4</v>
      </c>
    </row>
    <row r="155" spans="1:3" x14ac:dyDescent="0.35">
      <c r="B155" t="s">
        <v>854</v>
      </c>
      <c r="C155">
        <v>1</v>
      </c>
    </row>
    <row r="156" spans="1:3" x14ac:dyDescent="0.35">
      <c r="B156" t="s">
        <v>849</v>
      </c>
      <c r="C156">
        <v>1</v>
      </c>
    </row>
    <row r="157" spans="1:3" x14ac:dyDescent="0.35">
      <c r="A157" t="s">
        <v>1793</v>
      </c>
      <c r="C157">
        <v>6</v>
      </c>
    </row>
    <row r="158" spans="1:3" x14ac:dyDescent="0.35">
      <c r="A158" t="s">
        <v>1297</v>
      </c>
      <c r="B158" t="s">
        <v>1296</v>
      </c>
      <c r="C158">
        <v>1</v>
      </c>
    </row>
    <row r="159" spans="1:3" x14ac:dyDescent="0.35">
      <c r="A159" t="s">
        <v>1794</v>
      </c>
      <c r="C159">
        <v>1</v>
      </c>
    </row>
    <row r="160" spans="1:3" x14ac:dyDescent="0.35">
      <c r="A160" t="s">
        <v>1368</v>
      </c>
      <c r="B160" t="s">
        <v>1367</v>
      </c>
      <c r="C160">
        <v>1</v>
      </c>
    </row>
    <row r="161" spans="1:3" x14ac:dyDescent="0.35">
      <c r="A161" t="s">
        <v>1795</v>
      </c>
      <c r="C161">
        <v>1</v>
      </c>
    </row>
    <row r="162" spans="1:3" x14ac:dyDescent="0.35">
      <c r="A162" t="s">
        <v>1441</v>
      </c>
      <c r="B162" t="s">
        <v>1440</v>
      </c>
      <c r="C162">
        <v>1</v>
      </c>
    </row>
    <row r="163" spans="1:3" x14ac:dyDescent="0.35">
      <c r="A163" t="s">
        <v>1796</v>
      </c>
      <c r="C163">
        <v>1</v>
      </c>
    </row>
    <row r="164" spans="1:3" x14ac:dyDescent="0.35">
      <c r="A164" t="s">
        <v>435</v>
      </c>
      <c r="B164" t="s">
        <v>434</v>
      </c>
      <c r="C164">
        <v>1</v>
      </c>
    </row>
    <row r="165" spans="1:3" x14ac:dyDescent="0.35">
      <c r="A165" t="s">
        <v>1797</v>
      </c>
      <c r="C165">
        <v>1</v>
      </c>
    </row>
    <row r="166" spans="1:3" x14ac:dyDescent="0.35">
      <c r="A166" t="s">
        <v>952</v>
      </c>
      <c r="B166" t="s">
        <v>951</v>
      </c>
      <c r="C166">
        <v>1</v>
      </c>
    </row>
    <row r="167" spans="1:3" x14ac:dyDescent="0.35">
      <c r="A167" t="s">
        <v>1798</v>
      </c>
      <c r="C167">
        <v>1</v>
      </c>
    </row>
    <row r="168" spans="1:3" x14ac:dyDescent="0.35">
      <c r="A168" t="s">
        <v>1283</v>
      </c>
      <c r="B168" t="s">
        <v>1282</v>
      </c>
      <c r="C168">
        <v>1</v>
      </c>
    </row>
    <row r="169" spans="1:3" x14ac:dyDescent="0.35">
      <c r="A169" t="s">
        <v>1799</v>
      </c>
      <c r="C169">
        <v>1</v>
      </c>
    </row>
    <row r="170" spans="1:3" x14ac:dyDescent="0.35">
      <c r="A170" t="s">
        <v>1151</v>
      </c>
      <c r="B170" t="s">
        <v>1150</v>
      </c>
      <c r="C170">
        <v>1</v>
      </c>
    </row>
    <row r="171" spans="1:3" x14ac:dyDescent="0.35">
      <c r="A171" t="s">
        <v>1800</v>
      </c>
      <c r="C171">
        <v>1</v>
      </c>
    </row>
    <row r="172" spans="1:3" x14ac:dyDescent="0.35">
      <c r="A172" t="s">
        <v>1605</v>
      </c>
      <c r="B172" t="s">
        <v>1604</v>
      </c>
      <c r="C172">
        <v>1</v>
      </c>
    </row>
    <row r="173" spans="1:3" x14ac:dyDescent="0.35">
      <c r="A173" t="s">
        <v>1801</v>
      </c>
      <c r="C173">
        <v>1</v>
      </c>
    </row>
    <row r="174" spans="1:3" x14ac:dyDescent="0.35">
      <c r="A174" t="s">
        <v>1435</v>
      </c>
      <c r="B174" t="s">
        <v>1434</v>
      </c>
      <c r="C174">
        <v>1</v>
      </c>
    </row>
    <row r="175" spans="1:3" x14ac:dyDescent="0.35">
      <c r="A175" t="s">
        <v>1802</v>
      </c>
      <c r="C175">
        <v>1</v>
      </c>
    </row>
    <row r="176" spans="1:3" x14ac:dyDescent="0.35">
      <c r="A176" t="s">
        <v>1244</v>
      </c>
      <c r="B176" t="s">
        <v>1243</v>
      </c>
      <c r="C176">
        <v>1</v>
      </c>
    </row>
    <row r="177" spans="1:3" x14ac:dyDescent="0.35">
      <c r="A177" t="s">
        <v>1803</v>
      </c>
      <c r="C177">
        <v>1</v>
      </c>
    </row>
    <row r="178" spans="1:3" x14ac:dyDescent="0.35">
      <c r="A178" t="s">
        <v>1382</v>
      </c>
      <c r="B178" t="s">
        <v>1381</v>
      </c>
      <c r="C178">
        <v>1</v>
      </c>
    </row>
    <row r="179" spans="1:3" x14ac:dyDescent="0.35">
      <c r="A179" t="s">
        <v>1804</v>
      </c>
      <c r="C179">
        <v>1</v>
      </c>
    </row>
    <row r="180" spans="1:3" x14ac:dyDescent="0.35">
      <c r="A180" t="s">
        <v>1495</v>
      </c>
      <c r="B180" t="s">
        <v>1494</v>
      </c>
      <c r="C180">
        <v>1</v>
      </c>
    </row>
    <row r="181" spans="1:3" x14ac:dyDescent="0.35">
      <c r="A181" t="s">
        <v>1805</v>
      </c>
      <c r="C181">
        <v>1</v>
      </c>
    </row>
    <row r="182" spans="1:3" x14ac:dyDescent="0.35">
      <c r="A182" t="s">
        <v>1511</v>
      </c>
      <c r="B182" t="s">
        <v>1510</v>
      </c>
      <c r="C182">
        <v>1</v>
      </c>
    </row>
    <row r="183" spans="1:3" x14ac:dyDescent="0.35">
      <c r="A183" t="s">
        <v>1806</v>
      </c>
      <c r="C183">
        <v>1</v>
      </c>
    </row>
    <row r="184" spans="1:3" x14ac:dyDescent="0.35">
      <c r="A184" t="s">
        <v>1319</v>
      </c>
      <c r="B184" t="s">
        <v>1318</v>
      </c>
      <c r="C184">
        <v>1</v>
      </c>
    </row>
    <row r="185" spans="1:3" x14ac:dyDescent="0.35">
      <c r="B185" t="s">
        <v>1519</v>
      </c>
      <c r="C185">
        <v>1</v>
      </c>
    </row>
    <row r="186" spans="1:3" x14ac:dyDescent="0.35">
      <c r="A186" t="s">
        <v>1807</v>
      </c>
      <c r="C186">
        <v>2</v>
      </c>
    </row>
    <row r="187" spans="1:3" x14ac:dyDescent="0.35">
      <c r="A187" t="s">
        <v>1474</v>
      </c>
      <c r="B187" t="s">
        <v>1473</v>
      </c>
      <c r="C187">
        <v>1</v>
      </c>
    </row>
    <row r="188" spans="1:3" x14ac:dyDescent="0.35">
      <c r="A188" t="s">
        <v>1808</v>
      </c>
      <c r="C188">
        <v>1</v>
      </c>
    </row>
    <row r="189" spans="1:3" x14ac:dyDescent="0.35">
      <c r="A189" t="s">
        <v>1614</v>
      </c>
      <c r="B189" t="s">
        <v>1613</v>
      </c>
      <c r="C189">
        <v>1</v>
      </c>
    </row>
    <row r="190" spans="1:3" x14ac:dyDescent="0.35">
      <c r="A190" t="s">
        <v>1809</v>
      </c>
      <c r="C190">
        <v>1</v>
      </c>
    </row>
    <row r="191" spans="1:3" x14ac:dyDescent="0.35">
      <c r="A191" t="s">
        <v>1622</v>
      </c>
      <c r="B191" t="s">
        <v>1621</v>
      </c>
      <c r="C191">
        <v>1</v>
      </c>
    </row>
    <row r="192" spans="1:3" x14ac:dyDescent="0.35">
      <c r="A192" t="s">
        <v>1810</v>
      </c>
      <c r="C192">
        <v>1</v>
      </c>
    </row>
    <row r="193" spans="1:3" x14ac:dyDescent="0.35">
      <c r="A193" t="s">
        <v>1646</v>
      </c>
      <c r="B193" t="s">
        <v>1645</v>
      </c>
      <c r="C193">
        <v>1</v>
      </c>
    </row>
    <row r="194" spans="1:3" x14ac:dyDescent="0.35">
      <c r="B194" t="s">
        <v>1676</v>
      </c>
      <c r="C194">
        <v>1</v>
      </c>
    </row>
    <row r="195" spans="1:3" x14ac:dyDescent="0.35">
      <c r="B195" t="s">
        <v>1673</v>
      </c>
      <c r="C195">
        <v>1</v>
      </c>
    </row>
    <row r="196" spans="1:3" x14ac:dyDescent="0.35">
      <c r="A196" t="s">
        <v>1811</v>
      </c>
      <c r="C196">
        <v>3</v>
      </c>
    </row>
    <row r="197" spans="1:3" x14ac:dyDescent="0.35">
      <c r="A197" t="s">
        <v>1717</v>
      </c>
      <c r="B197" t="s">
        <v>1721</v>
      </c>
      <c r="C197">
        <v>1</v>
      </c>
    </row>
    <row r="198" spans="1:3" x14ac:dyDescent="0.35">
      <c r="B198" t="s">
        <v>1716</v>
      </c>
      <c r="C198">
        <v>1</v>
      </c>
    </row>
    <row r="199" spans="1:3" x14ac:dyDescent="0.35">
      <c r="A199" t="s">
        <v>1812</v>
      </c>
      <c r="C199">
        <v>2</v>
      </c>
    </row>
    <row r="200" spans="1:3" x14ac:dyDescent="0.35">
      <c r="A200" t="s">
        <v>1172</v>
      </c>
      <c r="B200" t="s">
        <v>1171</v>
      </c>
      <c r="C200">
        <v>1</v>
      </c>
    </row>
    <row r="201" spans="1:3" x14ac:dyDescent="0.35">
      <c r="A201" t="s">
        <v>1813</v>
      </c>
      <c r="C201">
        <v>1</v>
      </c>
    </row>
    <row r="202" spans="1:3" x14ac:dyDescent="0.35">
      <c r="A202" t="s">
        <v>1686</v>
      </c>
      <c r="B202" t="s">
        <v>1685</v>
      </c>
      <c r="C202">
        <v>1</v>
      </c>
    </row>
    <row r="203" spans="1:3" x14ac:dyDescent="0.35">
      <c r="A203" t="s">
        <v>1814</v>
      </c>
      <c r="C203">
        <v>1</v>
      </c>
    </row>
    <row r="204" spans="1:3" x14ac:dyDescent="0.35">
      <c r="A204" t="s">
        <v>1561</v>
      </c>
      <c r="B204" t="s">
        <v>1652</v>
      </c>
      <c r="C204">
        <v>1</v>
      </c>
    </row>
    <row r="205" spans="1:3" x14ac:dyDescent="0.35">
      <c r="B205" t="s">
        <v>1560</v>
      </c>
      <c r="C205">
        <v>1</v>
      </c>
    </row>
    <row r="206" spans="1:3" x14ac:dyDescent="0.35">
      <c r="A206" t="s">
        <v>1815</v>
      </c>
      <c r="C206">
        <v>2</v>
      </c>
    </row>
    <row r="207" spans="1:3" x14ac:dyDescent="0.35">
      <c r="A207" t="s">
        <v>1484</v>
      </c>
      <c r="B207" t="s">
        <v>1483</v>
      </c>
      <c r="C207">
        <v>1</v>
      </c>
    </row>
    <row r="208" spans="1:3" x14ac:dyDescent="0.35">
      <c r="A208" t="s">
        <v>1816</v>
      </c>
      <c r="C208">
        <v>1</v>
      </c>
    </row>
    <row r="209" spans="1:3" x14ac:dyDescent="0.35">
      <c r="A209" t="s">
        <v>1619</v>
      </c>
      <c r="B209" t="s">
        <v>1618</v>
      </c>
      <c r="C209">
        <v>1</v>
      </c>
    </row>
    <row r="210" spans="1:3" x14ac:dyDescent="0.35">
      <c r="B210" t="s">
        <v>1648</v>
      </c>
      <c r="C210">
        <v>1</v>
      </c>
    </row>
    <row r="211" spans="1:3" x14ac:dyDescent="0.35">
      <c r="A211" t="s">
        <v>1817</v>
      </c>
      <c r="C211">
        <v>2</v>
      </c>
    </row>
    <row r="212" spans="1:3" x14ac:dyDescent="0.35">
      <c r="A212" t="s">
        <v>1593</v>
      </c>
      <c r="B212" t="s">
        <v>1592</v>
      </c>
      <c r="C212">
        <v>1</v>
      </c>
    </row>
    <row r="213" spans="1:3" x14ac:dyDescent="0.35">
      <c r="A213" t="s">
        <v>1818</v>
      </c>
      <c r="C213">
        <v>1</v>
      </c>
    </row>
    <row r="214" spans="1:3" x14ac:dyDescent="0.35">
      <c r="A214" t="s">
        <v>1700</v>
      </c>
      <c r="B214" t="s">
        <v>1699</v>
      </c>
      <c r="C214">
        <v>1</v>
      </c>
    </row>
    <row r="215" spans="1:3" x14ac:dyDescent="0.35">
      <c r="A215" t="s">
        <v>1819</v>
      </c>
      <c r="C215">
        <v>1</v>
      </c>
    </row>
    <row r="216" spans="1:3" x14ac:dyDescent="0.35">
      <c r="A216" t="s">
        <v>1627</v>
      </c>
      <c r="B216" t="s">
        <v>1626</v>
      </c>
      <c r="C216">
        <v>1</v>
      </c>
    </row>
    <row r="217" spans="1:3" x14ac:dyDescent="0.35">
      <c r="A217" t="s">
        <v>1820</v>
      </c>
      <c r="C217">
        <v>1</v>
      </c>
    </row>
    <row r="218" spans="1:3" x14ac:dyDescent="0.35">
      <c r="A218" t="s">
        <v>1632</v>
      </c>
      <c r="B218" t="s">
        <v>1631</v>
      </c>
      <c r="C218">
        <v>1</v>
      </c>
    </row>
    <row r="219" spans="1:3" x14ac:dyDescent="0.35">
      <c r="A219" t="s">
        <v>1821</v>
      </c>
      <c r="C219">
        <v>1</v>
      </c>
    </row>
    <row r="220" spans="1:3" x14ac:dyDescent="0.35">
      <c r="A220" t="s">
        <v>1638</v>
      </c>
      <c r="B220" t="s">
        <v>1637</v>
      </c>
      <c r="C220">
        <v>1</v>
      </c>
    </row>
    <row r="221" spans="1:3" x14ac:dyDescent="0.35">
      <c r="B221" t="s">
        <v>1661</v>
      </c>
      <c r="C221">
        <v>1</v>
      </c>
    </row>
    <row r="222" spans="1:3" x14ac:dyDescent="0.35">
      <c r="A222" t="s">
        <v>1822</v>
      </c>
      <c r="C222">
        <v>2</v>
      </c>
    </row>
    <row r="223" spans="1:3" x14ac:dyDescent="0.35">
      <c r="A223" t="s">
        <v>1712</v>
      </c>
      <c r="B223" t="s">
        <v>1711</v>
      </c>
      <c r="C223">
        <v>1</v>
      </c>
    </row>
    <row r="224" spans="1:3" x14ac:dyDescent="0.35">
      <c r="A224" t="s">
        <v>1823</v>
      </c>
      <c r="C224">
        <v>1</v>
      </c>
    </row>
    <row r="225" spans="1:3" x14ac:dyDescent="0.35">
      <c r="A225" t="s">
        <v>1682</v>
      </c>
      <c r="B225" t="s">
        <v>1681</v>
      </c>
      <c r="C225">
        <v>1</v>
      </c>
    </row>
    <row r="226" spans="1:3" x14ac:dyDescent="0.35">
      <c r="A226" t="s">
        <v>1824</v>
      </c>
      <c r="C226">
        <v>1</v>
      </c>
    </row>
    <row r="227" spans="1:3" x14ac:dyDescent="0.35">
      <c r="A227" t="s">
        <v>1670</v>
      </c>
      <c r="B227" t="s">
        <v>1669</v>
      </c>
      <c r="C227">
        <v>1</v>
      </c>
    </row>
    <row r="228" spans="1:3" x14ac:dyDescent="0.35">
      <c r="B228" t="s">
        <v>1707</v>
      </c>
      <c r="C228">
        <v>1</v>
      </c>
    </row>
    <row r="229" spans="1:3" x14ac:dyDescent="0.35">
      <c r="A229" t="s">
        <v>1825</v>
      </c>
      <c r="C229">
        <v>2</v>
      </c>
    </row>
    <row r="230" spans="1:3" x14ac:dyDescent="0.35">
      <c r="A230" t="s">
        <v>746</v>
      </c>
      <c r="B230" t="s">
        <v>745</v>
      </c>
      <c r="C230">
        <v>1</v>
      </c>
    </row>
    <row r="231" spans="1:3" x14ac:dyDescent="0.35">
      <c r="A231" t="s">
        <v>1826</v>
      </c>
      <c r="C231">
        <v>1</v>
      </c>
    </row>
    <row r="232" spans="1:3" x14ac:dyDescent="0.35">
      <c r="A232" t="s">
        <v>1177</v>
      </c>
      <c r="B232" t="s">
        <v>1176</v>
      </c>
      <c r="C232">
        <v>1</v>
      </c>
    </row>
    <row r="233" spans="1:3" x14ac:dyDescent="0.35">
      <c r="A233" t="s">
        <v>1827</v>
      </c>
      <c r="C233">
        <v>1</v>
      </c>
    </row>
    <row r="234" spans="1:3" x14ac:dyDescent="0.35">
      <c r="A234" t="s">
        <v>175</v>
      </c>
      <c r="B234" t="s">
        <v>174</v>
      </c>
      <c r="C234">
        <v>1</v>
      </c>
    </row>
    <row r="235" spans="1:3" x14ac:dyDescent="0.35">
      <c r="A235" t="s">
        <v>1828</v>
      </c>
      <c r="C235">
        <v>1</v>
      </c>
    </row>
    <row r="236" spans="1:3" x14ac:dyDescent="0.35">
      <c r="A236" t="s">
        <v>244</v>
      </c>
      <c r="B236" t="s">
        <v>793</v>
      </c>
      <c r="C236">
        <v>1</v>
      </c>
    </row>
    <row r="237" spans="1:3" x14ac:dyDescent="0.35">
      <c r="B237" t="s">
        <v>243</v>
      </c>
      <c r="C237">
        <v>1</v>
      </c>
    </row>
    <row r="238" spans="1:3" x14ac:dyDescent="0.35">
      <c r="B238" t="s">
        <v>345</v>
      </c>
      <c r="C238">
        <v>1</v>
      </c>
    </row>
    <row r="239" spans="1:3" x14ac:dyDescent="0.35">
      <c r="B239" t="s">
        <v>547</v>
      </c>
      <c r="C239">
        <v>1</v>
      </c>
    </row>
    <row r="240" spans="1:3" x14ac:dyDescent="0.35">
      <c r="B240" t="s">
        <v>637</v>
      </c>
      <c r="C240">
        <v>1</v>
      </c>
    </row>
    <row r="241" spans="1:3" x14ac:dyDescent="0.35">
      <c r="B241" t="s">
        <v>1054</v>
      </c>
      <c r="C241">
        <v>1</v>
      </c>
    </row>
    <row r="242" spans="1:3" x14ac:dyDescent="0.35">
      <c r="B242" t="s">
        <v>751</v>
      </c>
      <c r="C242">
        <v>1</v>
      </c>
    </row>
    <row r="243" spans="1:3" x14ac:dyDescent="0.35">
      <c r="B243" t="s">
        <v>1515</v>
      </c>
      <c r="C243">
        <v>1</v>
      </c>
    </row>
    <row r="244" spans="1:3" x14ac:dyDescent="0.35">
      <c r="A244" t="s">
        <v>1829</v>
      </c>
      <c r="C244">
        <v>8</v>
      </c>
    </row>
    <row r="245" spans="1:3" x14ac:dyDescent="0.35">
      <c r="A245" t="s">
        <v>56</v>
      </c>
      <c r="B245" t="s">
        <v>61</v>
      </c>
      <c r="C245">
        <v>1</v>
      </c>
    </row>
    <row r="246" spans="1:3" x14ac:dyDescent="0.35">
      <c r="B246" t="s">
        <v>58</v>
      </c>
      <c r="C246">
        <v>1</v>
      </c>
    </row>
    <row r="247" spans="1:3" x14ac:dyDescent="0.35">
      <c r="B247" t="s">
        <v>55</v>
      </c>
      <c r="C247">
        <v>1</v>
      </c>
    </row>
    <row r="248" spans="1:3" x14ac:dyDescent="0.35">
      <c r="A248" t="s">
        <v>1830</v>
      </c>
      <c r="C248">
        <v>3</v>
      </c>
    </row>
    <row r="249" spans="1:3" x14ac:dyDescent="0.35">
      <c r="A249" t="s">
        <v>37</v>
      </c>
      <c r="B249" t="s">
        <v>36</v>
      </c>
      <c r="C249">
        <v>1</v>
      </c>
    </row>
    <row r="250" spans="1:3" x14ac:dyDescent="0.35">
      <c r="B250" t="s">
        <v>70</v>
      </c>
      <c r="C250">
        <v>1</v>
      </c>
    </row>
    <row r="251" spans="1:3" x14ac:dyDescent="0.35">
      <c r="B251" t="s">
        <v>66</v>
      </c>
      <c r="C251">
        <v>1</v>
      </c>
    </row>
    <row r="252" spans="1:3" x14ac:dyDescent="0.35">
      <c r="A252" t="s">
        <v>1831</v>
      </c>
      <c r="C252">
        <v>3</v>
      </c>
    </row>
    <row r="253" spans="1:3" x14ac:dyDescent="0.35">
      <c r="A253" t="s">
        <v>81</v>
      </c>
      <c r="B253" t="s">
        <v>80</v>
      </c>
      <c r="C253">
        <v>1</v>
      </c>
    </row>
    <row r="254" spans="1:3" x14ac:dyDescent="0.35">
      <c r="A254" t="s">
        <v>1832</v>
      </c>
      <c r="C254">
        <v>1</v>
      </c>
    </row>
    <row r="255" spans="1:3" x14ac:dyDescent="0.35">
      <c r="A255" t="s">
        <v>180</v>
      </c>
      <c r="B255" t="s">
        <v>179</v>
      </c>
      <c r="C255">
        <v>1</v>
      </c>
    </row>
    <row r="256" spans="1:3" x14ac:dyDescent="0.35">
      <c r="A256" t="s">
        <v>1833</v>
      </c>
      <c r="C256">
        <v>1</v>
      </c>
    </row>
    <row r="257" spans="1:3" x14ac:dyDescent="0.35">
      <c r="A257" t="s">
        <v>86</v>
      </c>
      <c r="B257" t="s">
        <v>85</v>
      </c>
      <c r="C257">
        <v>1</v>
      </c>
    </row>
    <row r="258" spans="1:3" x14ac:dyDescent="0.35">
      <c r="A258" t="s">
        <v>1834</v>
      </c>
      <c r="C258">
        <v>1</v>
      </c>
    </row>
    <row r="259" spans="1:3" x14ac:dyDescent="0.35">
      <c r="A259" t="s">
        <v>152</v>
      </c>
      <c r="B259" t="s">
        <v>151</v>
      </c>
      <c r="C259">
        <v>1</v>
      </c>
    </row>
    <row r="260" spans="1:3" x14ac:dyDescent="0.35">
      <c r="A260" t="s">
        <v>1835</v>
      </c>
      <c r="C260">
        <v>1</v>
      </c>
    </row>
    <row r="261" spans="1:3" x14ac:dyDescent="0.35">
      <c r="A261" t="s">
        <v>75</v>
      </c>
      <c r="B261" t="s">
        <v>74</v>
      </c>
      <c r="C261">
        <v>1</v>
      </c>
    </row>
    <row r="262" spans="1:3" x14ac:dyDescent="0.35">
      <c r="A262" t="s">
        <v>1836</v>
      </c>
      <c r="C262">
        <v>1</v>
      </c>
    </row>
    <row r="263" spans="1:3" x14ac:dyDescent="0.35">
      <c r="A263" t="s">
        <v>134</v>
      </c>
      <c r="B263" t="s">
        <v>133</v>
      </c>
      <c r="C263">
        <v>1</v>
      </c>
    </row>
    <row r="264" spans="1:3" x14ac:dyDescent="0.35">
      <c r="A264" t="s">
        <v>1837</v>
      </c>
      <c r="C264">
        <v>1</v>
      </c>
    </row>
    <row r="265" spans="1:3" x14ac:dyDescent="0.35">
      <c r="A265" t="s">
        <v>129</v>
      </c>
      <c r="B265" t="s">
        <v>128</v>
      </c>
      <c r="C265">
        <v>1</v>
      </c>
    </row>
    <row r="266" spans="1:3" x14ac:dyDescent="0.35">
      <c r="A266" t="s">
        <v>1838</v>
      </c>
      <c r="C266">
        <v>1</v>
      </c>
    </row>
    <row r="267" spans="1:3" x14ac:dyDescent="0.35">
      <c r="A267" t="s">
        <v>116</v>
      </c>
      <c r="B267" t="s">
        <v>171</v>
      </c>
      <c r="C267">
        <v>1</v>
      </c>
    </row>
    <row r="268" spans="1:3" x14ac:dyDescent="0.35">
      <c r="B268" t="s">
        <v>115</v>
      </c>
      <c r="C268">
        <v>1</v>
      </c>
    </row>
    <row r="269" spans="1:3" x14ac:dyDescent="0.35">
      <c r="A269" t="s">
        <v>1839</v>
      </c>
      <c r="C269">
        <v>2</v>
      </c>
    </row>
    <row r="270" spans="1:3" x14ac:dyDescent="0.35">
      <c r="A270" t="s">
        <v>226</v>
      </c>
      <c r="B270" t="s">
        <v>225</v>
      </c>
      <c r="C270">
        <v>1</v>
      </c>
    </row>
    <row r="271" spans="1:3" x14ac:dyDescent="0.35">
      <c r="A271" t="s">
        <v>1840</v>
      </c>
      <c r="C271">
        <v>1</v>
      </c>
    </row>
    <row r="272" spans="1:3" x14ac:dyDescent="0.35">
      <c r="A272" t="s">
        <v>162</v>
      </c>
      <c r="B272" t="s">
        <v>161</v>
      </c>
      <c r="C272">
        <v>1</v>
      </c>
    </row>
    <row r="273" spans="1:3" x14ac:dyDescent="0.35">
      <c r="A273" t="s">
        <v>1841</v>
      </c>
      <c r="C273">
        <v>1</v>
      </c>
    </row>
    <row r="274" spans="1:3" x14ac:dyDescent="0.35">
      <c r="A274" t="s">
        <v>289</v>
      </c>
      <c r="B274" t="s">
        <v>288</v>
      </c>
      <c r="C274">
        <v>1</v>
      </c>
    </row>
    <row r="275" spans="1:3" x14ac:dyDescent="0.35">
      <c r="A275" t="s">
        <v>1842</v>
      </c>
      <c r="C275">
        <v>1</v>
      </c>
    </row>
    <row r="276" spans="1:3" x14ac:dyDescent="0.35">
      <c r="A276" t="s">
        <v>100</v>
      </c>
      <c r="B276" t="s">
        <v>99</v>
      </c>
      <c r="C276">
        <v>1</v>
      </c>
    </row>
    <row r="277" spans="1:3" x14ac:dyDescent="0.35">
      <c r="A277" t="s">
        <v>1843</v>
      </c>
      <c r="C277">
        <v>1</v>
      </c>
    </row>
    <row r="278" spans="1:3" x14ac:dyDescent="0.35">
      <c r="A278" t="s">
        <v>157</v>
      </c>
      <c r="B278" t="s">
        <v>156</v>
      </c>
      <c r="C278">
        <v>1</v>
      </c>
    </row>
    <row r="279" spans="1:3" x14ac:dyDescent="0.35">
      <c r="A279" t="s">
        <v>1844</v>
      </c>
      <c r="C279">
        <v>1</v>
      </c>
    </row>
    <row r="280" spans="1:3" x14ac:dyDescent="0.35">
      <c r="A280" t="s">
        <v>266</v>
      </c>
      <c r="B280" t="s">
        <v>265</v>
      </c>
      <c r="C280">
        <v>1</v>
      </c>
    </row>
    <row r="281" spans="1:3" x14ac:dyDescent="0.35">
      <c r="A281" t="s">
        <v>1845</v>
      </c>
      <c r="C281">
        <v>1</v>
      </c>
    </row>
    <row r="282" spans="1:3" x14ac:dyDescent="0.35">
      <c r="A282" t="s">
        <v>139</v>
      </c>
      <c r="B282" t="s">
        <v>138</v>
      </c>
      <c r="C282">
        <v>1</v>
      </c>
    </row>
    <row r="283" spans="1:3" x14ac:dyDescent="0.35">
      <c r="A283" t="s">
        <v>1846</v>
      </c>
      <c r="C283">
        <v>1</v>
      </c>
    </row>
    <row r="284" spans="1:3" x14ac:dyDescent="0.35">
      <c r="A284" t="s">
        <v>305</v>
      </c>
      <c r="B284" t="s">
        <v>304</v>
      </c>
      <c r="C284">
        <v>1</v>
      </c>
    </row>
    <row r="285" spans="1:3" x14ac:dyDescent="0.35">
      <c r="A285" t="s">
        <v>1847</v>
      </c>
      <c r="C285">
        <v>1</v>
      </c>
    </row>
    <row r="286" spans="1:3" x14ac:dyDescent="0.35">
      <c r="A286" t="s">
        <v>507</v>
      </c>
      <c r="B286" t="s">
        <v>506</v>
      </c>
      <c r="C286">
        <v>1</v>
      </c>
    </row>
    <row r="287" spans="1:3" x14ac:dyDescent="0.35">
      <c r="A287" t="s">
        <v>1848</v>
      </c>
      <c r="C287">
        <v>1</v>
      </c>
    </row>
    <row r="288" spans="1:3" x14ac:dyDescent="0.35">
      <c r="A288" t="s">
        <v>392</v>
      </c>
      <c r="B288" t="s">
        <v>391</v>
      </c>
      <c r="C288">
        <v>1</v>
      </c>
    </row>
    <row r="289" spans="1:3" x14ac:dyDescent="0.35">
      <c r="A289" t="s">
        <v>1849</v>
      </c>
      <c r="C289">
        <v>1</v>
      </c>
    </row>
    <row r="290" spans="1:3" x14ac:dyDescent="0.35">
      <c r="A290" t="s">
        <v>339</v>
      </c>
      <c r="B290" t="s">
        <v>338</v>
      </c>
      <c r="C290">
        <v>1</v>
      </c>
    </row>
    <row r="291" spans="1:3" x14ac:dyDescent="0.35">
      <c r="A291" t="s">
        <v>1850</v>
      </c>
      <c r="C291">
        <v>1</v>
      </c>
    </row>
    <row r="292" spans="1:3" x14ac:dyDescent="0.35">
      <c r="A292" t="s">
        <v>355</v>
      </c>
      <c r="B292" t="s">
        <v>354</v>
      </c>
      <c r="C292">
        <v>1</v>
      </c>
    </row>
    <row r="293" spans="1:3" x14ac:dyDescent="0.35">
      <c r="A293" t="s">
        <v>1851</v>
      </c>
      <c r="C293">
        <v>1</v>
      </c>
    </row>
    <row r="294" spans="1:3" x14ac:dyDescent="0.35">
      <c r="A294" t="s">
        <v>300</v>
      </c>
      <c r="B294" t="s">
        <v>299</v>
      </c>
      <c r="C294">
        <v>1</v>
      </c>
    </row>
    <row r="295" spans="1:3" x14ac:dyDescent="0.35">
      <c r="A295" t="s">
        <v>1852</v>
      </c>
      <c r="C295">
        <v>1</v>
      </c>
    </row>
    <row r="296" spans="1:3" x14ac:dyDescent="0.35">
      <c r="A296" t="s">
        <v>421</v>
      </c>
      <c r="B296" t="s">
        <v>420</v>
      </c>
      <c r="C296">
        <v>1</v>
      </c>
    </row>
    <row r="297" spans="1:3" x14ac:dyDescent="0.35">
      <c r="A297" t="s">
        <v>1853</v>
      </c>
      <c r="C297">
        <v>1</v>
      </c>
    </row>
    <row r="298" spans="1:3" x14ac:dyDescent="0.35">
      <c r="A298" t="s">
        <v>573</v>
      </c>
      <c r="B298" t="s">
        <v>572</v>
      </c>
      <c r="C298">
        <v>1</v>
      </c>
    </row>
    <row r="299" spans="1:3" x14ac:dyDescent="0.35">
      <c r="A299" t="s">
        <v>1854</v>
      </c>
      <c r="C299">
        <v>1</v>
      </c>
    </row>
    <row r="300" spans="1:3" x14ac:dyDescent="0.35">
      <c r="A300" t="s">
        <v>372</v>
      </c>
      <c r="B300" t="s">
        <v>371</v>
      </c>
      <c r="C300">
        <v>1</v>
      </c>
    </row>
    <row r="301" spans="1:3" x14ac:dyDescent="0.35">
      <c r="B301" t="s">
        <v>602</v>
      </c>
      <c r="C301">
        <v>1</v>
      </c>
    </row>
    <row r="302" spans="1:3" x14ac:dyDescent="0.35">
      <c r="B302" t="s">
        <v>396</v>
      </c>
      <c r="C302">
        <v>1</v>
      </c>
    </row>
    <row r="303" spans="1:3" x14ac:dyDescent="0.35">
      <c r="A303" t="s">
        <v>1855</v>
      </c>
      <c r="C303">
        <v>3</v>
      </c>
    </row>
    <row r="304" spans="1:3" x14ac:dyDescent="0.35">
      <c r="A304" t="s">
        <v>320</v>
      </c>
      <c r="B304" t="s">
        <v>319</v>
      </c>
      <c r="C304">
        <v>1</v>
      </c>
    </row>
    <row r="305" spans="1:3" x14ac:dyDescent="0.35">
      <c r="A305" t="s">
        <v>1856</v>
      </c>
      <c r="C305">
        <v>1</v>
      </c>
    </row>
    <row r="306" spans="1:3" x14ac:dyDescent="0.35">
      <c r="A306" t="s">
        <v>606</v>
      </c>
      <c r="B306" t="s">
        <v>605</v>
      </c>
      <c r="C306">
        <v>1</v>
      </c>
    </row>
    <row r="307" spans="1:3" x14ac:dyDescent="0.35">
      <c r="A307" t="s">
        <v>1857</v>
      </c>
      <c r="C307">
        <v>1</v>
      </c>
    </row>
    <row r="308" spans="1:3" x14ac:dyDescent="0.35">
      <c r="A308" t="s">
        <v>543</v>
      </c>
      <c r="B308" t="s">
        <v>542</v>
      </c>
      <c r="C308">
        <v>1</v>
      </c>
    </row>
    <row r="309" spans="1:3" x14ac:dyDescent="0.35">
      <c r="A309" t="s">
        <v>1858</v>
      </c>
      <c r="C309">
        <v>1</v>
      </c>
    </row>
    <row r="310" spans="1:3" x14ac:dyDescent="0.35">
      <c r="A310" t="s">
        <v>628</v>
      </c>
      <c r="B310" t="s">
        <v>627</v>
      </c>
      <c r="C310">
        <v>1</v>
      </c>
    </row>
    <row r="311" spans="1:3" x14ac:dyDescent="0.35">
      <c r="A311" t="s">
        <v>1859</v>
      </c>
      <c r="C311">
        <v>1</v>
      </c>
    </row>
    <row r="312" spans="1:3" x14ac:dyDescent="0.35">
      <c r="A312" t="s">
        <v>831</v>
      </c>
      <c r="B312" t="s">
        <v>834</v>
      </c>
      <c r="C312">
        <v>1</v>
      </c>
    </row>
    <row r="313" spans="1:3" x14ac:dyDescent="0.35">
      <c r="B313" t="s">
        <v>830</v>
      </c>
      <c r="C313">
        <v>1</v>
      </c>
    </row>
    <row r="314" spans="1:3" x14ac:dyDescent="0.35">
      <c r="A314" t="s">
        <v>1860</v>
      </c>
      <c r="C314">
        <v>2</v>
      </c>
    </row>
    <row r="315" spans="1:3" x14ac:dyDescent="0.35">
      <c r="A315" t="s">
        <v>328</v>
      </c>
      <c r="B315" t="s">
        <v>327</v>
      </c>
      <c r="C315">
        <v>1</v>
      </c>
    </row>
    <row r="316" spans="1:3" x14ac:dyDescent="0.35">
      <c r="A316" t="s">
        <v>1861</v>
      </c>
      <c r="C316">
        <v>1</v>
      </c>
    </row>
    <row r="317" spans="1:3" x14ac:dyDescent="0.35">
      <c r="A317" t="s">
        <v>667</v>
      </c>
      <c r="B317" t="s">
        <v>666</v>
      </c>
      <c r="C317">
        <v>1</v>
      </c>
    </row>
    <row r="318" spans="1:3" x14ac:dyDescent="0.35">
      <c r="A318" t="s">
        <v>1862</v>
      </c>
      <c r="C318">
        <v>1</v>
      </c>
    </row>
    <row r="319" spans="1:3" x14ac:dyDescent="0.35">
      <c r="A319" t="s">
        <v>773</v>
      </c>
      <c r="B319" t="s">
        <v>772</v>
      </c>
      <c r="C319">
        <v>1</v>
      </c>
    </row>
    <row r="320" spans="1:3" x14ac:dyDescent="0.35">
      <c r="A320" t="s">
        <v>1863</v>
      </c>
      <c r="C320">
        <v>1</v>
      </c>
    </row>
    <row r="321" spans="1:3" x14ac:dyDescent="0.35">
      <c r="A321" t="s">
        <v>688</v>
      </c>
      <c r="B321" t="s">
        <v>687</v>
      </c>
      <c r="C321">
        <v>1</v>
      </c>
    </row>
    <row r="322" spans="1:3" x14ac:dyDescent="0.35">
      <c r="A322" t="s">
        <v>1864</v>
      </c>
      <c r="C322">
        <v>1</v>
      </c>
    </row>
    <row r="323" spans="1:3" x14ac:dyDescent="0.35">
      <c r="A323" t="s">
        <v>619</v>
      </c>
      <c r="B323" t="s">
        <v>618</v>
      </c>
      <c r="C323">
        <v>1</v>
      </c>
    </row>
    <row r="324" spans="1:3" x14ac:dyDescent="0.35">
      <c r="A324" t="s">
        <v>1865</v>
      </c>
      <c r="C324">
        <v>1</v>
      </c>
    </row>
    <row r="325" spans="1:3" x14ac:dyDescent="0.35">
      <c r="A325" t="s">
        <v>651</v>
      </c>
      <c r="B325" t="s">
        <v>650</v>
      </c>
      <c r="C325">
        <v>1</v>
      </c>
    </row>
    <row r="326" spans="1:3" x14ac:dyDescent="0.35">
      <c r="A326" t="s">
        <v>1866</v>
      </c>
      <c r="C326">
        <v>1</v>
      </c>
    </row>
    <row r="327" spans="1:3" x14ac:dyDescent="0.35">
      <c r="A327" t="s">
        <v>680</v>
      </c>
      <c r="B327" t="s">
        <v>679</v>
      </c>
      <c r="C327">
        <v>1</v>
      </c>
    </row>
    <row r="328" spans="1:3" x14ac:dyDescent="0.35">
      <c r="B328" t="s">
        <v>729</v>
      </c>
      <c r="C328">
        <v>1</v>
      </c>
    </row>
    <row r="329" spans="1:3" x14ac:dyDescent="0.35">
      <c r="A329" t="s">
        <v>1867</v>
      </c>
      <c r="C329">
        <v>2</v>
      </c>
    </row>
    <row r="330" spans="1:3" x14ac:dyDescent="0.35">
      <c r="A330" t="s">
        <v>692</v>
      </c>
      <c r="B330" t="s">
        <v>691</v>
      </c>
      <c r="C330">
        <v>1</v>
      </c>
    </row>
    <row r="331" spans="1:3" x14ac:dyDescent="0.35">
      <c r="A331" t="s">
        <v>1868</v>
      </c>
      <c r="C331">
        <v>1</v>
      </c>
    </row>
    <row r="332" spans="1:3" x14ac:dyDescent="0.35">
      <c r="A332" t="s">
        <v>595</v>
      </c>
      <c r="B332" t="s">
        <v>594</v>
      </c>
      <c r="C332">
        <v>1</v>
      </c>
    </row>
    <row r="333" spans="1:3" x14ac:dyDescent="0.35">
      <c r="A333" t="s">
        <v>1869</v>
      </c>
      <c r="C333">
        <v>1</v>
      </c>
    </row>
    <row r="334" spans="1:3" x14ac:dyDescent="0.35">
      <c r="A334" t="s">
        <v>676</v>
      </c>
      <c r="B334" t="s">
        <v>721</v>
      </c>
      <c r="C334">
        <v>1</v>
      </c>
    </row>
    <row r="335" spans="1:3" x14ac:dyDescent="0.35">
      <c r="B335" t="s">
        <v>675</v>
      </c>
      <c r="C335">
        <v>1</v>
      </c>
    </row>
    <row r="336" spans="1:3" x14ac:dyDescent="0.35">
      <c r="A336" t="s">
        <v>1870</v>
      </c>
      <c r="C336">
        <v>2</v>
      </c>
    </row>
    <row r="337" spans="1:3" x14ac:dyDescent="0.35">
      <c r="A337" t="s">
        <v>916</v>
      </c>
      <c r="B337" t="s">
        <v>915</v>
      </c>
      <c r="C337">
        <v>1</v>
      </c>
    </row>
    <row r="338" spans="1:3" x14ac:dyDescent="0.35">
      <c r="A338" t="s">
        <v>1871</v>
      </c>
      <c r="C338">
        <v>1</v>
      </c>
    </row>
    <row r="339" spans="1:3" x14ac:dyDescent="0.35">
      <c r="A339" t="s">
        <v>938</v>
      </c>
      <c r="B339" t="s">
        <v>937</v>
      </c>
      <c r="C339">
        <v>1</v>
      </c>
    </row>
    <row r="340" spans="1:3" x14ac:dyDescent="0.35">
      <c r="A340" t="s">
        <v>1872</v>
      </c>
      <c r="C340">
        <v>1</v>
      </c>
    </row>
    <row r="341" spans="1:3" x14ac:dyDescent="0.35">
      <c r="A341" t="s">
        <v>672</v>
      </c>
      <c r="B341" t="s">
        <v>671</v>
      </c>
      <c r="C341">
        <v>1</v>
      </c>
    </row>
    <row r="342" spans="1:3" x14ac:dyDescent="0.35">
      <c r="A342" t="s">
        <v>1873</v>
      </c>
      <c r="C342">
        <v>1</v>
      </c>
    </row>
    <row r="343" spans="1:3" x14ac:dyDescent="0.35">
      <c r="A343" t="s">
        <v>632</v>
      </c>
      <c r="B343" t="s">
        <v>631</v>
      </c>
      <c r="C343">
        <v>1</v>
      </c>
    </row>
    <row r="344" spans="1:3" x14ac:dyDescent="0.35">
      <c r="A344" t="s">
        <v>1874</v>
      </c>
      <c r="C344">
        <v>1</v>
      </c>
    </row>
    <row r="345" spans="1:3" x14ac:dyDescent="0.35">
      <c r="A345" t="s">
        <v>820</v>
      </c>
      <c r="B345" t="s">
        <v>819</v>
      </c>
      <c r="C345">
        <v>1</v>
      </c>
    </row>
    <row r="346" spans="1:3" x14ac:dyDescent="0.35">
      <c r="A346" t="s">
        <v>1875</v>
      </c>
      <c r="C346">
        <v>1</v>
      </c>
    </row>
    <row r="347" spans="1:3" x14ac:dyDescent="0.35">
      <c r="A347" t="s">
        <v>756</v>
      </c>
      <c r="B347" t="s">
        <v>755</v>
      </c>
      <c r="C347">
        <v>1</v>
      </c>
    </row>
    <row r="348" spans="1:3" x14ac:dyDescent="0.35">
      <c r="A348" t="s">
        <v>1876</v>
      </c>
      <c r="C348">
        <v>1</v>
      </c>
    </row>
    <row r="349" spans="1:3" x14ac:dyDescent="0.35">
      <c r="A349" t="s">
        <v>735</v>
      </c>
      <c r="B349" t="s">
        <v>734</v>
      </c>
      <c r="C349">
        <v>1</v>
      </c>
    </row>
    <row r="350" spans="1:3" x14ac:dyDescent="0.35">
      <c r="A350" t="s">
        <v>1877</v>
      </c>
      <c r="C350">
        <v>1</v>
      </c>
    </row>
    <row r="351" spans="1:3" x14ac:dyDescent="0.35">
      <c r="A351" t="s">
        <v>512</v>
      </c>
      <c r="B351" t="s">
        <v>511</v>
      </c>
      <c r="C351">
        <v>1</v>
      </c>
    </row>
    <row r="352" spans="1:3" x14ac:dyDescent="0.35">
      <c r="A352" t="s">
        <v>1878</v>
      </c>
      <c r="C352">
        <v>1</v>
      </c>
    </row>
    <row r="353" spans="1:3" x14ac:dyDescent="0.35">
      <c r="A353" t="s">
        <v>740</v>
      </c>
      <c r="B353" t="s">
        <v>739</v>
      </c>
      <c r="C353">
        <v>1</v>
      </c>
    </row>
    <row r="354" spans="1:3" x14ac:dyDescent="0.35">
      <c r="A354" t="s">
        <v>1879</v>
      </c>
      <c r="C354">
        <v>1</v>
      </c>
    </row>
    <row r="355" spans="1:3" x14ac:dyDescent="0.35">
      <c r="A355" t="s">
        <v>808</v>
      </c>
      <c r="B355" t="s">
        <v>807</v>
      </c>
      <c r="C355">
        <v>1</v>
      </c>
    </row>
    <row r="356" spans="1:3" x14ac:dyDescent="0.35">
      <c r="A356" t="s">
        <v>1880</v>
      </c>
      <c r="C356">
        <v>1</v>
      </c>
    </row>
    <row r="357" spans="1:3" x14ac:dyDescent="0.35">
      <c r="A357" t="s">
        <v>803</v>
      </c>
      <c r="B357" t="s">
        <v>802</v>
      </c>
      <c r="C357">
        <v>1</v>
      </c>
    </row>
    <row r="358" spans="1:3" x14ac:dyDescent="0.35">
      <c r="A358" t="s">
        <v>1881</v>
      </c>
      <c r="C358">
        <v>1</v>
      </c>
    </row>
    <row r="359" spans="1:3" x14ac:dyDescent="0.35">
      <c r="A359" t="s">
        <v>905</v>
      </c>
      <c r="B359" t="s">
        <v>904</v>
      </c>
      <c r="C359">
        <v>1</v>
      </c>
    </row>
    <row r="360" spans="1:3" x14ac:dyDescent="0.35">
      <c r="A360" t="s">
        <v>1882</v>
      </c>
      <c r="C360">
        <v>1</v>
      </c>
    </row>
    <row r="361" spans="1:3" x14ac:dyDescent="0.35">
      <c r="A361" t="s">
        <v>933</v>
      </c>
      <c r="B361" t="s">
        <v>959</v>
      </c>
      <c r="C361">
        <v>1</v>
      </c>
    </row>
    <row r="362" spans="1:3" x14ac:dyDescent="0.35">
      <c r="B362" t="s">
        <v>932</v>
      </c>
      <c r="C362">
        <v>1</v>
      </c>
    </row>
    <row r="363" spans="1:3" x14ac:dyDescent="0.35">
      <c r="B363" t="s">
        <v>962</v>
      </c>
      <c r="C363">
        <v>1</v>
      </c>
    </row>
    <row r="364" spans="1:3" x14ac:dyDescent="0.35">
      <c r="A364" t="s">
        <v>1883</v>
      </c>
      <c r="C364">
        <v>3</v>
      </c>
    </row>
    <row r="365" spans="1:3" x14ac:dyDescent="0.35">
      <c r="A365" t="s">
        <v>980</v>
      </c>
      <c r="B365" t="s">
        <v>979</v>
      </c>
      <c r="C365">
        <v>1</v>
      </c>
    </row>
    <row r="366" spans="1:3" x14ac:dyDescent="0.35">
      <c r="A366" t="s">
        <v>1884</v>
      </c>
      <c r="C366">
        <v>1</v>
      </c>
    </row>
    <row r="367" spans="1:3" x14ac:dyDescent="0.35">
      <c r="A367" t="s">
        <v>789</v>
      </c>
      <c r="B367" t="s">
        <v>788</v>
      </c>
      <c r="C367">
        <v>1</v>
      </c>
    </row>
    <row r="368" spans="1:3" x14ac:dyDescent="0.35">
      <c r="A368" t="s">
        <v>1885</v>
      </c>
      <c r="C368">
        <v>1</v>
      </c>
    </row>
    <row r="369" spans="1:3" x14ac:dyDescent="0.35">
      <c r="A369" t="s">
        <v>986</v>
      </c>
      <c r="B369" t="s">
        <v>985</v>
      </c>
      <c r="C369">
        <v>1</v>
      </c>
    </row>
    <row r="370" spans="1:3" x14ac:dyDescent="0.35">
      <c r="A370" t="s">
        <v>1886</v>
      </c>
      <c r="C370">
        <v>1</v>
      </c>
    </row>
    <row r="371" spans="1:3" x14ac:dyDescent="0.35">
      <c r="A371" t="s">
        <v>866</v>
      </c>
      <c r="B371" t="s">
        <v>865</v>
      </c>
      <c r="C371">
        <v>1</v>
      </c>
    </row>
    <row r="372" spans="1:3" x14ac:dyDescent="0.35">
      <c r="A372" t="s">
        <v>1887</v>
      </c>
      <c r="C372">
        <v>1</v>
      </c>
    </row>
    <row r="373" spans="1:3" x14ac:dyDescent="0.35">
      <c r="A373" t="s">
        <v>927</v>
      </c>
      <c r="B373" t="s">
        <v>926</v>
      </c>
      <c r="C373">
        <v>1</v>
      </c>
    </row>
    <row r="374" spans="1:3" x14ac:dyDescent="0.35">
      <c r="A374" t="s">
        <v>1888</v>
      </c>
      <c r="C374">
        <v>1</v>
      </c>
    </row>
    <row r="375" spans="1:3" x14ac:dyDescent="0.35">
      <c r="A375" t="s">
        <v>992</v>
      </c>
      <c r="B375" t="s">
        <v>1031</v>
      </c>
      <c r="C375">
        <v>1</v>
      </c>
    </row>
    <row r="376" spans="1:3" x14ac:dyDescent="0.35">
      <c r="B376" t="s">
        <v>991</v>
      </c>
      <c r="C376">
        <v>1</v>
      </c>
    </row>
    <row r="377" spans="1:3" x14ac:dyDescent="0.35">
      <c r="A377" t="s">
        <v>1889</v>
      </c>
      <c r="C377">
        <v>2</v>
      </c>
    </row>
    <row r="378" spans="1:3" x14ac:dyDescent="0.35">
      <c r="A378" t="s">
        <v>778</v>
      </c>
      <c r="B378" t="s">
        <v>777</v>
      </c>
      <c r="C378">
        <v>1</v>
      </c>
    </row>
    <row r="379" spans="1:3" x14ac:dyDescent="0.35">
      <c r="A379" t="s">
        <v>1890</v>
      </c>
      <c r="C379">
        <v>1</v>
      </c>
    </row>
    <row r="380" spans="1:3" x14ac:dyDescent="0.35">
      <c r="A380" t="s">
        <v>880</v>
      </c>
      <c r="B380" t="s">
        <v>879</v>
      </c>
      <c r="C380">
        <v>1</v>
      </c>
    </row>
    <row r="381" spans="1:3" x14ac:dyDescent="0.35">
      <c r="A381" t="s">
        <v>1891</v>
      </c>
      <c r="C381">
        <v>1</v>
      </c>
    </row>
    <row r="382" spans="1:3" x14ac:dyDescent="0.35">
      <c r="A382" t="s">
        <v>944</v>
      </c>
      <c r="B382" t="s">
        <v>943</v>
      </c>
      <c r="C382">
        <v>1</v>
      </c>
    </row>
    <row r="383" spans="1:3" x14ac:dyDescent="0.35">
      <c r="A383" t="s">
        <v>1892</v>
      </c>
      <c r="C383">
        <v>1</v>
      </c>
    </row>
    <row r="384" spans="1:3" x14ac:dyDescent="0.35">
      <c r="A384" t="s">
        <v>998</v>
      </c>
      <c r="B384" t="s">
        <v>997</v>
      </c>
      <c r="C384">
        <v>1</v>
      </c>
    </row>
    <row r="385" spans="1:3" x14ac:dyDescent="0.35">
      <c r="A385" t="s">
        <v>1893</v>
      </c>
      <c r="C385">
        <v>1</v>
      </c>
    </row>
    <row r="386" spans="1:3" x14ac:dyDescent="0.35">
      <c r="A386" t="s">
        <v>1041</v>
      </c>
      <c r="B386" t="s">
        <v>1040</v>
      </c>
      <c r="C386">
        <v>1</v>
      </c>
    </row>
    <row r="387" spans="1:3" x14ac:dyDescent="0.35">
      <c r="A387" t="s">
        <v>1894</v>
      </c>
      <c r="C387">
        <v>1</v>
      </c>
    </row>
    <row r="388" spans="1:3" x14ac:dyDescent="0.35">
      <c r="A388" t="s">
        <v>976</v>
      </c>
      <c r="B388" t="s">
        <v>975</v>
      </c>
      <c r="C388">
        <v>1</v>
      </c>
    </row>
    <row r="389" spans="1:3" x14ac:dyDescent="0.35">
      <c r="A389" t="s">
        <v>1895</v>
      </c>
      <c r="C389">
        <v>1</v>
      </c>
    </row>
    <row r="390" spans="1:3" x14ac:dyDescent="0.35">
      <c r="A390" t="s">
        <v>885</v>
      </c>
      <c r="B390" t="s">
        <v>1012</v>
      </c>
      <c r="C390">
        <v>1</v>
      </c>
    </row>
    <row r="391" spans="1:3" x14ac:dyDescent="0.35">
      <c r="B391" t="s">
        <v>895</v>
      </c>
      <c r="C391">
        <v>1</v>
      </c>
    </row>
    <row r="392" spans="1:3" x14ac:dyDescent="0.35">
      <c r="B392" t="s">
        <v>884</v>
      </c>
      <c r="C392">
        <v>1</v>
      </c>
    </row>
    <row r="393" spans="1:3" x14ac:dyDescent="0.35">
      <c r="B393" t="s">
        <v>892</v>
      </c>
      <c r="C393">
        <v>1</v>
      </c>
    </row>
    <row r="394" spans="1:3" x14ac:dyDescent="0.35">
      <c r="A394" t="s">
        <v>1896</v>
      </c>
      <c r="C394">
        <v>4</v>
      </c>
    </row>
    <row r="395" spans="1:3" x14ac:dyDescent="0.35">
      <c r="A395" t="s">
        <v>948</v>
      </c>
      <c r="B395" t="s">
        <v>947</v>
      </c>
      <c r="C395">
        <v>1</v>
      </c>
    </row>
    <row r="396" spans="1:3" x14ac:dyDescent="0.35">
      <c r="A396" t="s">
        <v>1897</v>
      </c>
      <c r="C396">
        <v>1</v>
      </c>
    </row>
    <row r="397" spans="1:3" x14ac:dyDescent="0.35">
      <c r="A397" t="s">
        <v>1066</v>
      </c>
      <c r="B397" t="s">
        <v>1065</v>
      </c>
      <c r="C397">
        <v>1</v>
      </c>
    </row>
    <row r="398" spans="1:3" x14ac:dyDescent="0.35">
      <c r="A398" t="s">
        <v>1898</v>
      </c>
      <c r="C398">
        <v>1</v>
      </c>
    </row>
    <row r="399" spans="1:3" x14ac:dyDescent="0.35">
      <c r="A399" t="s">
        <v>972</v>
      </c>
      <c r="B399" t="s">
        <v>971</v>
      </c>
      <c r="C399">
        <v>1</v>
      </c>
    </row>
    <row r="400" spans="1:3" x14ac:dyDescent="0.35">
      <c r="A400" t="s">
        <v>1899</v>
      </c>
      <c r="C400">
        <v>1</v>
      </c>
    </row>
    <row r="401" spans="1:3" x14ac:dyDescent="0.35">
      <c r="A401" t="s">
        <v>531</v>
      </c>
      <c r="B401" t="s">
        <v>530</v>
      </c>
      <c r="C401">
        <v>1</v>
      </c>
    </row>
    <row r="402" spans="1:3" x14ac:dyDescent="0.35">
      <c r="A402" t="s">
        <v>1900</v>
      </c>
      <c r="C402">
        <v>1</v>
      </c>
    </row>
    <row r="403" spans="1:3" x14ac:dyDescent="0.35">
      <c r="A403" t="s">
        <v>1106</v>
      </c>
      <c r="B403" t="s">
        <v>1105</v>
      </c>
      <c r="C403">
        <v>1</v>
      </c>
    </row>
    <row r="404" spans="1:3" x14ac:dyDescent="0.35">
      <c r="A404" t="s">
        <v>1901</v>
      </c>
      <c r="C404">
        <v>1</v>
      </c>
    </row>
    <row r="405" spans="1:3" x14ac:dyDescent="0.35">
      <c r="A405" t="s">
        <v>1163</v>
      </c>
      <c r="B405" t="s">
        <v>1162</v>
      </c>
      <c r="C405">
        <v>1</v>
      </c>
    </row>
    <row r="406" spans="1:3" x14ac:dyDescent="0.35">
      <c r="A406" t="s">
        <v>1902</v>
      </c>
      <c r="C406">
        <v>1</v>
      </c>
    </row>
    <row r="407" spans="1:3" x14ac:dyDescent="0.35">
      <c r="A407" t="s">
        <v>1111</v>
      </c>
      <c r="B407" t="s">
        <v>1110</v>
      </c>
      <c r="C407">
        <v>1</v>
      </c>
    </row>
    <row r="408" spans="1:3" x14ac:dyDescent="0.35">
      <c r="A408" t="s">
        <v>1903</v>
      </c>
      <c r="C408">
        <v>1</v>
      </c>
    </row>
    <row r="409" spans="1:3" x14ac:dyDescent="0.35">
      <c r="A409" t="s">
        <v>1082</v>
      </c>
      <c r="B409" t="s">
        <v>1081</v>
      </c>
      <c r="C409">
        <v>1</v>
      </c>
    </row>
    <row r="410" spans="1:3" x14ac:dyDescent="0.35">
      <c r="A410" t="s">
        <v>1904</v>
      </c>
      <c r="C410">
        <v>1</v>
      </c>
    </row>
    <row r="411" spans="1:3" x14ac:dyDescent="0.35">
      <c r="A411" t="s">
        <v>1181</v>
      </c>
      <c r="B411" t="s">
        <v>1180</v>
      </c>
      <c r="C411">
        <v>1</v>
      </c>
    </row>
    <row r="412" spans="1:3" x14ac:dyDescent="0.35">
      <c r="A412" t="s">
        <v>1905</v>
      </c>
      <c r="C412">
        <v>1</v>
      </c>
    </row>
    <row r="413" spans="1:3" x14ac:dyDescent="0.35">
      <c r="A413" t="s">
        <v>1239</v>
      </c>
      <c r="B413" t="s">
        <v>1238</v>
      </c>
      <c r="C413">
        <v>1</v>
      </c>
    </row>
    <row r="414" spans="1:3" x14ac:dyDescent="0.35">
      <c r="A414" t="s">
        <v>1906</v>
      </c>
      <c r="C414">
        <v>1</v>
      </c>
    </row>
    <row r="415" spans="1:3" x14ac:dyDescent="0.35">
      <c r="A415" t="s">
        <v>1097</v>
      </c>
      <c r="B415" t="s">
        <v>1096</v>
      </c>
      <c r="C415">
        <v>1</v>
      </c>
    </row>
    <row r="416" spans="1:3" x14ac:dyDescent="0.35">
      <c r="A416" t="s">
        <v>1907</v>
      </c>
      <c r="C416">
        <v>1</v>
      </c>
    </row>
    <row r="417" spans="1:3" x14ac:dyDescent="0.35">
      <c r="A417" t="s">
        <v>1116</v>
      </c>
      <c r="B417" t="s">
        <v>1115</v>
      </c>
      <c r="C417">
        <v>1</v>
      </c>
    </row>
    <row r="418" spans="1:3" x14ac:dyDescent="0.35">
      <c r="A418" t="s">
        <v>1908</v>
      </c>
      <c r="C418">
        <v>1</v>
      </c>
    </row>
    <row r="419" spans="1:3" x14ac:dyDescent="0.35">
      <c r="A419" t="s">
        <v>1132</v>
      </c>
      <c r="B419" t="s">
        <v>1131</v>
      </c>
      <c r="C419">
        <v>1</v>
      </c>
    </row>
    <row r="420" spans="1:3" x14ac:dyDescent="0.35">
      <c r="A420" t="s">
        <v>1909</v>
      </c>
      <c r="C420">
        <v>1</v>
      </c>
    </row>
    <row r="421" spans="1:3" x14ac:dyDescent="0.35">
      <c r="A421" t="s">
        <v>1086</v>
      </c>
      <c r="B421" t="s">
        <v>1085</v>
      </c>
      <c r="C421">
        <v>1</v>
      </c>
    </row>
    <row r="422" spans="1:3" x14ac:dyDescent="0.35">
      <c r="A422" t="s">
        <v>1910</v>
      </c>
      <c r="C422">
        <v>1</v>
      </c>
    </row>
    <row r="423" spans="1:3" x14ac:dyDescent="0.35">
      <c r="A423" t="s">
        <v>1007</v>
      </c>
      <c r="B423" t="s">
        <v>1006</v>
      </c>
      <c r="C423">
        <v>1</v>
      </c>
    </row>
    <row r="424" spans="1:3" x14ac:dyDescent="0.35">
      <c r="A424" t="s">
        <v>1911</v>
      </c>
      <c r="C424">
        <v>1</v>
      </c>
    </row>
    <row r="425" spans="1:3" x14ac:dyDescent="0.35">
      <c r="A425" t="s">
        <v>1091</v>
      </c>
      <c r="B425" t="s">
        <v>1146</v>
      </c>
      <c r="C425">
        <v>1</v>
      </c>
    </row>
    <row r="426" spans="1:3" x14ac:dyDescent="0.35">
      <c r="B426" t="s">
        <v>1090</v>
      </c>
      <c r="C426">
        <v>1</v>
      </c>
    </row>
    <row r="427" spans="1:3" x14ac:dyDescent="0.35">
      <c r="A427" t="s">
        <v>1912</v>
      </c>
      <c r="C427">
        <v>2</v>
      </c>
    </row>
    <row r="428" spans="1:3" x14ac:dyDescent="0.35">
      <c r="A428" t="s">
        <v>1421</v>
      </c>
      <c r="B428" t="s">
        <v>1420</v>
      </c>
      <c r="C428">
        <v>1</v>
      </c>
    </row>
    <row r="429" spans="1:3" x14ac:dyDescent="0.35">
      <c r="A429" t="s">
        <v>1913</v>
      </c>
      <c r="C429">
        <v>1</v>
      </c>
    </row>
    <row r="430" spans="1:3" x14ac:dyDescent="0.35">
      <c r="A430" t="s">
        <v>1324</v>
      </c>
      <c r="B430" t="s">
        <v>1323</v>
      </c>
      <c r="C430">
        <v>1</v>
      </c>
    </row>
    <row r="431" spans="1:3" x14ac:dyDescent="0.35">
      <c r="A431" t="s">
        <v>1914</v>
      </c>
      <c r="C431">
        <v>1</v>
      </c>
    </row>
    <row r="432" spans="1:3" x14ac:dyDescent="0.35">
      <c r="A432" t="s">
        <v>1071</v>
      </c>
      <c r="B432" t="s">
        <v>1070</v>
      </c>
      <c r="C432">
        <v>1</v>
      </c>
    </row>
    <row r="433" spans="1:3" x14ac:dyDescent="0.35">
      <c r="A433" t="s">
        <v>1915</v>
      </c>
      <c r="C433">
        <v>1</v>
      </c>
    </row>
    <row r="434" spans="1:3" x14ac:dyDescent="0.35">
      <c r="A434" t="s">
        <v>1121</v>
      </c>
      <c r="B434" t="s">
        <v>1120</v>
      </c>
      <c r="C434">
        <v>1</v>
      </c>
    </row>
    <row r="435" spans="1:3" x14ac:dyDescent="0.35">
      <c r="A435" t="s">
        <v>1916</v>
      </c>
      <c r="C435">
        <v>1</v>
      </c>
    </row>
    <row r="436" spans="1:3" x14ac:dyDescent="0.35">
      <c r="A436" t="s">
        <v>1274</v>
      </c>
      <c r="B436" t="s">
        <v>1273</v>
      </c>
      <c r="C436">
        <v>1</v>
      </c>
    </row>
    <row r="437" spans="1:3" x14ac:dyDescent="0.35">
      <c r="A437" t="s">
        <v>1917</v>
      </c>
      <c r="C437">
        <v>1</v>
      </c>
    </row>
    <row r="438" spans="1:3" x14ac:dyDescent="0.35">
      <c r="A438" t="s">
        <v>1256</v>
      </c>
      <c r="B438" t="s">
        <v>1255</v>
      </c>
      <c r="C438">
        <v>1</v>
      </c>
    </row>
    <row r="439" spans="1:3" x14ac:dyDescent="0.35">
      <c r="A439" t="s">
        <v>1918</v>
      </c>
      <c r="C439">
        <v>1</v>
      </c>
    </row>
    <row r="440" spans="1:3" x14ac:dyDescent="0.35">
      <c r="A440" t="s">
        <v>1187</v>
      </c>
      <c r="B440" t="s">
        <v>1186</v>
      </c>
      <c r="C440">
        <v>1</v>
      </c>
    </row>
    <row r="441" spans="1:3" x14ac:dyDescent="0.35">
      <c r="A441" t="s">
        <v>1919</v>
      </c>
      <c r="C441">
        <v>1</v>
      </c>
    </row>
    <row r="442" spans="1:3" x14ac:dyDescent="0.35">
      <c r="A442" t="s">
        <v>1126</v>
      </c>
      <c r="B442" t="s">
        <v>1125</v>
      </c>
      <c r="C442">
        <v>1</v>
      </c>
    </row>
    <row r="443" spans="1:3" x14ac:dyDescent="0.35">
      <c r="B443" t="s">
        <v>1218</v>
      </c>
      <c r="C443">
        <v>1</v>
      </c>
    </row>
    <row r="444" spans="1:3" x14ac:dyDescent="0.35">
      <c r="A444" t="s">
        <v>1920</v>
      </c>
      <c r="C444">
        <v>2</v>
      </c>
    </row>
    <row r="445" spans="1:3" x14ac:dyDescent="0.35">
      <c r="A445" t="s">
        <v>1527</v>
      </c>
      <c r="B445" t="s">
        <v>1526</v>
      </c>
      <c r="C445">
        <v>1</v>
      </c>
    </row>
    <row r="446" spans="1:3" x14ac:dyDescent="0.35">
      <c r="A446" t="s">
        <v>1921</v>
      </c>
      <c r="C446">
        <v>1</v>
      </c>
    </row>
    <row r="447" spans="1:3" x14ac:dyDescent="0.35">
      <c r="A447" t="s">
        <v>1138</v>
      </c>
      <c r="B447" t="s">
        <v>1137</v>
      </c>
      <c r="C447">
        <v>1</v>
      </c>
    </row>
    <row r="448" spans="1:3" x14ac:dyDescent="0.35">
      <c r="A448" t="s">
        <v>1922</v>
      </c>
      <c r="C448">
        <v>1</v>
      </c>
    </row>
    <row r="449" spans="1:3" x14ac:dyDescent="0.35">
      <c r="A449" t="s">
        <v>1270</v>
      </c>
      <c r="B449" t="s">
        <v>1269</v>
      </c>
      <c r="C449">
        <v>1</v>
      </c>
    </row>
    <row r="450" spans="1:3" x14ac:dyDescent="0.35">
      <c r="A450" t="s">
        <v>1923</v>
      </c>
      <c r="C450">
        <v>1</v>
      </c>
    </row>
    <row r="451" spans="1:3" x14ac:dyDescent="0.35">
      <c r="A451" t="s">
        <v>1233</v>
      </c>
      <c r="B451" t="s">
        <v>1232</v>
      </c>
      <c r="C451">
        <v>1</v>
      </c>
    </row>
    <row r="452" spans="1:3" x14ac:dyDescent="0.35">
      <c r="A452" t="s">
        <v>1924</v>
      </c>
      <c r="C452">
        <v>1</v>
      </c>
    </row>
    <row r="453" spans="1:3" x14ac:dyDescent="0.35">
      <c r="A453" t="s">
        <v>1292</v>
      </c>
      <c r="B453" t="s">
        <v>1291</v>
      </c>
      <c r="C453">
        <v>1</v>
      </c>
    </row>
    <row r="454" spans="1:3" x14ac:dyDescent="0.35">
      <c r="A454" t="s">
        <v>1925</v>
      </c>
      <c r="C454">
        <v>1</v>
      </c>
    </row>
    <row r="455" spans="1:3" x14ac:dyDescent="0.35">
      <c r="A455" t="s">
        <v>1303</v>
      </c>
      <c r="B455" t="s">
        <v>1302</v>
      </c>
      <c r="C455">
        <v>1</v>
      </c>
    </row>
    <row r="456" spans="1:3" x14ac:dyDescent="0.35">
      <c r="A456" t="s">
        <v>1926</v>
      </c>
      <c r="C456">
        <v>1</v>
      </c>
    </row>
    <row r="457" spans="1:3" x14ac:dyDescent="0.35">
      <c r="A457" t="s">
        <v>1308</v>
      </c>
      <c r="B457" t="s">
        <v>1307</v>
      </c>
      <c r="C457">
        <v>1</v>
      </c>
    </row>
    <row r="458" spans="1:3" x14ac:dyDescent="0.35">
      <c r="A458" t="s">
        <v>1927</v>
      </c>
      <c r="C458">
        <v>1</v>
      </c>
    </row>
    <row r="459" spans="1:3" x14ac:dyDescent="0.35">
      <c r="A459" t="s">
        <v>1313</v>
      </c>
      <c r="B459" t="s">
        <v>1312</v>
      </c>
      <c r="C459">
        <v>1</v>
      </c>
    </row>
    <row r="460" spans="1:3" x14ac:dyDescent="0.35">
      <c r="A460" t="s">
        <v>1928</v>
      </c>
      <c r="C460">
        <v>1</v>
      </c>
    </row>
    <row r="461" spans="1:3" x14ac:dyDescent="0.35">
      <c r="A461" t="s">
        <v>1335</v>
      </c>
      <c r="B461" t="s">
        <v>1334</v>
      </c>
      <c r="C461">
        <v>1</v>
      </c>
    </row>
    <row r="462" spans="1:3" x14ac:dyDescent="0.35">
      <c r="A462" t="s">
        <v>1929</v>
      </c>
      <c r="C462">
        <v>1</v>
      </c>
    </row>
    <row r="463" spans="1:3" x14ac:dyDescent="0.35">
      <c r="A463" t="s">
        <v>1372</v>
      </c>
      <c r="B463" t="s">
        <v>1371</v>
      </c>
      <c r="C463">
        <v>1</v>
      </c>
    </row>
    <row r="464" spans="1:3" x14ac:dyDescent="0.35">
      <c r="A464" t="s">
        <v>1930</v>
      </c>
      <c r="C464">
        <v>1</v>
      </c>
    </row>
    <row r="465" spans="1:3" x14ac:dyDescent="0.35">
      <c r="A465" t="s">
        <v>1430</v>
      </c>
      <c r="B465" t="s">
        <v>1429</v>
      </c>
      <c r="C465">
        <v>1</v>
      </c>
    </row>
    <row r="466" spans="1:3" x14ac:dyDescent="0.35">
      <c r="A466" t="s">
        <v>1931</v>
      </c>
      <c r="C466">
        <v>1</v>
      </c>
    </row>
    <row r="467" spans="1:3" x14ac:dyDescent="0.35">
      <c r="A467" t="s">
        <v>1414</v>
      </c>
      <c r="B467" t="s">
        <v>1413</v>
      </c>
      <c r="C467">
        <v>1</v>
      </c>
    </row>
    <row r="468" spans="1:3" x14ac:dyDescent="0.35">
      <c r="A468" t="s">
        <v>1932</v>
      </c>
      <c r="C468">
        <v>1</v>
      </c>
    </row>
    <row r="469" spans="1:3" x14ac:dyDescent="0.35">
      <c r="A469" t="s">
        <v>1398</v>
      </c>
      <c r="B469" t="s">
        <v>1397</v>
      </c>
      <c r="C469">
        <v>1</v>
      </c>
    </row>
    <row r="470" spans="1:3" x14ac:dyDescent="0.35">
      <c r="A470" t="s">
        <v>1933</v>
      </c>
      <c r="C470">
        <v>1</v>
      </c>
    </row>
    <row r="471" spans="1:3" x14ac:dyDescent="0.35">
      <c r="A471" t="s">
        <v>1387</v>
      </c>
      <c r="B471" t="s">
        <v>1391</v>
      </c>
      <c r="C471">
        <v>2</v>
      </c>
    </row>
    <row r="472" spans="1:3" x14ac:dyDescent="0.35">
      <c r="B472" t="s">
        <v>1386</v>
      </c>
      <c r="C472">
        <v>1</v>
      </c>
    </row>
    <row r="473" spans="1:3" x14ac:dyDescent="0.35">
      <c r="B473" t="s">
        <v>1401</v>
      </c>
      <c r="C473">
        <v>1</v>
      </c>
    </row>
    <row r="474" spans="1:3" x14ac:dyDescent="0.35">
      <c r="B474" t="s">
        <v>1405</v>
      </c>
      <c r="C474">
        <v>1</v>
      </c>
    </row>
    <row r="475" spans="1:3" x14ac:dyDescent="0.35">
      <c r="A475" t="s">
        <v>1934</v>
      </c>
      <c r="C475">
        <v>5</v>
      </c>
    </row>
    <row r="476" spans="1:3" x14ac:dyDescent="0.35">
      <c r="A476" t="s">
        <v>1469</v>
      </c>
      <c r="B476" t="s">
        <v>1595</v>
      </c>
      <c r="C476">
        <v>1</v>
      </c>
    </row>
    <row r="477" spans="1:3" x14ac:dyDescent="0.35">
      <c r="B477" t="s">
        <v>1498</v>
      </c>
      <c r="C477">
        <v>1</v>
      </c>
    </row>
    <row r="478" spans="1:3" x14ac:dyDescent="0.35">
      <c r="B478" t="s">
        <v>1468</v>
      </c>
      <c r="C478">
        <v>1</v>
      </c>
    </row>
    <row r="479" spans="1:3" x14ac:dyDescent="0.35">
      <c r="A479" t="s">
        <v>1935</v>
      </c>
      <c r="C479">
        <v>3</v>
      </c>
    </row>
    <row r="480" spans="1:3" x14ac:dyDescent="0.35">
      <c r="A480" t="s">
        <v>1546</v>
      </c>
      <c r="B480" t="s">
        <v>1545</v>
      </c>
      <c r="C480">
        <v>1</v>
      </c>
    </row>
    <row r="481" spans="1:3" x14ac:dyDescent="0.35">
      <c r="A481" t="s">
        <v>1936</v>
      </c>
      <c r="C481">
        <v>1</v>
      </c>
    </row>
    <row r="482" spans="1:3" x14ac:dyDescent="0.35">
      <c r="A482" t="s">
        <v>1425</v>
      </c>
      <c r="B482" t="s">
        <v>1424</v>
      </c>
      <c r="C482">
        <v>1</v>
      </c>
    </row>
    <row r="483" spans="1:3" x14ac:dyDescent="0.35">
      <c r="A483" t="s">
        <v>1937</v>
      </c>
      <c r="C483">
        <v>1</v>
      </c>
    </row>
    <row r="484" spans="1:3" x14ac:dyDescent="0.35">
      <c r="A484" t="s">
        <v>1536</v>
      </c>
      <c r="B484" t="s">
        <v>1535</v>
      </c>
      <c r="C484">
        <v>1</v>
      </c>
    </row>
    <row r="485" spans="1:3" x14ac:dyDescent="0.35">
      <c r="A485" t="s">
        <v>1938</v>
      </c>
      <c r="C485">
        <v>1</v>
      </c>
    </row>
    <row r="486" spans="1:3" x14ac:dyDescent="0.35">
      <c r="A486" t="s">
        <v>1541</v>
      </c>
      <c r="B486" t="s">
        <v>1540</v>
      </c>
      <c r="C486">
        <v>1</v>
      </c>
    </row>
    <row r="487" spans="1:3" x14ac:dyDescent="0.35">
      <c r="A487" t="s">
        <v>1939</v>
      </c>
      <c r="C487">
        <v>1</v>
      </c>
    </row>
    <row r="488" spans="1:3" x14ac:dyDescent="0.35">
      <c r="A488" t="s">
        <v>1464</v>
      </c>
      <c r="B488" t="s">
        <v>1507</v>
      </c>
      <c r="C488">
        <v>1</v>
      </c>
    </row>
    <row r="489" spans="1:3" x14ac:dyDescent="0.35">
      <c r="B489" t="s">
        <v>1463</v>
      </c>
      <c r="C489">
        <v>1</v>
      </c>
    </row>
    <row r="490" spans="1:3" x14ac:dyDescent="0.35">
      <c r="A490" t="s">
        <v>1940</v>
      </c>
      <c r="C490">
        <v>2</v>
      </c>
    </row>
    <row r="491" spans="1:3" x14ac:dyDescent="0.35">
      <c r="A491" t="s">
        <v>1578</v>
      </c>
      <c r="B491" t="s">
        <v>1577</v>
      </c>
      <c r="C491">
        <v>1</v>
      </c>
    </row>
    <row r="492" spans="1:3" x14ac:dyDescent="0.35">
      <c r="A492" t="s">
        <v>1941</v>
      </c>
      <c r="C492">
        <v>1</v>
      </c>
    </row>
    <row r="493" spans="1:3" x14ac:dyDescent="0.35">
      <c r="A493" t="s">
        <v>1446</v>
      </c>
      <c r="B493" t="s">
        <v>1445</v>
      </c>
      <c r="C493">
        <v>1</v>
      </c>
    </row>
    <row r="494" spans="1:3" x14ac:dyDescent="0.35">
      <c r="A494" t="s">
        <v>1942</v>
      </c>
      <c r="C494">
        <v>1</v>
      </c>
    </row>
    <row r="495" spans="1:3" x14ac:dyDescent="0.35">
      <c r="A495" t="s">
        <v>1565</v>
      </c>
      <c r="B495" t="s">
        <v>1564</v>
      </c>
      <c r="C495">
        <v>1</v>
      </c>
    </row>
    <row r="496" spans="1:3" x14ac:dyDescent="0.35">
      <c r="B496" t="s">
        <v>1568</v>
      </c>
      <c r="C496">
        <v>1</v>
      </c>
    </row>
    <row r="497" spans="1:3" x14ac:dyDescent="0.35">
      <c r="B497" t="s">
        <v>1641</v>
      </c>
      <c r="C497">
        <v>1</v>
      </c>
    </row>
    <row r="498" spans="1:3" x14ac:dyDescent="0.35">
      <c r="A498" t="s">
        <v>1943</v>
      </c>
      <c r="C498">
        <v>3</v>
      </c>
    </row>
    <row r="499" spans="1:3" x14ac:dyDescent="0.35">
      <c r="A499" t="s">
        <v>1572</v>
      </c>
      <c r="B499" t="s">
        <v>1571</v>
      </c>
      <c r="C499">
        <v>1</v>
      </c>
    </row>
    <row r="500" spans="1:3" x14ac:dyDescent="0.35">
      <c r="A500" t="s">
        <v>1944</v>
      </c>
      <c r="C500">
        <v>1</v>
      </c>
    </row>
    <row r="501" spans="1:3" x14ac:dyDescent="0.35">
      <c r="A501" t="s">
        <v>1600</v>
      </c>
      <c r="B501" t="s">
        <v>1599</v>
      </c>
      <c r="C501">
        <v>1</v>
      </c>
    </row>
    <row r="502" spans="1:3" x14ac:dyDescent="0.35">
      <c r="A502" t="s">
        <v>1945</v>
      </c>
      <c r="C502">
        <v>1</v>
      </c>
    </row>
    <row r="503" spans="1:3" x14ac:dyDescent="0.35">
      <c r="A503" t="s">
        <v>1703</v>
      </c>
      <c r="B503" t="s">
        <v>1702</v>
      </c>
      <c r="C503">
        <v>1</v>
      </c>
    </row>
    <row r="504" spans="1:3" x14ac:dyDescent="0.35">
      <c r="A504" t="s">
        <v>1946</v>
      </c>
      <c r="C504">
        <v>1</v>
      </c>
    </row>
    <row r="505" spans="1:3" x14ac:dyDescent="0.35">
      <c r="A505" t="s">
        <v>1588</v>
      </c>
      <c r="B505" t="s">
        <v>1587</v>
      </c>
      <c r="C505">
        <v>1</v>
      </c>
    </row>
    <row r="506" spans="1:3" x14ac:dyDescent="0.35">
      <c r="A506" t="s">
        <v>1947</v>
      </c>
      <c r="C506">
        <v>1</v>
      </c>
    </row>
    <row r="507" spans="1:3" x14ac:dyDescent="0.35">
      <c r="A507" t="s">
        <v>1665</v>
      </c>
      <c r="B507" t="s">
        <v>1664</v>
      </c>
      <c r="C507">
        <v>1</v>
      </c>
    </row>
    <row r="508" spans="1:3" x14ac:dyDescent="0.35">
      <c r="A508" t="s">
        <v>1948</v>
      </c>
      <c r="C508">
        <v>1</v>
      </c>
    </row>
    <row r="509" spans="1:3" x14ac:dyDescent="0.35">
      <c r="A509" t="s">
        <v>1556</v>
      </c>
      <c r="B509" t="s">
        <v>1555</v>
      </c>
      <c r="C509">
        <v>1</v>
      </c>
    </row>
    <row r="510" spans="1:3" x14ac:dyDescent="0.35">
      <c r="A510" t="s">
        <v>1949</v>
      </c>
      <c r="C510">
        <v>1</v>
      </c>
    </row>
    <row r="511" spans="1:3" x14ac:dyDescent="0.35">
      <c r="A511" t="s">
        <v>1690</v>
      </c>
      <c r="B511" t="s">
        <v>1689</v>
      </c>
      <c r="C511">
        <v>1</v>
      </c>
    </row>
    <row r="512" spans="1:3" x14ac:dyDescent="0.35">
      <c r="A512" t="s">
        <v>1950</v>
      </c>
      <c r="C512">
        <v>1</v>
      </c>
    </row>
    <row r="513" spans="1:3" x14ac:dyDescent="0.35">
      <c r="A513" t="s">
        <v>112</v>
      </c>
      <c r="B513" t="s">
        <v>111</v>
      </c>
      <c r="C513">
        <v>1</v>
      </c>
    </row>
    <row r="514" spans="1:3" x14ac:dyDescent="0.35">
      <c r="A514" t="s">
        <v>1951</v>
      </c>
      <c r="C514">
        <v>1</v>
      </c>
    </row>
    <row r="515" spans="1:3" x14ac:dyDescent="0.35">
      <c r="A515" t="s">
        <v>26</v>
      </c>
      <c r="B515" t="s">
        <v>889</v>
      </c>
      <c r="C515">
        <v>1</v>
      </c>
    </row>
    <row r="516" spans="1:3" x14ac:dyDescent="0.35">
      <c r="B516" t="s">
        <v>1155</v>
      </c>
      <c r="C516">
        <v>1</v>
      </c>
    </row>
    <row r="517" spans="1:3" x14ac:dyDescent="0.35">
      <c r="B517" t="s">
        <v>701</v>
      </c>
      <c r="C517">
        <v>1</v>
      </c>
    </row>
    <row r="518" spans="1:3" x14ac:dyDescent="0.35">
      <c r="B518" t="s">
        <v>478</v>
      </c>
      <c r="C518">
        <v>1</v>
      </c>
    </row>
    <row r="519" spans="1:3" x14ac:dyDescent="0.35">
      <c r="B519" t="s">
        <v>194</v>
      </c>
      <c r="C519">
        <v>1</v>
      </c>
    </row>
    <row r="520" spans="1:3" x14ac:dyDescent="0.35">
      <c r="B520" t="s">
        <v>367</v>
      </c>
      <c r="C520">
        <v>1</v>
      </c>
    </row>
    <row r="521" spans="1:3" x14ac:dyDescent="0.35">
      <c r="B521" t="s">
        <v>1227</v>
      </c>
      <c r="C521">
        <v>1</v>
      </c>
    </row>
    <row r="522" spans="1:3" x14ac:dyDescent="0.35">
      <c r="B522" t="s">
        <v>1223</v>
      </c>
      <c r="C522">
        <v>1</v>
      </c>
    </row>
    <row r="523" spans="1:3" x14ac:dyDescent="0.35">
      <c r="B523" t="s">
        <v>404</v>
      </c>
      <c r="C523">
        <v>1</v>
      </c>
    </row>
    <row r="524" spans="1:3" x14ac:dyDescent="0.35">
      <c r="B524" t="s">
        <v>32</v>
      </c>
      <c r="C524">
        <v>1</v>
      </c>
    </row>
    <row r="525" spans="1:3" x14ac:dyDescent="0.35">
      <c r="B525" t="s">
        <v>216</v>
      </c>
      <c r="C525">
        <v>1</v>
      </c>
    </row>
    <row r="526" spans="1:3" x14ac:dyDescent="0.35">
      <c r="B526" t="s">
        <v>47</v>
      </c>
      <c r="C526">
        <v>1</v>
      </c>
    </row>
    <row r="527" spans="1:3" x14ac:dyDescent="0.35">
      <c r="B527" t="s">
        <v>1330</v>
      </c>
      <c r="C527">
        <v>1</v>
      </c>
    </row>
    <row r="528" spans="1:3" x14ac:dyDescent="0.35">
      <c r="B528" t="s">
        <v>1328</v>
      </c>
      <c r="C528">
        <v>1</v>
      </c>
    </row>
    <row r="529" spans="2:3" x14ac:dyDescent="0.35">
      <c r="B529" t="s">
        <v>559</v>
      </c>
      <c r="C529">
        <v>1</v>
      </c>
    </row>
    <row r="530" spans="2:3" x14ac:dyDescent="0.35">
      <c r="B530" t="s">
        <v>246</v>
      </c>
      <c r="C530">
        <v>1</v>
      </c>
    </row>
    <row r="531" spans="2:3" x14ac:dyDescent="0.35">
      <c r="B531" t="s">
        <v>408</v>
      </c>
      <c r="C531">
        <v>1</v>
      </c>
    </row>
    <row r="532" spans="2:3" x14ac:dyDescent="0.35">
      <c r="B532" t="s">
        <v>1288</v>
      </c>
      <c r="C532">
        <v>1</v>
      </c>
    </row>
    <row r="533" spans="2:3" x14ac:dyDescent="0.35">
      <c r="B533" t="s">
        <v>263</v>
      </c>
      <c r="C533">
        <v>1</v>
      </c>
    </row>
    <row r="534" spans="2:3" x14ac:dyDescent="0.35">
      <c r="B534" t="s">
        <v>91</v>
      </c>
      <c r="C534">
        <v>1</v>
      </c>
    </row>
    <row r="535" spans="2:3" x14ac:dyDescent="0.35">
      <c r="B535" t="s">
        <v>360</v>
      </c>
      <c r="C535">
        <v>1</v>
      </c>
    </row>
    <row r="536" spans="2:3" x14ac:dyDescent="0.35">
      <c r="B536" t="s">
        <v>564</v>
      </c>
      <c r="C536">
        <v>1</v>
      </c>
    </row>
    <row r="537" spans="2:3" x14ac:dyDescent="0.35">
      <c r="B537" t="s">
        <v>309</v>
      </c>
      <c r="C537">
        <v>1</v>
      </c>
    </row>
    <row r="538" spans="2:3" x14ac:dyDescent="0.35">
      <c r="B538" t="s">
        <v>683</v>
      </c>
      <c r="C538">
        <v>1</v>
      </c>
    </row>
    <row r="539" spans="2:3" x14ac:dyDescent="0.35">
      <c r="B539" t="s">
        <v>416</v>
      </c>
      <c r="C539">
        <v>1</v>
      </c>
    </row>
    <row r="540" spans="2:3" x14ac:dyDescent="0.35">
      <c r="B540" t="s">
        <v>25</v>
      </c>
      <c r="C540">
        <v>1</v>
      </c>
    </row>
    <row r="541" spans="2:3" x14ac:dyDescent="0.35">
      <c r="B541" t="s">
        <v>119</v>
      </c>
      <c r="C541">
        <v>1</v>
      </c>
    </row>
    <row r="542" spans="2:3" x14ac:dyDescent="0.35">
      <c r="B542" t="s">
        <v>259</v>
      </c>
      <c r="C542">
        <v>1</v>
      </c>
    </row>
    <row r="543" spans="2:3" x14ac:dyDescent="0.35">
      <c r="B543" t="s">
        <v>207</v>
      </c>
      <c r="C543">
        <v>1</v>
      </c>
    </row>
    <row r="544" spans="2:3" x14ac:dyDescent="0.35">
      <c r="B544" t="s">
        <v>598</v>
      </c>
      <c r="C544">
        <v>1</v>
      </c>
    </row>
    <row r="545" spans="1:3" x14ac:dyDescent="0.35">
      <c r="B545" t="s">
        <v>1656</v>
      </c>
      <c r="C545">
        <v>1</v>
      </c>
    </row>
    <row r="546" spans="1:3" x14ac:dyDescent="0.35">
      <c r="B546" t="s">
        <v>147</v>
      </c>
      <c r="C546">
        <v>1</v>
      </c>
    </row>
    <row r="547" spans="1:3" x14ac:dyDescent="0.35">
      <c r="B547" t="s">
        <v>475</v>
      </c>
      <c r="C547">
        <v>1</v>
      </c>
    </row>
    <row r="548" spans="1:3" x14ac:dyDescent="0.35">
      <c r="B548" t="s">
        <v>1048</v>
      </c>
      <c r="C548">
        <v>1</v>
      </c>
    </row>
    <row r="549" spans="1:3" x14ac:dyDescent="0.35">
      <c r="B549" t="s">
        <v>190</v>
      </c>
      <c r="C549">
        <v>1</v>
      </c>
    </row>
    <row r="550" spans="1:3" x14ac:dyDescent="0.35">
      <c r="B550" t="s">
        <v>1002</v>
      </c>
      <c r="C550">
        <v>1</v>
      </c>
    </row>
    <row r="551" spans="1:3" x14ac:dyDescent="0.35">
      <c r="B551" t="s">
        <v>656</v>
      </c>
      <c r="C551">
        <v>1</v>
      </c>
    </row>
    <row r="552" spans="1:3" x14ac:dyDescent="0.35">
      <c r="B552" t="s">
        <v>1143</v>
      </c>
      <c r="C552">
        <v>1</v>
      </c>
    </row>
    <row r="553" spans="1:3" x14ac:dyDescent="0.35">
      <c r="B553" t="s">
        <v>1022</v>
      </c>
      <c r="C553">
        <v>1</v>
      </c>
    </row>
    <row r="554" spans="1:3" x14ac:dyDescent="0.35">
      <c r="A554" t="s">
        <v>1952</v>
      </c>
      <c r="C554">
        <v>39</v>
      </c>
    </row>
    <row r="555" spans="1:3" x14ac:dyDescent="0.35">
      <c r="A555" t="s">
        <v>364</v>
      </c>
      <c r="B555" t="s">
        <v>363</v>
      </c>
      <c r="C555">
        <v>1</v>
      </c>
    </row>
    <row r="556" spans="1:3" x14ac:dyDescent="0.35">
      <c r="A556" t="s">
        <v>1953</v>
      </c>
      <c r="C556">
        <v>1</v>
      </c>
    </row>
    <row r="557" spans="1:3" x14ac:dyDescent="0.35">
      <c r="A557" t="s">
        <v>167</v>
      </c>
      <c r="B557" t="s">
        <v>166</v>
      </c>
      <c r="C557">
        <v>1</v>
      </c>
    </row>
    <row r="558" spans="1:3" x14ac:dyDescent="0.35">
      <c r="A558" t="s">
        <v>1954</v>
      </c>
      <c r="C558">
        <v>1</v>
      </c>
    </row>
    <row r="559" spans="1:3" x14ac:dyDescent="0.35">
      <c r="A559" t="s">
        <v>125</v>
      </c>
      <c r="B559" t="s">
        <v>124</v>
      </c>
      <c r="C559">
        <v>1</v>
      </c>
    </row>
    <row r="560" spans="1:3" x14ac:dyDescent="0.35">
      <c r="A560" t="s">
        <v>1955</v>
      </c>
      <c r="C560">
        <v>1</v>
      </c>
    </row>
    <row r="561" spans="1:3" x14ac:dyDescent="0.35">
      <c r="A561" t="s">
        <v>294</v>
      </c>
      <c r="B561" t="s">
        <v>293</v>
      </c>
      <c r="C561">
        <v>1</v>
      </c>
    </row>
    <row r="562" spans="1:3" x14ac:dyDescent="0.35">
      <c r="A562" t="s">
        <v>1956</v>
      </c>
      <c r="C562">
        <v>1</v>
      </c>
    </row>
    <row r="563" spans="1:3" x14ac:dyDescent="0.35">
      <c r="A563" t="s">
        <v>456</v>
      </c>
      <c r="B563" t="s">
        <v>455</v>
      </c>
      <c r="C563">
        <v>3</v>
      </c>
    </row>
    <row r="564" spans="1:3" x14ac:dyDescent="0.35">
      <c r="B564" t="s">
        <v>466</v>
      </c>
      <c r="C564">
        <v>1</v>
      </c>
    </row>
    <row r="565" spans="1:3" x14ac:dyDescent="0.35">
      <c r="B565" t="s">
        <v>462</v>
      </c>
      <c r="C565">
        <v>2</v>
      </c>
    </row>
    <row r="566" spans="1:3" x14ac:dyDescent="0.35">
      <c r="B566" t="s">
        <v>483</v>
      </c>
      <c r="C566">
        <v>1</v>
      </c>
    </row>
    <row r="567" spans="1:3" x14ac:dyDescent="0.35">
      <c r="B567" t="s">
        <v>487</v>
      </c>
      <c r="C567">
        <v>2</v>
      </c>
    </row>
    <row r="568" spans="1:3" x14ac:dyDescent="0.35">
      <c r="A568" t="s">
        <v>1957</v>
      </c>
      <c r="C568">
        <v>9</v>
      </c>
    </row>
    <row r="569" spans="1:3" x14ac:dyDescent="0.35">
      <c r="A569" t="s">
        <v>283</v>
      </c>
      <c r="B569" t="s">
        <v>282</v>
      </c>
      <c r="C569">
        <v>1</v>
      </c>
    </row>
    <row r="570" spans="1:3" x14ac:dyDescent="0.35">
      <c r="A570" t="s">
        <v>1958</v>
      </c>
      <c r="C570">
        <v>1</v>
      </c>
    </row>
    <row r="571" spans="1:3" x14ac:dyDescent="0.35">
      <c r="A571" t="s">
        <v>186</v>
      </c>
      <c r="B571" t="s">
        <v>254</v>
      </c>
      <c r="C571">
        <v>1</v>
      </c>
    </row>
    <row r="572" spans="1:3" x14ac:dyDescent="0.35">
      <c r="B572" t="s">
        <v>185</v>
      </c>
      <c r="C572">
        <v>1</v>
      </c>
    </row>
    <row r="573" spans="1:3" x14ac:dyDescent="0.35">
      <c r="A573" t="s">
        <v>1959</v>
      </c>
      <c r="C573">
        <v>2</v>
      </c>
    </row>
    <row r="574" spans="1:3" x14ac:dyDescent="0.35">
      <c r="A574" t="s">
        <v>583</v>
      </c>
      <c r="B574" t="s">
        <v>582</v>
      </c>
      <c r="C574">
        <v>2</v>
      </c>
    </row>
    <row r="575" spans="1:3" x14ac:dyDescent="0.35">
      <c r="B575" t="s">
        <v>589</v>
      </c>
      <c r="C575">
        <v>1</v>
      </c>
    </row>
    <row r="576" spans="1:3" x14ac:dyDescent="0.35">
      <c r="A576" t="s">
        <v>1960</v>
      </c>
      <c r="C576">
        <v>3</v>
      </c>
    </row>
    <row r="577" spans="1:3" x14ac:dyDescent="0.35">
      <c r="A577" t="s">
        <v>706</v>
      </c>
      <c r="B577" t="s">
        <v>710</v>
      </c>
      <c r="C577">
        <v>2</v>
      </c>
    </row>
    <row r="578" spans="1:3" x14ac:dyDescent="0.35">
      <c r="B578" t="s">
        <v>705</v>
      </c>
      <c r="C578">
        <v>3</v>
      </c>
    </row>
    <row r="579" spans="1:3" x14ac:dyDescent="0.35">
      <c r="A579" t="s">
        <v>1961</v>
      </c>
      <c r="C579">
        <v>5</v>
      </c>
    </row>
    <row r="580" spans="1:3" x14ac:dyDescent="0.35">
      <c r="A580" t="s">
        <v>471</v>
      </c>
      <c r="B580" t="s">
        <v>470</v>
      </c>
      <c r="C580">
        <v>1</v>
      </c>
    </row>
    <row r="581" spans="1:3" x14ac:dyDescent="0.35">
      <c r="A581" t="s">
        <v>1962</v>
      </c>
      <c r="C581">
        <v>1</v>
      </c>
    </row>
    <row r="582" spans="1:3" x14ac:dyDescent="0.35">
      <c r="A582" t="s">
        <v>430</v>
      </c>
      <c r="B582" t="s">
        <v>429</v>
      </c>
      <c r="C582">
        <v>1</v>
      </c>
    </row>
    <row r="583" spans="1:3" x14ac:dyDescent="0.35">
      <c r="A583" t="s">
        <v>1963</v>
      </c>
      <c r="C583">
        <v>1</v>
      </c>
    </row>
    <row r="584" spans="1:3" x14ac:dyDescent="0.35">
      <c r="A584" t="s">
        <v>516</v>
      </c>
      <c r="B584" t="s">
        <v>515</v>
      </c>
      <c r="C584">
        <v>1</v>
      </c>
    </row>
    <row r="585" spans="1:3" x14ac:dyDescent="0.35">
      <c r="A585" t="s">
        <v>1964</v>
      </c>
      <c r="C585">
        <v>1</v>
      </c>
    </row>
    <row r="586" spans="1:3" x14ac:dyDescent="0.35">
      <c r="A586" t="s">
        <v>526</v>
      </c>
      <c r="B586" t="s">
        <v>525</v>
      </c>
      <c r="C586">
        <v>1</v>
      </c>
    </row>
    <row r="587" spans="1:3" x14ac:dyDescent="0.35">
      <c r="A587" t="s">
        <v>1965</v>
      </c>
      <c r="C587">
        <v>1</v>
      </c>
    </row>
    <row r="588" spans="1:3" x14ac:dyDescent="0.35">
      <c r="A588" t="s">
        <v>1017</v>
      </c>
      <c r="B588" t="s">
        <v>1016</v>
      </c>
      <c r="C588">
        <v>1</v>
      </c>
    </row>
    <row r="589" spans="1:3" x14ac:dyDescent="0.35">
      <c r="A589" t="s">
        <v>1966</v>
      </c>
      <c r="C589">
        <v>1</v>
      </c>
    </row>
    <row r="590" spans="1:3" x14ac:dyDescent="0.35">
      <c r="A590" t="s">
        <v>1201</v>
      </c>
      <c r="B590" t="s">
        <v>1200</v>
      </c>
      <c r="C590">
        <v>1</v>
      </c>
    </row>
    <row r="591" spans="1:3" x14ac:dyDescent="0.35">
      <c r="A591" t="s">
        <v>1967</v>
      </c>
      <c r="C591">
        <v>1</v>
      </c>
    </row>
    <row r="592" spans="1:3" x14ac:dyDescent="0.35">
      <c r="A592" t="s">
        <v>1250</v>
      </c>
      <c r="B592" t="s">
        <v>1249</v>
      </c>
      <c r="C592">
        <v>1</v>
      </c>
    </row>
    <row r="593" spans="1:3" x14ac:dyDescent="0.35">
      <c r="A593" t="s">
        <v>1968</v>
      </c>
      <c r="C593">
        <v>1</v>
      </c>
    </row>
    <row r="594" spans="1:3" x14ac:dyDescent="0.35">
      <c r="A594" t="s">
        <v>1077</v>
      </c>
      <c r="B594" t="s">
        <v>1076</v>
      </c>
      <c r="C594">
        <v>1</v>
      </c>
    </row>
    <row r="595" spans="1:3" x14ac:dyDescent="0.35">
      <c r="A595" t="s">
        <v>1969</v>
      </c>
      <c r="C595">
        <v>1</v>
      </c>
    </row>
    <row r="596" spans="1:3" x14ac:dyDescent="0.35">
      <c r="A596" t="s">
        <v>1346</v>
      </c>
      <c r="B596" t="s">
        <v>1345</v>
      </c>
      <c r="C596">
        <v>1</v>
      </c>
    </row>
    <row r="597" spans="1:3" x14ac:dyDescent="0.35">
      <c r="A597" t="s">
        <v>1970</v>
      </c>
      <c r="C597">
        <v>1</v>
      </c>
    </row>
    <row r="598" spans="1:3" x14ac:dyDescent="0.35">
      <c r="A598" t="s">
        <v>1377</v>
      </c>
      <c r="B598" t="s">
        <v>1449</v>
      </c>
      <c r="C598">
        <v>1</v>
      </c>
    </row>
    <row r="599" spans="1:3" x14ac:dyDescent="0.35">
      <c r="B599" t="s">
        <v>1376</v>
      </c>
      <c r="C599">
        <v>1</v>
      </c>
    </row>
    <row r="600" spans="1:3" x14ac:dyDescent="0.35">
      <c r="A600" t="s">
        <v>1971</v>
      </c>
      <c r="C600">
        <v>2</v>
      </c>
    </row>
    <row r="601" spans="1:3" x14ac:dyDescent="0.35">
      <c r="A601" t="s">
        <v>1479</v>
      </c>
      <c r="B601" t="s">
        <v>1478</v>
      </c>
      <c r="C601">
        <v>1</v>
      </c>
    </row>
    <row r="602" spans="1:3" x14ac:dyDescent="0.35">
      <c r="A602" t="s">
        <v>1972</v>
      </c>
      <c r="C602">
        <v>1</v>
      </c>
    </row>
    <row r="603" spans="1:3" x14ac:dyDescent="0.35">
      <c r="A603" t="s">
        <v>1454</v>
      </c>
      <c r="B603" t="s">
        <v>1453</v>
      </c>
      <c r="C603">
        <v>1</v>
      </c>
    </row>
    <row r="604" spans="1:3" x14ac:dyDescent="0.35">
      <c r="B604" t="s">
        <v>1458</v>
      </c>
      <c r="C604">
        <v>1</v>
      </c>
    </row>
    <row r="605" spans="1:3" x14ac:dyDescent="0.35">
      <c r="A605" t="s">
        <v>1973</v>
      </c>
      <c r="C605">
        <v>2</v>
      </c>
    </row>
    <row r="606" spans="1:3" x14ac:dyDescent="0.35">
      <c r="A606" t="s">
        <v>1490</v>
      </c>
      <c r="B606" t="s">
        <v>1489</v>
      </c>
      <c r="C606">
        <v>1</v>
      </c>
    </row>
    <row r="607" spans="1:3" x14ac:dyDescent="0.35">
      <c r="B607" t="s">
        <v>1523</v>
      </c>
      <c r="C607">
        <v>1</v>
      </c>
    </row>
    <row r="608" spans="1:3" x14ac:dyDescent="0.35">
      <c r="B608" t="s">
        <v>1551</v>
      </c>
      <c r="C608">
        <v>1</v>
      </c>
    </row>
    <row r="609" spans="1:3" x14ac:dyDescent="0.35">
      <c r="B609" t="s">
        <v>1583</v>
      </c>
      <c r="C609">
        <v>1</v>
      </c>
    </row>
    <row r="610" spans="1:3" x14ac:dyDescent="0.35">
      <c r="B610" t="s">
        <v>1609</v>
      </c>
      <c r="C610">
        <v>1</v>
      </c>
    </row>
    <row r="611" spans="1:3" x14ac:dyDescent="0.35">
      <c r="A611" t="s">
        <v>1974</v>
      </c>
      <c r="C611">
        <v>5</v>
      </c>
    </row>
    <row r="612" spans="1:3" x14ac:dyDescent="0.35">
      <c r="A612" t="s">
        <v>1695</v>
      </c>
      <c r="B612" t="s">
        <v>1694</v>
      </c>
      <c r="C612">
        <v>1</v>
      </c>
    </row>
    <row r="613" spans="1:3" x14ac:dyDescent="0.35">
      <c r="A613" t="s">
        <v>1975</v>
      </c>
      <c r="C613">
        <v>1</v>
      </c>
    </row>
    <row r="614" spans="1:3" x14ac:dyDescent="0.35">
      <c r="A614" t="s">
        <v>236</v>
      </c>
      <c r="B614" t="s">
        <v>235</v>
      </c>
      <c r="C614">
        <v>1</v>
      </c>
    </row>
    <row r="615" spans="1:3" x14ac:dyDescent="0.35">
      <c r="A615" t="s">
        <v>1976</v>
      </c>
      <c r="C615">
        <v>1</v>
      </c>
    </row>
    <row r="616" spans="1:3" x14ac:dyDescent="0.35">
      <c r="A616" t="s">
        <v>105</v>
      </c>
      <c r="B616" t="s">
        <v>104</v>
      </c>
      <c r="C616">
        <v>1</v>
      </c>
    </row>
    <row r="617" spans="1:3" x14ac:dyDescent="0.35">
      <c r="B617" t="s">
        <v>1503</v>
      </c>
      <c r="C617">
        <v>1</v>
      </c>
    </row>
    <row r="618" spans="1:3" x14ac:dyDescent="0.35">
      <c r="B618" t="s">
        <v>1266</v>
      </c>
      <c r="C618">
        <v>1</v>
      </c>
    </row>
    <row r="619" spans="1:3" x14ac:dyDescent="0.35">
      <c r="B619" t="s">
        <v>797</v>
      </c>
      <c r="C619">
        <v>1</v>
      </c>
    </row>
    <row r="620" spans="1:3" x14ac:dyDescent="0.35">
      <c r="B620" t="s">
        <v>1532</v>
      </c>
      <c r="C620">
        <v>1</v>
      </c>
    </row>
    <row r="621" spans="1:3" x14ac:dyDescent="0.35">
      <c r="A621" t="s">
        <v>1977</v>
      </c>
      <c r="C621">
        <v>5</v>
      </c>
    </row>
    <row r="622" spans="1:3" x14ac:dyDescent="0.35">
      <c r="A622" t="s">
        <v>1723</v>
      </c>
      <c r="C622">
        <v>379</v>
      </c>
    </row>
  </sheetData>
  <mergeCells count="1">
    <mergeCell ref="A1:C1"/>
  </mergeCell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9EA1-C0CE-4F51-8C26-0D45A841181C}">
  <dimension ref="A3:C247"/>
  <sheetViews>
    <sheetView zoomScale="62" zoomScaleNormal="42" workbookViewId="0">
      <selection activeCell="A4" sqref="A4"/>
    </sheetView>
  </sheetViews>
  <sheetFormatPr defaultRowHeight="14.5" x14ac:dyDescent="0.35"/>
  <cols>
    <col min="1" max="1" width="40.6328125" customWidth="1"/>
    <col min="2" max="2" width="9.90625" bestFit="1" customWidth="1"/>
    <col min="3" max="3" width="13.453125" bestFit="1" customWidth="1"/>
  </cols>
  <sheetData>
    <row r="3" spans="1:3" ht="18" customHeight="1" x14ac:dyDescent="0.35">
      <c r="A3" s="3" t="s">
        <v>0</v>
      </c>
      <c r="B3" s="3" t="s">
        <v>1722</v>
      </c>
      <c r="C3" t="s">
        <v>1724</v>
      </c>
    </row>
    <row r="4" spans="1:3" ht="18" customHeight="1" x14ac:dyDescent="0.35">
      <c r="A4" t="s">
        <v>8</v>
      </c>
      <c r="C4">
        <v>379</v>
      </c>
    </row>
    <row r="5" spans="1:3" ht="18" customHeight="1" x14ac:dyDescent="0.35">
      <c r="A5" t="s">
        <v>1723</v>
      </c>
      <c r="C5">
        <v>379</v>
      </c>
    </row>
    <row r="6" spans="1:3" ht="18" customHeight="1" x14ac:dyDescent="0.35"/>
    <row r="7" spans="1:3" ht="18" customHeight="1" x14ac:dyDescent="0.35"/>
    <row r="8" spans="1:3" ht="18" customHeight="1" x14ac:dyDescent="0.35"/>
    <row r="9" spans="1:3" ht="18" customHeight="1" x14ac:dyDescent="0.35"/>
    <row r="10" spans="1:3" ht="18" customHeight="1" x14ac:dyDescent="0.35"/>
    <row r="11" spans="1:3" ht="18" customHeight="1" x14ac:dyDescent="0.35"/>
    <row r="12" spans="1:3" ht="18" customHeight="1" x14ac:dyDescent="0.35"/>
    <row r="13" spans="1:3" ht="18" customHeight="1" x14ac:dyDescent="0.35"/>
    <row r="14" spans="1:3" ht="18" customHeight="1" x14ac:dyDescent="0.35"/>
    <row r="15" spans="1:3" ht="18" customHeight="1" x14ac:dyDescent="0.35"/>
    <row r="16" spans="1:3" ht="18" customHeight="1" x14ac:dyDescent="0.35"/>
    <row r="17" ht="18" customHeight="1" x14ac:dyDescent="0.35"/>
    <row r="18" ht="18" customHeight="1" x14ac:dyDescent="0.35"/>
    <row r="19" ht="18" customHeight="1" x14ac:dyDescent="0.35"/>
    <row r="20" ht="18" customHeight="1" x14ac:dyDescent="0.35"/>
    <row r="21" ht="18" customHeight="1" x14ac:dyDescent="0.35"/>
    <row r="22" ht="18" customHeight="1" x14ac:dyDescent="0.35"/>
    <row r="23" ht="18" customHeight="1" x14ac:dyDescent="0.35"/>
    <row r="24" ht="18" customHeight="1" x14ac:dyDescent="0.35"/>
    <row r="25" ht="18" customHeight="1" x14ac:dyDescent="0.35"/>
    <row r="26" ht="18" customHeight="1" x14ac:dyDescent="0.35"/>
    <row r="27" ht="18" customHeight="1" x14ac:dyDescent="0.35"/>
    <row r="28" ht="18" customHeight="1" x14ac:dyDescent="0.35"/>
    <row r="29" ht="18" customHeight="1" x14ac:dyDescent="0.35"/>
    <row r="30" ht="18" customHeight="1" x14ac:dyDescent="0.35"/>
    <row r="31" ht="18" customHeight="1" x14ac:dyDescent="0.35"/>
    <row r="3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47" spans="1:1" x14ac:dyDescent="0.35">
      <c r="A247" t="s">
        <v>1725</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Sorted_GST_IEC_SBDate</vt:lpstr>
      <vt:lpstr>Sorted_Gateway_Extracted</vt:lpstr>
      <vt:lpstr> Sorted_PORT_Status</vt:lpstr>
      <vt:lpstr>Status_Analysis</vt:lpstr>
      <vt:lpstr>Pivot_PORT_Gateway</vt:lpstr>
      <vt:lpstr>Pivot_IEC_PORT</vt:lpstr>
      <vt:lpstr>Pivot_Gateway_GST</vt:lpstr>
      <vt:lpstr>Pivot_PORT_Status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More</dc:creator>
  <cp:keywords/>
  <dc:description/>
  <cp:lastModifiedBy>919665797922</cp:lastModifiedBy>
  <cp:revision/>
  <dcterms:created xsi:type="dcterms:W3CDTF">2025-11-17T11:58:15Z</dcterms:created>
  <dcterms:modified xsi:type="dcterms:W3CDTF">2025-11-27T04:00:49Z</dcterms:modified>
  <cp:category/>
  <cp:contentStatus/>
</cp:coreProperties>
</file>